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Société" sheetId="2" state="visible" r:id="rId2"/>
    <sheet name="Baux" sheetId="3" state="visible" r:id="rId3"/>
    <sheet name="Indices" sheetId="4" state="visible" r:id="rId4"/>
    <sheet name="Révisions" sheetId="5" state="visible" r:id="rId5"/>
    <sheet name="Alertes" sheetId="6" state="visible" r:id="rId6"/>
    <sheet name="Pennylane" sheetId="7" state="visible" r:id="rId7"/>
  </sheets>
  <definedNames>
    <definedName name="_xlnm._FilterDatabase" localSheetId="3" hidden="1">'Indices'!$A$1:$H$133</definedName>
    <definedName name="_xlnm._FilterDatabase" localSheetId="4" hidden="1">'Révisions'!$A$1:$AC$31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.00\ &quot;€&quot;"/>
    <numFmt numFmtId="167" formatCode="0.000000"/>
  </numFmts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7F7F7F"/>
    </font>
    <font>
      <b val="1"/>
      <color rgb="00C0000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4" fillId="3" borderId="0" pivotButton="0" quotePrefix="0" xfId="0"/>
    <xf numFmtId="2" fontId="0" fillId="0" borderId="0" pivotButton="0" quotePrefix="0" xfId="0"/>
    <xf numFmtId="0" fontId="0" fillId="4" borderId="0" pivotButton="0" quotePrefix="0" xfId="0"/>
    <xf numFmtId="165" fontId="0" fillId="4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4" borderId="1" pivotButton="0" quotePrefix="0" xfId="0"/>
    <xf numFmtId="165" fontId="0" fillId="4" borderId="1" pivotButton="0" quotePrefix="0" xfId="0"/>
    <xf numFmtId="165" fontId="0" fillId="0" borderId="1" pivotButton="0" quotePrefix="0" xfId="0"/>
    <xf numFmtId="166" fontId="0" fillId="4" borderId="1" pivotButton="0" quotePrefix="0" xfId="0"/>
    <xf numFmtId="0" fontId="0" fillId="0" borderId="1" pivotButton="0" quotePrefix="0" xfId="0"/>
    <xf numFmtId="2" fontId="0" fillId="2" borderId="0" pivotButton="0" quotePrefix="0" xfId="0"/>
    <xf numFmtId="10" fontId="0" fillId="0" borderId="0" pivotButton="0" quotePrefix="0" xfId="0"/>
    <xf numFmtId="2" fontId="0" fillId="0" borderId="1" pivotButton="0" quotePrefix="0" xfId="0"/>
    <xf numFmtId="167" fontId="0" fillId="0" borderId="1" pivotButton="0" quotePrefix="0" xfId="0"/>
    <xf numFmtId="166" fontId="0" fillId="0" borderId="1" pivotButton="0" quotePrefix="0" xfId="0"/>
    <xf numFmtId="10" fontId="0" fillId="0" borderId="1" pivotButton="0" quotePrefix="0" xfId="0"/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/>
    </xf>
  </cellXfs>
  <cellStyles count="1">
    <cellStyle name="Normal" xfId="0" builtinId="0" hidden="0"/>
  </cellStyles>
  <dxfs count="6">
    <dxf>
      <font>
        <b val="1"/>
        <color rgb="00C00000"/>
      </font>
    </dxf>
    <dxf>
      <font>
        <b val="1"/>
        <color rgb="001F4E79"/>
      </font>
      <fill>
        <patternFill patternType="solid">
          <fgColor rgb="00DDEBF7"/>
        </patternFill>
      </fill>
    </dxf>
    <dxf>
      <font>
        <b val="1"/>
        <color rgb="00C00000"/>
      </font>
      <fill>
        <patternFill patternType="solid">
          <fgColor rgb="00FFC7CE"/>
        </patternFill>
      </fill>
    </dxf>
    <dxf>
      <font>
        <b val="1"/>
        <color rgb="009C5700"/>
      </font>
      <fill>
        <patternFill patternType="solid">
          <fgColor rgb="00FFEB9C"/>
        </patternFill>
      </fill>
    </dxf>
    <dxf>
      <font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4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2">
      <c r="B2" s="1" t="inlineStr">
        <is>
          <t>Suivi des réindexations de loyers – SCI EXEMPLE (DÉMO)</t>
        </is>
      </c>
    </row>
    <row r="3">
      <c r="B3" s="2" t="inlineStr">
        <is>
          <t>Généré le 09/09/2026 – indexation_loyer v0.1.0</t>
        </is>
      </c>
    </row>
    <row r="5">
      <c r="B5" s="3" t="inlineStr">
        <is>
          <t>⚠ CLASSEUR DE DÉMONSTRATION : tous les indices et tous les baux sont FICTIFS. Ne pas utiliser pour un calcul réel.</t>
        </is>
      </c>
      <c r="C5" s="4" t="n"/>
      <c r="D5" s="4" t="n"/>
      <c r="E5" s="4" t="n"/>
      <c r="F5" s="4" t="n"/>
      <c r="G5" s="4" t="n"/>
    </row>
    <row r="7">
      <c r="B7" s="5" t="inlineStr">
        <is>
          <t>Derniers indices connus dans ce classeur</t>
        </is>
      </c>
    </row>
    <row r="8">
      <c r="B8" s="6" t="inlineStr">
        <is>
          <t>Série</t>
        </is>
      </c>
      <c r="C8" s="6" t="inlineStr">
        <is>
          <t>Dernier trimestre</t>
        </is>
      </c>
      <c r="D8" s="6" t="inlineStr">
        <is>
          <t>Valeur</t>
        </is>
      </c>
      <c r="E8" s="6" t="inlineStr">
        <is>
          <t>Statut</t>
        </is>
      </c>
      <c r="F8" s="6" t="inlineStr">
        <is>
          <t>MAJ INSEE</t>
        </is>
      </c>
      <c r="G8" s="6" t="inlineStr">
        <is>
          <t>Source</t>
        </is>
      </c>
    </row>
    <row r="9">
      <c r="B9" t="inlineStr">
        <is>
          <t>ILC – Indice des loyers commerciaux (ILC) - Base 100 au 1er trimestre 2008</t>
        </is>
      </c>
      <c r="C9" t="inlineStr">
        <is>
          <t>2026-T1</t>
        </is>
      </c>
      <c r="D9" s="7" t="n">
        <v>124.4</v>
      </c>
      <c r="E9" t="inlineStr">
        <is>
          <t>Provisoire</t>
        </is>
      </c>
      <c r="F9" t="inlineStr">
        <is>
          <t>2026-09-09</t>
        </is>
      </c>
      <c r="G9" t="inlineStr">
        <is>
          <t>FICTIF_DEMO</t>
        </is>
      </c>
    </row>
    <row r="10">
      <c r="B10" t="inlineStr">
        <is>
          <t>ILAT – Indice des loyers des activités tertiaires (ILAT) - Base 100 au 1er trimestre 2010</t>
        </is>
      </c>
      <c r="C10" t="inlineStr">
        <is>
          <t>2026-T1</t>
        </is>
      </c>
      <c r="D10" s="7" t="n">
        <v>121.2</v>
      </c>
      <c r="E10" t="inlineStr">
        <is>
          <t>Provisoire</t>
        </is>
      </c>
      <c r="F10" t="inlineStr">
        <is>
          <t>2026-09-09</t>
        </is>
      </c>
      <c r="G10" t="inlineStr">
        <is>
          <t>FICTIF_DEMO</t>
        </is>
      </c>
    </row>
    <row r="11">
      <c r="B11" t="inlineStr">
        <is>
          <t>ICC – Indice du coût de la construction des immeubles à usage d'habitation (ICC) - Base 100 au 4e trimestre 1953</t>
        </is>
      </c>
      <c r="C11" t="inlineStr">
        <is>
          <t>2026-T1</t>
        </is>
      </c>
      <c r="D11" s="7" t="n">
        <v>1892</v>
      </c>
      <c r="E11" t="inlineStr">
        <is>
          <t>Provisoire</t>
        </is>
      </c>
      <c r="F11" t="inlineStr">
        <is>
          <t>2026-09-09</t>
        </is>
      </c>
      <c r="G11" t="inlineStr">
        <is>
          <t>FICTIF_DEMO</t>
        </is>
      </c>
    </row>
    <row r="12">
      <c r="B12" t="inlineStr">
        <is>
          <t>IRL – Indice de référence des loyers (IRL) - Base 100 au 4e trimestre 1998</t>
        </is>
      </c>
      <c r="C12" t="inlineStr">
        <is>
          <t>2026-T1</t>
        </is>
      </c>
      <c r="D12" s="7" t="n">
        <v>137.6</v>
      </c>
      <c r="E12" t="inlineStr">
        <is>
          <t>Provisoire</t>
        </is>
      </c>
      <c r="F12" t="inlineStr">
        <is>
          <t>2026-09-09</t>
        </is>
      </c>
      <c r="G12" t="inlineStr">
        <is>
          <t>FICTIF_DEMO</t>
        </is>
      </c>
    </row>
    <row r="14">
      <c r="B14" s="5" t="inlineStr">
        <is>
          <t>Mode d'emploi</t>
        </is>
      </c>
    </row>
    <row r="15">
      <c r="B15" t="inlineStr">
        <is>
          <t>1. Feuille « Baux » : une ligne par local / bail. Seules les cellules jaunes se saisissent. La colonne Contrôles signale les incohérences.</t>
        </is>
      </c>
    </row>
    <row r="16">
      <c r="B16" t="inlineStr">
        <is>
          <t>2. Feuille « Indices » : alimentée par la commande  python -m indexation_loyer fetch-indices  puis  refresh &lt;société&gt;. Ne pas saisir ici sauf ligne de source MANUEL.</t>
        </is>
      </c>
    </row>
    <row r="17">
      <c r="B17" t="inlineStr">
        <is>
          <t>3. Feuille « Révisions » : calendrier calculé. Statut ✔ Calculable = l'indice est publié et la date de révision est passée : la facturation doit être ajustée.</t>
        </is>
      </c>
    </row>
    <row r="18">
      <c r="B18" t="inlineStr">
        <is>
          <t xml:space="preserve">   Colonne « Décision » : vide ou Appliquer = révision appliquée ; Geler = le client renonce à la révision (loyer inchangé). « Geler – rattrapage possible » permet de récupérer la variation à la révision suivante ; « sans rattrapage » l'abandonne.</t>
        </is>
      </c>
    </row>
    <row r="19">
      <c r="B19" t="inlineStr">
        <is>
          <t xml:space="preserve">   Colonne « Consigne (à faire) » : instruction libre du dossier (ex. « Gel décidé par le client le 12/03, courrier à envoyer, ne pas facturer »). Reprise dans la feuille Alertes.</t>
        </is>
      </c>
    </row>
    <row r="20">
      <c r="B20" t="inlineStr">
        <is>
          <t xml:space="preserve">   Renseigner « Appliqué ? », la date d'application et la date d'envoi du courrier : toutes les colonnes jaunes sont conservées au rafraîchissement.</t>
        </is>
      </c>
    </row>
    <row r="21">
      <c r="B21" t="inlineStr">
        <is>
          <t xml:space="preserve">   Courriers aux locataires : commande  python -m indexation_loyer courriers &lt;société&gt;  -&gt; un PDF par échéance à notifier (application ou gel), modèle dans config/courrier_modele.json.</t>
        </is>
      </c>
    </row>
    <row r="22">
      <c r="B22" t="inlineStr">
        <is>
          <t>4. Feuille « Alertes » : vue de pilotage par bail (loyer actuel, prochaine échéance, action).</t>
        </is>
      </c>
    </row>
    <row r="23">
      <c r="B23" t="inlineStr">
        <is>
          <t>5. Feuille « Pennylane » : corps de requête prêt pour POST /billing_subscriptions (mode aperçu ; l'envoi se fait par la commande  pennylane &lt;société&gt;).</t>
        </is>
      </c>
    </row>
    <row r="24">
      <c r="B24" t="inlineStr">
        <is>
          <t>Trimestres : notation AAAA-Tn (2024-T2 = 2e trimestre 2024), équivalente au 2024-Q2 de l'INSEE.</t>
        </is>
      </c>
    </row>
    <row r="25">
      <c r="B25" t="inlineStr">
        <is>
          <t>Convention par défaut du trimestre de base : dernier indice publié à la date de prise d'effet (T-2). À caler sur la clause du bail.</t>
        </is>
      </c>
    </row>
    <row r="27">
      <c r="B27" s="5" t="inlineStr">
        <is>
          <t>Points de vigilance juridiques (à confirmer par le juriste du dossier)</t>
        </is>
      </c>
    </row>
    <row r="28">
      <c r="B28" t="inlineStr">
        <is>
          <t>• Depuis la loi Pinel (n° 2014-626 du 18 juin 2014), l'ILC et l'ILAT sont les indices de référence des baux commerciaux (art. L145-34 et L145-38 C. com.) ; l'ICC subsiste dans les clauses des baux antérieurs.</t>
        </is>
      </c>
    </row>
    <row r="29">
      <c r="B29" t="inlineStr">
        <is>
          <t>• Plafonnement légal de la variation de l'ILC à 3,5 % pour les PME (loi n° 2022-1158 du 16 août 2022, art. 14, puis prolongation) : période et champ à vérifier bail par bail ; utiliser la colonne « Plafond annuel (%) ».</t>
        </is>
      </c>
    </row>
    <row r="30">
      <c r="B30" t="inlineStr">
        <is>
          <t>• Une clause d'indexation ne jouant qu'à la hausse est réputée non écrite (art. L112-1 C. mon. fin. et jurisprudence Cass. 3e civ.) : le classeur applique la baisse si l'indice recule.</t>
        </is>
      </c>
    </row>
    <row r="31">
      <c r="B31" t="inlineStr">
        <is>
          <t>• Révision légale triennale (L145-38) et déplafonnement : hors périmètre de la version actuelle, qui traite la clause d'échelle mobile contractuelle.</t>
        </is>
      </c>
    </row>
    <row r="32">
      <c r="B32" t="inlineStr">
        <is>
          <t>• Le classeur ne remplace pas la lecture du bail : trimestre de base, périodicité et méthode (chaînée / base fixe) doivent être relevés sur l'acte.</t>
        </is>
      </c>
    </row>
    <row r="34">
      <c r="B34" s="2" t="inlineStr">
        <is>
          <t>Légende : fond jaune = saisie ; autres cellules = formules ; ne pas insérer de colonnes dans Baux, Indices, Révisions.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5" t="inlineStr">
        <is>
          <t>Raison sociale</t>
        </is>
      </c>
      <c r="B1" s="8" t="inlineStr">
        <is>
          <t>SCI EXEMPLE (DÉMO)</t>
        </is>
      </c>
    </row>
    <row r="2">
      <c r="A2" s="5" t="inlineStr">
        <is>
          <t>SIREN</t>
        </is>
      </c>
      <c r="B2" s="8" t="inlineStr">
        <is>
          <t>000000000</t>
        </is>
      </c>
    </row>
    <row r="3">
      <c r="A3" s="5" t="inlineStr">
        <is>
          <t>Forme</t>
        </is>
      </c>
      <c r="B3" s="8" t="inlineStr">
        <is>
          <t>SCI</t>
        </is>
      </c>
    </row>
    <row r="4">
      <c r="A4" s="5" t="inlineStr">
        <is>
          <t>Régime TVA des loyers</t>
        </is>
      </c>
      <c r="B4" s="8" t="inlineStr">
        <is>
          <t>Loyers soumis à TVA sur option (20 %)</t>
        </is>
      </c>
    </row>
    <row r="5">
      <c r="A5" s="5" t="inlineStr">
        <is>
          <t>Identifiant société Pennylane</t>
        </is>
      </c>
      <c r="B5" s="8" t="inlineStr"/>
    </row>
    <row r="6">
      <c r="A6" s="5" t="inlineStr">
        <is>
          <t>Contact cabinet</t>
        </is>
      </c>
      <c r="B6" s="8" t="inlineStr">
        <is>
          <t>cabinet – démonstration</t>
        </is>
      </c>
    </row>
    <row r="7">
      <c r="A7" s="5" t="inlineStr">
        <is>
          <t>Adresse du bailleur (courriers)</t>
        </is>
      </c>
      <c r="B7" s="8" t="inlineStr">
        <is>
          <t>1 place de la Bourse
75002 Paris</t>
        </is>
      </c>
    </row>
    <row r="8">
      <c r="A8" s="5" t="inlineStr">
        <is>
          <t>Signataire des courriers</t>
        </is>
      </c>
      <c r="B8" s="8" t="inlineStr">
        <is>
          <t>Mme Claire Exemple</t>
        </is>
      </c>
    </row>
    <row r="9">
      <c r="A9" s="5" t="inlineStr">
        <is>
          <t>Qualité du signataire</t>
        </is>
      </c>
      <c r="B9" s="8" t="inlineStr">
        <is>
          <t>Gérante</t>
        </is>
      </c>
    </row>
    <row r="10">
      <c r="A10" s="5" t="inlineStr">
        <is>
          <t>Ville de signature</t>
        </is>
      </c>
      <c r="B10" s="8" t="inlineStr">
        <is>
          <t>Paris</t>
        </is>
      </c>
    </row>
    <row r="11">
      <c r="A11" s="5" t="inlineStr">
        <is>
          <t>Date de génération</t>
        </is>
      </c>
      <c r="B11" s="9" t="n">
        <v>46274</v>
      </c>
    </row>
    <row r="12">
      <c r="A12" s="5" t="inlineStr">
        <is>
          <t>Mode démonstration</t>
        </is>
      </c>
      <c r="B12" s="8" t="inlineStr">
        <is>
          <t>OUI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30" customWidth="1" min="4" max="4"/>
    <col width="14" customWidth="1" min="5" max="5"/>
    <col width="14" customWidth="1" min="6" max="6"/>
    <col width="9" customWidth="1" min="7" max="7"/>
    <col width="14" customWidth="1" min="8" max="8"/>
    <col width="16" customWidth="1" min="9" max="9"/>
    <col width="14" customWidth="1" min="10" max="10"/>
    <col width="8" customWidth="1" min="11" max="11"/>
    <col width="16" customWidth="1" min="12" max="12"/>
    <col width="8" customWidth="1" min="13" max="13"/>
    <col width="14" customWidth="1" min="14" max="14"/>
    <col width="12" customWidth="1" min="15" max="15"/>
    <col width="11" customWidth="1" min="16" max="16"/>
    <col width="14" customWidth="1" min="17" max="17"/>
    <col width="14" customWidth="1" min="18" max="18"/>
    <col width="14" customWidth="1" min="19" max="19"/>
    <col width="30" customWidth="1" min="20" max="20"/>
    <col width="40" customWidth="1" min="21" max="21"/>
  </cols>
  <sheetData>
    <row r="1" ht="42" customHeight="1">
      <c r="A1" s="10" t="inlineStr">
        <is>
          <t>ID bail</t>
        </is>
      </c>
      <c r="B1" s="10" t="inlineStr">
        <is>
          <t>Local (désignation / adresse)</t>
        </is>
      </c>
      <c r="C1" s="10" t="inlineStr">
        <is>
          <t>Locataire</t>
        </is>
      </c>
      <c r="D1" s="10" t="inlineStr">
        <is>
          <t>Adresse du locataire (courrier)</t>
        </is>
      </c>
      <c r="E1" s="10" t="inlineStr">
        <is>
          <t>Type de bail</t>
        </is>
      </c>
      <c r="F1" s="10" t="inlineStr">
        <is>
          <t>Date de prise d'effet</t>
        </is>
      </c>
      <c r="G1" s="10" t="inlineStr">
        <is>
          <t>Durée (ans)</t>
        </is>
      </c>
      <c r="H1" s="10" t="inlineStr">
        <is>
          <t>Date de fin</t>
        </is>
      </c>
      <c r="I1" s="10" t="inlineStr">
        <is>
          <t>Loyer initial annuel HT</t>
        </is>
      </c>
      <c r="J1" s="10" t="inlineStr">
        <is>
          <t>Charges annuelles HT</t>
        </is>
      </c>
      <c r="K1" s="10" t="inlineStr">
        <is>
          <t>TVA (%)</t>
        </is>
      </c>
      <c r="L1" s="10" t="inlineStr">
        <is>
          <t>Périodicité de facturation</t>
        </is>
      </c>
      <c r="M1" s="10" t="inlineStr">
        <is>
          <t>Indice</t>
        </is>
      </c>
      <c r="N1" s="10" t="inlineStr">
        <is>
          <t>Trimestre indice de base</t>
        </is>
      </c>
      <c r="O1" s="10" t="inlineStr">
        <is>
          <t>Périodicité de révision (ans)</t>
        </is>
      </c>
      <c r="P1" s="10" t="inlineStr">
        <is>
          <t>Méthode</t>
        </is>
      </c>
      <c r="Q1" s="10" t="inlineStr">
        <is>
          <t>Plafond annuel (%) – optionnel</t>
        </is>
      </c>
      <c r="R1" s="10" t="inlineStr">
        <is>
          <t>Pennylane customer_id</t>
        </is>
      </c>
      <c r="S1" s="10" t="inlineStr">
        <is>
          <t>Pennylane product_id</t>
        </is>
      </c>
      <c r="T1" s="10" t="inlineStr">
        <is>
          <t>Notes</t>
        </is>
      </c>
      <c r="U1" s="10" t="inlineStr">
        <is>
          <t>Contrôles</t>
        </is>
      </c>
    </row>
    <row r="2">
      <c r="A2" s="11" t="inlineStr">
        <is>
          <t>B01</t>
        </is>
      </c>
      <c r="B2" s="11" t="inlineStr">
        <is>
          <t>Boutique 12 rue de la Paix</t>
        </is>
      </c>
      <c r="C2" s="11" t="inlineStr">
        <is>
          <t>Boulangerie Dupont SAS</t>
        </is>
      </c>
      <c r="D2" s="11" t="inlineStr">
        <is>
          <t>12 rue de la Paix
75002 Paris</t>
        </is>
      </c>
      <c r="E2" s="11" t="inlineStr">
        <is>
          <t>Commercial</t>
        </is>
      </c>
      <c r="F2" s="12" t="n">
        <v>44287</v>
      </c>
      <c r="G2" s="11" t="n">
        <v>9</v>
      </c>
      <c r="H2" s="13">
        <f>IF(OR(F2="",G2=""),"",EDATE(F2,12*G2))</f>
        <v/>
      </c>
      <c r="I2" s="14" t="n">
        <v>24000</v>
      </c>
      <c r="J2" s="14" t="n">
        <v>2400</v>
      </c>
      <c r="K2" s="11" t="n">
        <v>20</v>
      </c>
      <c r="L2" s="11" t="inlineStr">
        <is>
          <t>Mensuelle</t>
        </is>
      </c>
      <c r="M2" s="11" t="inlineStr">
        <is>
          <t>ILC</t>
        </is>
      </c>
      <c r="N2" s="11" t="inlineStr">
        <is>
          <t>2020-T4</t>
        </is>
      </c>
      <c r="O2" s="11" t="n">
        <v>1</v>
      </c>
      <c r="P2" s="11" t="inlineStr">
        <is>
          <t>Chaînée</t>
        </is>
      </c>
      <c r="Q2" s="11" t="n"/>
      <c r="R2" s="11" t="inlineStr">
        <is>
          <t>100001</t>
        </is>
      </c>
      <c r="S2" s="11" t="n"/>
      <c r="T2" s="11" t="inlineStr">
        <is>
          <t>Clause d'échelle mobile annuelle, ILC même trimestre</t>
        </is>
      </c>
      <c r="U2" s="15">
        <f>IF(A2="","",TRIM(IF(F2="","Date d'effet manquante. ","")&amp;IF(NOT(ISNUMBER(I2)),"Loyer initial manquant. ","")&amp;IF(COUNTIF(Indices!$A:$A,M2)=0,"Aucune valeur d'indice chargée pour cette série. ","")&amp;IF(SUMIFS(Indices!$C:$C,Indices!$A:$A,M2,Indices!$B:$B,N2)=0,"Indice de base "&amp;N2&amp;" absent de la feuille Indices. ","")&amp;IF(LEN(N2)&lt;&gt;7,"Trimestre de base au format AAAA-Tn. ","")&amp;IF(COUNTIF($A$2:$A$200,A2)&gt;1,"ID bail en doublon. ","")&amp;IF(AND(Q2&lt;&gt;"",NOT(ISNUMBER(Q2))),"Plafond non numérique. ","")&amp;IF(COUNTIF($A$2:$A$200,A2)=1,"",""))&amp;IF(AND(F2&lt;&gt;"",ISNUMBER(I2),SUMIFS(Indices!$C:$C,Indices!$A:$A,M2,Indices!$B:$B,N2)&gt;0,LEN(N2)=7,COUNTIF($A$2:$A$200,A2)=1),"OK",""))</f>
        <v/>
      </c>
    </row>
    <row r="3">
      <c r="A3" s="11" t="inlineStr">
        <is>
          <t>B02</t>
        </is>
      </c>
      <c r="B3" s="11" t="inlineStr">
        <is>
          <t>Bureaux 2e étage – 8 av. Foch</t>
        </is>
      </c>
      <c r="C3" s="11" t="inlineStr">
        <is>
          <t>Cabinet Martin (SELARL)</t>
        </is>
      </c>
      <c r="D3" s="11" t="n"/>
      <c r="E3" s="11" t="inlineStr">
        <is>
          <t>Commercial</t>
        </is>
      </c>
      <c r="F3" s="12" t="n">
        <v>44835</v>
      </c>
      <c r="G3" s="11" t="n">
        <v>9</v>
      </c>
      <c r="H3" s="13">
        <f>IF(OR(F3="",G3=""),"",EDATE(F3,12*G3))</f>
        <v/>
      </c>
      <c r="I3" s="14" t="n">
        <v>36000</v>
      </c>
      <c r="J3" s="14" t="n">
        <v>0</v>
      </c>
      <c r="K3" s="11" t="n">
        <v>20</v>
      </c>
      <c r="L3" s="11" t="inlineStr">
        <is>
          <t>Trimestrielle</t>
        </is>
      </c>
      <c r="M3" s="11" t="inlineStr">
        <is>
          <t>ILAT</t>
        </is>
      </c>
      <c r="N3" s="11" t="inlineStr">
        <is>
          <t>2022-T2</t>
        </is>
      </c>
      <c r="O3" s="11" t="n">
        <v>3</v>
      </c>
      <c r="P3" s="11" t="inlineStr">
        <is>
          <t>Base fixe</t>
        </is>
      </c>
      <c r="Q3" s="11" t="n"/>
      <c r="R3" s="11" t="inlineStr">
        <is>
          <t>100002</t>
        </is>
      </c>
      <c r="S3" s="11" t="n"/>
      <c r="T3" s="11" t="inlineStr">
        <is>
          <t>Révision triennale indexée ILAT, indice de base fixe</t>
        </is>
      </c>
      <c r="U3" s="15">
        <f>IF(A3="","",TRIM(IF(F3="","Date d'effet manquante. ","")&amp;IF(NOT(ISNUMBER(I3)),"Loyer initial manquant. ","")&amp;IF(COUNTIF(Indices!$A:$A,M3)=0,"Aucune valeur d'indice chargée pour cette série. ","")&amp;IF(SUMIFS(Indices!$C:$C,Indices!$A:$A,M3,Indices!$B:$B,N3)=0,"Indice de base "&amp;N3&amp;" absent de la feuille Indices. ","")&amp;IF(LEN(N3)&lt;&gt;7,"Trimestre de base au format AAAA-Tn. ","")&amp;IF(COUNTIF($A$2:$A$200,A3)&gt;1,"ID bail en doublon. ","")&amp;IF(AND(Q3&lt;&gt;"",NOT(ISNUMBER(Q3))),"Plafond non numérique. ","")&amp;IF(COUNTIF($A$2:$A$200,A3)=1,"",""))&amp;IF(AND(F3&lt;&gt;"",ISNUMBER(I3),SUMIFS(Indices!$C:$C,Indices!$A:$A,M3,Indices!$B:$B,N3)&gt;0,LEN(N3)=7,COUNTIF($A$2:$A$200,A3)=1),"OK",""))</f>
        <v/>
      </c>
    </row>
    <row r="4">
      <c r="A4" s="11" t="inlineStr">
        <is>
          <t>B03</t>
        </is>
      </c>
      <c r="B4" s="11" t="inlineStr">
        <is>
          <t>Entrepôt ZA des Landes</t>
        </is>
      </c>
      <c r="C4" s="11" t="inlineStr">
        <is>
          <t>Logistix SARL</t>
        </is>
      </c>
      <c r="D4" s="11" t="n"/>
      <c r="E4" s="11" t="inlineStr">
        <is>
          <t>Commercial</t>
        </is>
      </c>
      <c r="F4" s="12" t="n">
        <v>43480</v>
      </c>
      <c r="G4" s="11" t="n">
        <v>9</v>
      </c>
      <c r="H4" s="13">
        <f>IF(OR(F4="",G4=""),"",EDATE(F4,12*G4))</f>
        <v/>
      </c>
      <c r="I4" s="14" t="n">
        <v>60000</v>
      </c>
      <c r="J4" s="14" t="n">
        <v>6000</v>
      </c>
      <c r="K4" s="11" t="n">
        <v>20</v>
      </c>
      <c r="L4" s="11" t="inlineStr">
        <is>
          <t>Trimestrielle</t>
        </is>
      </c>
      <c r="M4" s="11" t="inlineStr">
        <is>
          <t>ICC</t>
        </is>
      </c>
      <c r="N4" s="11" t="inlineStr">
        <is>
          <t>2018-T3</t>
        </is>
      </c>
      <c r="O4" s="11" t="n">
        <v>1</v>
      </c>
      <c r="P4" s="11" t="inlineStr">
        <is>
          <t>Chaînée</t>
        </is>
      </c>
      <c r="Q4" s="11" t="n">
        <v>3.5</v>
      </c>
      <c r="R4" s="11" t="n"/>
      <c r="S4" s="11" t="n"/>
      <c r="T4" s="11" t="inlineStr">
        <is>
          <t>Bail antérieur à 2014 renouvelé, clause ICC ; plafond contractuel 3,5 %</t>
        </is>
      </c>
      <c r="U4" s="15">
        <f>IF(A4="","",TRIM(IF(F4="","Date d'effet manquante. ","")&amp;IF(NOT(ISNUMBER(I4)),"Loyer initial manquant. ","")&amp;IF(COUNTIF(Indices!$A:$A,M4)=0,"Aucune valeur d'indice chargée pour cette série. ","")&amp;IF(SUMIFS(Indices!$C:$C,Indices!$A:$A,M4,Indices!$B:$B,N4)=0,"Indice de base "&amp;N4&amp;" absent de la feuille Indices. ","")&amp;IF(LEN(N4)&lt;&gt;7,"Trimestre de base au format AAAA-Tn. ","")&amp;IF(COUNTIF($A$2:$A$200,A4)&gt;1,"ID bail en doublon. ","")&amp;IF(AND(Q4&lt;&gt;"",NOT(ISNUMBER(Q4))),"Plafond non numérique. ","")&amp;IF(COUNTIF($A$2:$A$200,A4)=1,"",""))&amp;IF(AND(F4&lt;&gt;"",ISNUMBER(I4),SUMIFS(Indices!$C:$C,Indices!$A:$A,M4,Indices!$B:$B,N4)&gt;0,LEN(N4)=7,COUNTIF($A$2:$A$200,A4)=1),"OK",""))</f>
        <v/>
      </c>
    </row>
    <row r="5">
      <c r="A5" s="11" t="inlineStr">
        <is>
          <t>B04</t>
        </is>
      </c>
      <c r="B5" s="11" t="inlineStr">
        <is>
          <t>Local 45 bd Haussmann</t>
        </is>
      </c>
      <c r="C5" s="11" t="inlineStr">
        <is>
          <t>Nouveau preneur (à compléter)</t>
        </is>
      </c>
      <c r="D5" s="11" t="n"/>
      <c r="E5" s="11" t="inlineStr">
        <is>
          <t>Commercial</t>
        </is>
      </c>
      <c r="F5" s="12" t="n">
        <v>45839</v>
      </c>
      <c r="G5" s="11" t="n">
        <v>9</v>
      </c>
      <c r="H5" s="13">
        <f>IF(OR(F5="",G5=""),"",EDATE(F5,12*G5))</f>
        <v/>
      </c>
      <c r="I5" s="14" t="n">
        <v>18000</v>
      </c>
      <c r="J5" s="14" t="n">
        <v>0</v>
      </c>
      <c r="K5" s="11" t="n">
        <v>20</v>
      </c>
      <c r="L5" s="11" t="inlineStr">
        <is>
          <t>Mensuelle</t>
        </is>
      </c>
      <c r="M5" s="11" t="inlineStr">
        <is>
          <t>ILC</t>
        </is>
      </c>
      <c r="N5" s="11" t="inlineStr">
        <is>
          <t>2025-T1</t>
        </is>
      </c>
      <c r="O5" s="11" t="n">
        <v>1</v>
      </c>
      <c r="P5" s="11" t="inlineStr">
        <is>
          <t>Chaînée</t>
        </is>
      </c>
      <c r="Q5" s="11" t="n"/>
      <c r="R5" s="11" t="n"/>
      <c r="S5" s="11" t="n"/>
      <c r="T5" s="11" t="inlineStr">
        <is>
          <t>customer_id Pennylane à créer</t>
        </is>
      </c>
      <c r="U5" s="15">
        <f>IF(A5="","",TRIM(IF(F5="","Date d'effet manquante. ","")&amp;IF(NOT(ISNUMBER(I5)),"Loyer initial manquant. ","")&amp;IF(COUNTIF(Indices!$A:$A,M5)=0,"Aucune valeur d'indice chargée pour cette série. ","")&amp;IF(SUMIFS(Indices!$C:$C,Indices!$A:$A,M5,Indices!$B:$B,N5)=0,"Indice de base "&amp;N5&amp;" absent de la feuille Indices. ","")&amp;IF(LEN(N5)&lt;&gt;7,"Trimestre de base au format AAAA-Tn. ","")&amp;IF(COUNTIF($A$2:$A$200,A5)&gt;1,"ID bail en doublon. ","")&amp;IF(AND(Q5&lt;&gt;"",NOT(ISNUMBER(Q5))),"Plafond non numérique. ","")&amp;IF(COUNTIF($A$2:$A$200,A5)=1,"",""))&amp;IF(AND(F5&lt;&gt;"",ISNUMBER(I5),SUMIFS(Indices!$C:$C,Indices!$A:$A,M5,Indices!$B:$B,N5)&gt;0,LEN(N5)=7,COUNTIF($A$2:$A$200,A5)=1),"OK",""))</f>
        <v/>
      </c>
    </row>
  </sheetData>
  <conditionalFormatting sqref="U2:U200">
    <cfRule type="expression" priority="1" dxfId="0">
      <formula>AND(U2&lt;&gt;"",U2&lt;&gt;"OK")</formula>
    </cfRule>
  </conditionalFormatting>
  <dataValidations count="6">
    <dataValidation sqref="E2:E200" showDropDown="0" showInputMessage="0" showErrorMessage="0" allowBlank="1" type="list">
      <formula1>"Commercial,Professionnel,Habitation,Dérogatoire,Autre"</formula1>
    </dataValidation>
    <dataValidation sqref="L2:L200" showDropDown="0" showInputMessage="0" showErrorMessage="0" allowBlank="1" type="list">
      <formula1>"Mensuelle,Trimestrielle,Semestrielle,Annuelle"</formula1>
    </dataValidation>
    <dataValidation sqref="M2:M200" showDropDown="0" showInputMessage="0" showErrorMessage="0" allowBlank="1" type="list">
      <formula1>"ILC,ILAT,ICC,IRL"</formula1>
    </dataValidation>
    <dataValidation sqref="P2:P200" showDropDown="0" showInputMessage="0" showErrorMessage="0" allowBlank="1" type="list">
      <formula1>"Chaînée,Base fixe"</formula1>
    </dataValidation>
    <dataValidation sqref="O2:O200" showDropDown="0" showInputMessage="0" showErrorMessage="0" allowBlank="1" type="list">
      <formula1>"1,2,3"</formula1>
    </dataValidation>
    <dataValidation sqref="F2:F200" showDropDown="0" showInputMessage="0" showErrorMessage="0" allowBlank="1" type="date" operator="greaterThan">
      <formula1>DATE(1990,1,1)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9" customWidth="1" min="4" max="4"/>
    <col width="14" customWidth="1" min="5" max="5"/>
    <col width="12" customWidth="1" min="6" max="6"/>
    <col width="12" customWidth="1" min="7" max="7"/>
    <col width="11" customWidth="1" min="8" max="8"/>
  </cols>
  <sheetData>
    <row r="1" ht="42" customHeight="1">
      <c r="A1" s="10" t="inlineStr">
        <is>
          <t>Série</t>
        </is>
      </c>
      <c r="B1" s="10" t="inlineStr">
        <is>
          <t>Période</t>
        </is>
      </c>
      <c r="C1" s="10" t="inlineStr">
        <is>
          <t>Valeur</t>
        </is>
      </c>
      <c r="D1" s="10" t="inlineStr">
        <is>
          <t>Statut obs.</t>
        </is>
      </c>
      <c r="E1" s="10" t="inlineStr">
        <is>
          <t>Dernière MAJ INSEE</t>
        </is>
      </c>
      <c r="F1" s="10" t="inlineStr">
        <is>
          <t>Source</t>
        </is>
      </c>
      <c r="G1" s="10" t="inlineStr">
        <is>
          <t>Date extraction</t>
        </is>
      </c>
      <c r="H1" s="10" t="inlineStr">
        <is>
          <t>Variation annuelle</t>
        </is>
      </c>
    </row>
    <row r="2">
      <c r="A2" s="4" t="inlineStr">
        <is>
          <t>ICC</t>
        </is>
      </c>
      <c r="B2" s="4" t="inlineStr">
        <is>
          <t>2018-T1</t>
        </is>
      </c>
      <c r="C2" s="16" t="n">
        <v>1700</v>
      </c>
      <c r="D2" s="4" t="inlineStr">
        <is>
          <t>A</t>
        </is>
      </c>
      <c r="E2" s="4" t="inlineStr">
        <is>
          <t>2026-09-09</t>
        </is>
      </c>
      <c r="F2" s="4" t="inlineStr">
        <is>
          <t>FICTIF_DEMO</t>
        </is>
      </c>
      <c r="G2" s="4" t="inlineStr">
        <is>
          <t>2026-09-09</t>
        </is>
      </c>
      <c r="H2" s="17">
        <f>IFERROR(C2/SUMIFS($C:$C,$A:$A,A2,$B:$B,TEXT(VALUE(LEFT(B2,4))-1,"0")&amp;RIGHT(B2,3))-1,"")</f>
        <v/>
      </c>
    </row>
    <row r="3">
      <c r="A3" s="4" t="inlineStr">
        <is>
          <t>ICC</t>
        </is>
      </c>
      <c r="B3" s="4" t="inlineStr">
        <is>
          <t>2018-T2</t>
        </is>
      </c>
      <c r="C3" s="16" t="n">
        <v>1708</v>
      </c>
      <c r="D3" s="4" t="inlineStr">
        <is>
          <t>A</t>
        </is>
      </c>
      <c r="E3" s="4" t="inlineStr">
        <is>
          <t>2026-09-09</t>
        </is>
      </c>
      <c r="F3" s="4" t="inlineStr">
        <is>
          <t>FICTIF_DEMO</t>
        </is>
      </c>
      <c r="G3" s="4" t="inlineStr">
        <is>
          <t>2026-09-09</t>
        </is>
      </c>
      <c r="H3" s="17">
        <f>IFERROR(C3/SUMIFS($C:$C,$A:$A,A3,$B:$B,TEXT(VALUE(LEFT(B3,4))-1,"0")&amp;RIGHT(B3,3))-1,"")</f>
        <v/>
      </c>
    </row>
    <row r="4">
      <c r="A4" s="4" t="inlineStr">
        <is>
          <t>ICC</t>
        </is>
      </c>
      <c r="B4" s="4" t="inlineStr">
        <is>
          <t>2018-T3</t>
        </is>
      </c>
      <c r="C4" s="16" t="n">
        <v>1716</v>
      </c>
      <c r="D4" s="4" t="inlineStr">
        <is>
          <t>A</t>
        </is>
      </c>
      <c r="E4" s="4" t="inlineStr">
        <is>
          <t>2026-09-09</t>
        </is>
      </c>
      <c r="F4" s="4" t="inlineStr">
        <is>
          <t>FICTIF_DEMO</t>
        </is>
      </c>
      <c r="G4" s="4" t="inlineStr">
        <is>
          <t>2026-09-09</t>
        </is>
      </c>
      <c r="H4" s="17">
        <f>IFERROR(C4/SUMIFS($C:$C,$A:$A,A4,$B:$B,TEXT(VALUE(LEFT(B4,4))-1,"0")&amp;RIGHT(B4,3))-1,"")</f>
        <v/>
      </c>
    </row>
    <row r="5">
      <c r="A5" s="4" t="inlineStr">
        <is>
          <t>ICC</t>
        </is>
      </c>
      <c r="B5" s="4" t="inlineStr">
        <is>
          <t>2018-T4</t>
        </is>
      </c>
      <c r="C5" s="16" t="n">
        <v>1724</v>
      </c>
      <c r="D5" s="4" t="inlineStr">
        <is>
          <t>A</t>
        </is>
      </c>
      <c r="E5" s="4" t="inlineStr">
        <is>
          <t>2026-09-09</t>
        </is>
      </c>
      <c r="F5" s="4" t="inlineStr">
        <is>
          <t>FICTIF_DEMO</t>
        </is>
      </c>
      <c r="G5" s="4" t="inlineStr">
        <is>
          <t>2026-09-09</t>
        </is>
      </c>
      <c r="H5" s="17">
        <f>IFERROR(C5/SUMIFS($C:$C,$A:$A,A5,$B:$B,TEXT(VALUE(LEFT(B5,4))-1,"0")&amp;RIGHT(B5,3))-1,"")</f>
        <v/>
      </c>
    </row>
    <row r="6">
      <c r="A6" s="4" t="inlineStr">
        <is>
          <t>ICC</t>
        </is>
      </c>
      <c r="B6" s="4" t="inlineStr">
        <is>
          <t>2019-T1</t>
        </is>
      </c>
      <c r="C6" s="16" t="n">
        <v>1732</v>
      </c>
      <c r="D6" s="4" t="inlineStr">
        <is>
          <t>A</t>
        </is>
      </c>
      <c r="E6" s="4" t="inlineStr">
        <is>
          <t>2026-09-09</t>
        </is>
      </c>
      <c r="F6" s="4" t="inlineStr">
        <is>
          <t>FICTIF_DEMO</t>
        </is>
      </c>
      <c r="G6" s="4" t="inlineStr">
        <is>
          <t>2026-09-09</t>
        </is>
      </c>
      <c r="H6" s="17">
        <f>IFERROR(C6/SUMIFS($C:$C,$A:$A,A6,$B:$B,TEXT(VALUE(LEFT(B6,4))-1,"0")&amp;RIGHT(B6,3))-1,"")</f>
        <v/>
      </c>
    </row>
    <row r="7">
      <c r="A7" s="4" t="inlineStr">
        <is>
          <t>ICC</t>
        </is>
      </c>
      <c r="B7" s="4" t="inlineStr">
        <is>
          <t>2019-T2</t>
        </is>
      </c>
      <c r="C7" s="16" t="n">
        <v>1740</v>
      </c>
      <c r="D7" s="4" t="inlineStr">
        <is>
          <t>A</t>
        </is>
      </c>
      <c r="E7" s="4" t="inlineStr">
        <is>
          <t>2026-09-09</t>
        </is>
      </c>
      <c r="F7" s="4" t="inlineStr">
        <is>
          <t>FICTIF_DEMO</t>
        </is>
      </c>
      <c r="G7" s="4" t="inlineStr">
        <is>
          <t>2026-09-09</t>
        </is>
      </c>
      <c r="H7" s="17">
        <f>IFERROR(C7/SUMIFS($C:$C,$A:$A,A7,$B:$B,TEXT(VALUE(LEFT(B7,4))-1,"0")&amp;RIGHT(B7,3))-1,"")</f>
        <v/>
      </c>
    </row>
    <row r="8">
      <c r="A8" s="4" t="inlineStr">
        <is>
          <t>ICC</t>
        </is>
      </c>
      <c r="B8" s="4" t="inlineStr">
        <is>
          <t>2019-T3</t>
        </is>
      </c>
      <c r="C8" s="16" t="n">
        <v>1748</v>
      </c>
      <c r="D8" s="4" t="inlineStr">
        <is>
          <t>A</t>
        </is>
      </c>
      <c r="E8" s="4" t="inlineStr">
        <is>
          <t>2026-09-09</t>
        </is>
      </c>
      <c r="F8" s="4" t="inlineStr">
        <is>
          <t>FICTIF_DEMO</t>
        </is>
      </c>
      <c r="G8" s="4" t="inlineStr">
        <is>
          <t>2026-09-09</t>
        </is>
      </c>
      <c r="H8" s="17">
        <f>IFERROR(C8/SUMIFS($C:$C,$A:$A,A8,$B:$B,TEXT(VALUE(LEFT(B8,4))-1,"0")&amp;RIGHT(B8,3))-1,"")</f>
        <v/>
      </c>
    </row>
    <row r="9">
      <c r="A9" s="4" t="inlineStr">
        <is>
          <t>ICC</t>
        </is>
      </c>
      <c r="B9" s="4" t="inlineStr">
        <is>
          <t>2019-T4</t>
        </is>
      </c>
      <c r="C9" s="16" t="n">
        <v>1756</v>
      </c>
      <c r="D9" s="4" t="inlineStr">
        <is>
          <t>A</t>
        </is>
      </c>
      <c r="E9" s="4" t="inlineStr">
        <is>
          <t>2026-09-09</t>
        </is>
      </c>
      <c r="F9" s="4" t="inlineStr">
        <is>
          <t>FICTIF_DEMO</t>
        </is>
      </c>
      <c r="G9" s="4" t="inlineStr">
        <is>
          <t>2026-09-09</t>
        </is>
      </c>
      <c r="H9" s="17">
        <f>IFERROR(C9/SUMIFS($C:$C,$A:$A,A9,$B:$B,TEXT(VALUE(LEFT(B9,4))-1,"0")&amp;RIGHT(B9,3))-1,"")</f>
        <v/>
      </c>
    </row>
    <row r="10">
      <c r="A10" s="4" t="inlineStr">
        <is>
          <t>ICC</t>
        </is>
      </c>
      <c r="B10" s="4" t="inlineStr">
        <is>
          <t>2020-T1</t>
        </is>
      </c>
      <c r="C10" s="16" t="n">
        <v>1764</v>
      </c>
      <c r="D10" s="4" t="inlineStr">
        <is>
          <t>A</t>
        </is>
      </c>
      <c r="E10" s="4" t="inlineStr">
        <is>
          <t>2026-09-09</t>
        </is>
      </c>
      <c r="F10" s="4" t="inlineStr">
        <is>
          <t>FICTIF_DEMO</t>
        </is>
      </c>
      <c r="G10" s="4" t="inlineStr">
        <is>
          <t>2026-09-09</t>
        </is>
      </c>
      <c r="H10" s="17">
        <f>IFERROR(C10/SUMIFS($C:$C,$A:$A,A10,$B:$B,TEXT(VALUE(LEFT(B10,4))-1,"0")&amp;RIGHT(B10,3))-1,"")</f>
        <v/>
      </c>
    </row>
    <row r="11">
      <c r="A11" s="4" t="inlineStr">
        <is>
          <t>ICC</t>
        </is>
      </c>
      <c r="B11" s="4" t="inlineStr">
        <is>
          <t>2020-T2</t>
        </is>
      </c>
      <c r="C11" s="16" t="n">
        <v>1772</v>
      </c>
      <c r="D11" s="4" t="inlineStr">
        <is>
          <t>A</t>
        </is>
      </c>
      <c r="E11" s="4" t="inlineStr">
        <is>
          <t>2026-09-09</t>
        </is>
      </c>
      <c r="F11" s="4" t="inlineStr">
        <is>
          <t>FICTIF_DEMO</t>
        </is>
      </c>
      <c r="G11" s="4" t="inlineStr">
        <is>
          <t>2026-09-09</t>
        </is>
      </c>
      <c r="H11" s="17">
        <f>IFERROR(C11/SUMIFS($C:$C,$A:$A,A11,$B:$B,TEXT(VALUE(LEFT(B11,4))-1,"0")&amp;RIGHT(B11,3))-1,"")</f>
        <v/>
      </c>
    </row>
    <row r="12">
      <c r="A12" s="4" t="inlineStr">
        <is>
          <t>ICC</t>
        </is>
      </c>
      <c r="B12" s="4" t="inlineStr">
        <is>
          <t>2020-T3</t>
        </is>
      </c>
      <c r="C12" s="16" t="n">
        <v>1780</v>
      </c>
      <c r="D12" s="4" t="inlineStr">
        <is>
          <t>A</t>
        </is>
      </c>
      <c r="E12" s="4" t="inlineStr">
        <is>
          <t>2026-09-09</t>
        </is>
      </c>
      <c r="F12" s="4" t="inlineStr">
        <is>
          <t>FICTIF_DEMO</t>
        </is>
      </c>
      <c r="G12" s="4" t="inlineStr">
        <is>
          <t>2026-09-09</t>
        </is>
      </c>
      <c r="H12" s="17">
        <f>IFERROR(C12/SUMIFS($C:$C,$A:$A,A12,$B:$B,TEXT(VALUE(LEFT(B12,4))-1,"0")&amp;RIGHT(B12,3))-1,"")</f>
        <v/>
      </c>
    </row>
    <row r="13">
      <c r="A13" s="4" t="inlineStr">
        <is>
          <t>ICC</t>
        </is>
      </c>
      <c r="B13" s="4" t="inlineStr">
        <is>
          <t>2020-T4</t>
        </is>
      </c>
      <c r="C13" s="16" t="n">
        <v>1788</v>
      </c>
      <c r="D13" s="4" t="inlineStr">
        <is>
          <t>A</t>
        </is>
      </c>
      <c r="E13" s="4" t="inlineStr">
        <is>
          <t>2026-09-09</t>
        </is>
      </c>
      <c r="F13" s="4" t="inlineStr">
        <is>
          <t>FICTIF_DEMO</t>
        </is>
      </c>
      <c r="G13" s="4" t="inlineStr">
        <is>
          <t>2026-09-09</t>
        </is>
      </c>
      <c r="H13" s="17">
        <f>IFERROR(C13/SUMIFS($C:$C,$A:$A,A13,$B:$B,TEXT(VALUE(LEFT(B13,4))-1,"0")&amp;RIGHT(B13,3))-1,"")</f>
        <v/>
      </c>
    </row>
    <row r="14">
      <c r="A14" s="4" t="inlineStr">
        <is>
          <t>ICC</t>
        </is>
      </c>
      <c r="B14" s="4" t="inlineStr">
        <is>
          <t>2021-T1</t>
        </is>
      </c>
      <c r="C14" s="16" t="n">
        <v>1796</v>
      </c>
      <c r="D14" s="4" t="inlineStr">
        <is>
          <t>A</t>
        </is>
      </c>
      <c r="E14" s="4" t="inlineStr">
        <is>
          <t>2026-09-09</t>
        </is>
      </c>
      <c r="F14" s="4" t="inlineStr">
        <is>
          <t>FICTIF_DEMO</t>
        </is>
      </c>
      <c r="G14" s="4" t="inlineStr">
        <is>
          <t>2026-09-09</t>
        </is>
      </c>
      <c r="H14" s="17">
        <f>IFERROR(C14/SUMIFS($C:$C,$A:$A,A14,$B:$B,TEXT(VALUE(LEFT(B14,4))-1,"0")&amp;RIGHT(B14,3))-1,"")</f>
        <v/>
      </c>
    </row>
    <row r="15">
      <c r="A15" s="4" t="inlineStr">
        <is>
          <t>ICC</t>
        </is>
      </c>
      <c r="B15" s="4" t="inlineStr">
        <is>
          <t>2021-T2</t>
        </is>
      </c>
      <c r="C15" s="16" t="n">
        <v>1788</v>
      </c>
      <c r="D15" s="4" t="inlineStr">
        <is>
          <t>A</t>
        </is>
      </c>
      <c r="E15" s="4" t="inlineStr">
        <is>
          <t>2026-09-09</t>
        </is>
      </c>
      <c r="F15" s="4" t="inlineStr">
        <is>
          <t>FICTIF_DEMO</t>
        </is>
      </c>
      <c r="G15" s="4" t="inlineStr">
        <is>
          <t>2026-09-09</t>
        </is>
      </c>
      <c r="H15" s="17">
        <f>IFERROR(C15/SUMIFS($C:$C,$A:$A,A15,$B:$B,TEXT(VALUE(LEFT(B15,4))-1,"0")&amp;RIGHT(B15,3))-1,"")</f>
        <v/>
      </c>
    </row>
    <row r="16">
      <c r="A16" s="4" t="inlineStr">
        <is>
          <t>ICC</t>
        </is>
      </c>
      <c r="B16" s="4" t="inlineStr">
        <is>
          <t>2021-T3</t>
        </is>
      </c>
      <c r="C16" s="16" t="n">
        <v>1780</v>
      </c>
      <c r="D16" s="4" t="inlineStr">
        <is>
          <t>A</t>
        </is>
      </c>
      <c r="E16" s="4" t="inlineStr">
        <is>
          <t>2026-09-09</t>
        </is>
      </c>
      <c r="F16" s="4" t="inlineStr">
        <is>
          <t>FICTIF_DEMO</t>
        </is>
      </c>
      <c r="G16" s="4" t="inlineStr">
        <is>
          <t>2026-09-09</t>
        </is>
      </c>
      <c r="H16" s="17">
        <f>IFERROR(C16/SUMIFS($C:$C,$A:$A,A16,$B:$B,TEXT(VALUE(LEFT(B16,4))-1,"0")&amp;RIGHT(B16,3))-1,"")</f>
        <v/>
      </c>
    </row>
    <row r="17">
      <c r="A17" s="4" t="inlineStr">
        <is>
          <t>ICC</t>
        </is>
      </c>
      <c r="B17" s="4" t="inlineStr">
        <is>
          <t>2021-T4</t>
        </is>
      </c>
      <c r="C17" s="16" t="n">
        <v>1772</v>
      </c>
      <c r="D17" s="4" t="inlineStr">
        <is>
          <t>A</t>
        </is>
      </c>
      <c r="E17" s="4" t="inlineStr">
        <is>
          <t>2026-09-09</t>
        </is>
      </c>
      <c r="F17" s="4" t="inlineStr">
        <is>
          <t>FICTIF_DEMO</t>
        </is>
      </c>
      <c r="G17" s="4" t="inlineStr">
        <is>
          <t>2026-09-09</t>
        </is>
      </c>
      <c r="H17" s="17">
        <f>IFERROR(C17/SUMIFS($C:$C,$A:$A,A17,$B:$B,TEXT(VALUE(LEFT(B17,4))-1,"0")&amp;RIGHT(B17,3))-1,"")</f>
        <v/>
      </c>
    </row>
    <row r="18">
      <c r="A18" s="4" t="inlineStr">
        <is>
          <t>ICC</t>
        </is>
      </c>
      <c r="B18" s="4" t="inlineStr">
        <is>
          <t>2022-T1</t>
        </is>
      </c>
      <c r="C18" s="16" t="n">
        <v>1764</v>
      </c>
      <c r="D18" s="4" t="inlineStr">
        <is>
          <t>A</t>
        </is>
      </c>
      <c r="E18" s="4" t="inlineStr">
        <is>
          <t>2026-09-09</t>
        </is>
      </c>
      <c r="F18" s="4" t="inlineStr">
        <is>
          <t>FICTIF_DEMO</t>
        </is>
      </c>
      <c r="G18" s="4" t="inlineStr">
        <is>
          <t>2026-09-09</t>
        </is>
      </c>
      <c r="H18" s="17">
        <f>IFERROR(C18/SUMIFS($C:$C,$A:$A,A18,$B:$B,TEXT(VALUE(LEFT(B18,4))-1,"0")&amp;RIGHT(B18,3))-1,"")</f>
        <v/>
      </c>
    </row>
    <row r="19">
      <c r="A19" s="4" t="inlineStr">
        <is>
          <t>ICC</t>
        </is>
      </c>
      <c r="B19" s="4" t="inlineStr">
        <is>
          <t>2022-T2</t>
        </is>
      </c>
      <c r="C19" s="16" t="n">
        <v>1772</v>
      </c>
      <c r="D19" s="4" t="inlineStr">
        <is>
          <t>A</t>
        </is>
      </c>
      <c r="E19" s="4" t="inlineStr">
        <is>
          <t>2026-09-09</t>
        </is>
      </c>
      <c r="F19" s="4" t="inlineStr">
        <is>
          <t>FICTIF_DEMO</t>
        </is>
      </c>
      <c r="G19" s="4" t="inlineStr">
        <is>
          <t>2026-09-09</t>
        </is>
      </c>
      <c r="H19" s="17">
        <f>IFERROR(C19/SUMIFS($C:$C,$A:$A,A19,$B:$B,TEXT(VALUE(LEFT(B19,4))-1,"0")&amp;RIGHT(B19,3))-1,"")</f>
        <v/>
      </c>
    </row>
    <row r="20">
      <c r="A20" s="4" t="inlineStr">
        <is>
          <t>ICC</t>
        </is>
      </c>
      <c r="B20" s="4" t="inlineStr">
        <is>
          <t>2022-T3</t>
        </is>
      </c>
      <c r="C20" s="16" t="n">
        <v>1780</v>
      </c>
      <c r="D20" s="4" t="inlineStr">
        <is>
          <t>A</t>
        </is>
      </c>
      <c r="E20" s="4" t="inlineStr">
        <is>
          <t>2026-09-09</t>
        </is>
      </c>
      <c r="F20" s="4" t="inlineStr">
        <is>
          <t>FICTIF_DEMO</t>
        </is>
      </c>
      <c r="G20" s="4" t="inlineStr">
        <is>
          <t>2026-09-09</t>
        </is>
      </c>
      <c r="H20" s="17">
        <f>IFERROR(C20/SUMIFS($C:$C,$A:$A,A20,$B:$B,TEXT(VALUE(LEFT(B20,4))-1,"0")&amp;RIGHT(B20,3))-1,"")</f>
        <v/>
      </c>
    </row>
    <row r="21">
      <c r="A21" s="4" t="inlineStr">
        <is>
          <t>ICC</t>
        </is>
      </c>
      <c r="B21" s="4" t="inlineStr">
        <is>
          <t>2022-T4</t>
        </is>
      </c>
      <c r="C21" s="16" t="n">
        <v>1788</v>
      </c>
      <c r="D21" s="4" t="inlineStr">
        <is>
          <t>A</t>
        </is>
      </c>
      <c r="E21" s="4" t="inlineStr">
        <is>
          <t>2026-09-09</t>
        </is>
      </c>
      <c r="F21" s="4" t="inlineStr">
        <is>
          <t>FICTIF_DEMO</t>
        </is>
      </c>
      <c r="G21" s="4" t="inlineStr">
        <is>
          <t>2026-09-09</t>
        </is>
      </c>
      <c r="H21" s="17">
        <f>IFERROR(C21/SUMIFS($C:$C,$A:$A,A21,$B:$B,TEXT(VALUE(LEFT(B21,4))-1,"0")&amp;RIGHT(B21,3))-1,"")</f>
        <v/>
      </c>
    </row>
    <row r="22">
      <c r="A22" s="4" t="inlineStr">
        <is>
          <t>ICC</t>
        </is>
      </c>
      <c r="B22" s="4" t="inlineStr">
        <is>
          <t>2023-T1</t>
        </is>
      </c>
      <c r="C22" s="16" t="n">
        <v>1796</v>
      </c>
      <c r="D22" s="4" t="inlineStr">
        <is>
          <t>A</t>
        </is>
      </c>
      <c r="E22" s="4" t="inlineStr">
        <is>
          <t>2026-09-09</t>
        </is>
      </c>
      <c r="F22" s="4" t="inlineStr">
        <is>
          <t>FICTIF_DEMO</t>
        </is>
      </c>
      <c r="G22" s="4" t="inlineStr">
        <is>
          <t>2026-09-09</t>
        </is>
      </c>
      <c r="H22" s="17">
        <f>IFERROR(C22/SUMIFS($C:$C,$A:$A,A22,$B:$B,TEXT(VALUE(LEFT(B22,4))-1,"0")&amp;RIGHT(B22,3))-1,"")</f>
        <v/>
      </c>
    </row>
    <row r="23">
      <c r="A23" s="4" t="inlineStr">
        <is>
          <t>ICC</t>
        </is>
      </c>
      <c r="B23" s="4" t="inlineStr">
        <is>
          <t>2023-T2</t>
        </is>
      </c>
      <c r="C23" s="16" t="n">
        <v>1804</v>
      </c>
      <c r="D23" s="4" t="inlineStr">
        <is>
          <t>A</t>
        </is>
      </c>
      <c r="E23" s="4" t="inlineStr">
        <is>
          <t>2026-09-09</t>
        </is>
      </c>
      <c r="F23" s="4" t="inlineStr">
        <is>
          <t>FICTIF_DEMO</t>
        </is>
      </c>
      <c r="G23" s="4" t="inlineStr">
        <is>
          <t>2026-09-09</t>
        </is>
      </c>
      <c r="H23" s="17">
        <f>IFERROR(C23/SUMIFS($C:$C,$A:$A,A23,$B:$B,TEXT(VALUE(LEFT(B23,4))-1,"0")&amp;RIGHT(B23,3))-1,"")</f>
        <v/>
      </c>
    </row>
    <row r="24">
      <c r="A24" s="4" t="inlineStr">
        <is>
          <t>ICC</t>
        </is>
      </c>
      <c r="B24" s="4" t="inlineStr">
        <is>
          <t>2023-T3</t>
        </is>
      </c>
      <c r="C24" s="16" t="n">
        <v>1812</v>
      </c>
      <c r="D24" s="4" t="inlineStr">
        <is>
          <t>A</t>
        </is>
      </c>
      <c r="E24" s="4" t="inlineStr">
        <is>
          <t>2026-09-09</t>
        </is>
      </c>
      <c r="F24" s="4" t="inlineStr">
        <is>
          <t>FICTIF_DEMO</t>
        </is>
      </c>
      <c r="G24" s="4" t="inlineStr">
        <is>
          <t>2026-09-09</t>
        </is>
      </c>
      <c r="H24" s="17">
        <f>IFERROR(C24/SUMIFS($C:$C,$A:$A,A24,$B:$B,TEXT(VALUE(LEFT(B24,4))-1,"0")&amp;RIGHT(B24,3))-1,"")</f>
        <v/>
      </c>
    </row>
    <row r="25">
      <c r="A25" s="4" t="inlineStr">
        <is>
          <t>ICC</t>
        </is>
      </c>
      <c r="B25" s="4" t="inlineStr">
        <is>
          <t>2023-T4</t>
        </is>
      </c>
      <c r="C25" s="16" t="n">
        <v>1820</v>
      </c>
      <c r="D25" s="4" t="inlineStr">
        <is>
          <t>A</t>
        </is>
      </c>
      <c r="E25" s="4" t="inlineStr">
        <is>
          <t>2026-09-09</t>
        </is>
      </c>
      <c r="F25" s="4" t="inlineStr">
        <is>
          <t>FICTIF_DEMO</t>
        </is>
      </c>
      <c r="G25" s="4" t="inlineStr">
        <is>
          <t>2026-09-09</t>
        </is>
      </c>
      <c r="H25" s="17">
        <f>IFERROR(C25/SUMIFS($C:$C,$A:$A,A25,$B:$B,TEXT(VALUE(LEFT(B25,4))-1,"0")&amp;RIGHT(B25,3))-1,"")</f>
        <v/>
      </c>
    </row>
    <row r="26">
      <c r="A26" s="4" t="inlineStr">
        <is>
          <t>ICC</t>
        </is>
      </c>
      <c r="B26" s="4" t="inlineStr">
        <is>
          <t>2024-T1</t>
        </is>
      </c>
      <c r="C26" s="16" t="n">
        <v>1828</v>
      </c>
      <c r="D26" s="4" t="inlineStr">
        <is>
          <t>A</t>
        </is>
      </c>
      <c r="E26" s="4" t="inlineStr">
        <is>
          <t>2026-09-09</t>
        </is>
      </c>
      <c r="F26" s="4" t="inlineStr">
        <is>
          <t>FICTIF_DEMO</t>
        </is>
      </c>
      <c r="G26" s="4" t="inlineStr">
        <is>
          <t>2026-09-09</t>
        </is>
      </c>
      <c r="H26" s="17">
        <f>IFERROR(C26/SUMIFS($C:$C,$A:$A,A26,$B:$B,TEXT(VALUE(LEFT(B26,4))-1,"0")&amp;RIGHT(B26,3))-1,"")</f>
        <v/>
      </c>
    </row>
    <row r="27">
      <c r="A27" s="4" t="inlineStr">
        <is>
          <t>ICC</t>
        </is>
      </c>
      <c r="B27" s="4" t="inlineStr">
        <is>
          <t>2024-T2</t>
        </is>
      </c>
      <c r="C27" s="16" t="n">
        <v>1836</v>
      </c>
      <c r="D27" s="4" t="inlineStr">
        <is>
          <t>A</t>
        </is>
      </c>
      <c r="E27" s="4" t="inlineStr">
        <is>
          <t>2026-09-09</t>
        </is>
      </c>
      <c r="F27" s="4" t="inlineStr">
        <is>
          <t>FICTIF_DEMO</t>
        </is>
      </c>
      <c r="G27" s="4" t="inlineStr">
        <is>
          <t>2026-09-09</t>
        </is>
      </c>
      <c r="H27" s="17">
        <f>IFERROR(C27/SUMIFS($C:$C,$A:$A,A27,$B:$B,TEXT(VALUE(LEFT(B27,4))-1,"0")&amp;RIGHT(B27,3))-1,"")</f>
        <v/>
      </c>
    </row>
    <row r="28">
      <c r="A28" s="4" t="inlineStr">
        <is>
          <t>ICC</t>
        </is>
      </c>
      <c r="B28" s="4" t="inlineStr">
        <is>
          <t>2024-T3</t>
        </is>
      </c>
      <c r="C28" s="16" t="n">
        <v>1844</v>
      </c>
      <c r="D28" s="4" t="inlineStr">
        <is>
          <t>A</t>
        </is>
      </c>
      <c r="E28" s="4" t="inlineStr">
        <is>
          <t>2026-09-09</t>
        </is>
      </c>
      <c r="F28" s="4" t="inlineStr">
        <is>
          <t>FICTIF_DEMO</t>
        </is>
      </c>
      <c r="G28" s="4" t="inlineStr">
        <is>
          <t>2026-09-09</t>
        </is>
      </c>
      <c r="H28" s="17">
        <f>IFERROR(C28/SUMIFS($C:$C,$A:$A,A28,$B:$B,TEXT(VALUE(LEFT(B28,4))-1,"0")&amp;RIGHT(B28,3))-1,"")</f>
        <v/>
      </c>
    </row>
    <row r="29">
      <c r="A29" s="4" t="inlineStr">
        <is>
          <t>ICC</t>
        </is>
      </c>
      <c r="B29" s="4" t="inlineStr">
        <is>
          <t>2024-T4</t>
        </is>
      </c>
      <c r="C29" s="16" t="n">
        <v>1852</v>
      </c>
      <c r="D29" s="4" t="inlineStr">
        <is>
          <t>A</t>
        </is>
      </c>
      <c r="E29" s="4" t="inlineStr">
        <is>
          <t>2026-09-09</t>
        </is>
      </c>
      <c r="F29" s="4" t="inlineStr">
        <is>
          <t>FICTIF_DEMO</t>
        </is>
      </c>
      <c r="G29" s="4" t="inlineStr">
        <is>
          <t>2026-09-09</t>
        </is>
      </c>
      <c r="H29" s="17">
        <f>IFERROR(C29/SUMIFS($C:$C,$A:$A,A29,$B:$B,TEXT(VALUE(LEFT(B29,4))-1,"0")&amp;RIGHT(B29,3))-1,"")</f>
        <v/>
      </c>
    </row>
    <row r="30">
      <c r="A30" s="4" t="inlineStr">
        <is>
          <t>ICC</t>
        </is>
      </c>
      <c r="B30" s="4" t="inlineStr">
        <is>
          <t>2025-T1</t>
        </is>
      </c>
      <c r="C30" s="16" t="n">
        <v>1860</v>
      </c>
      <c r="D30" s="4" t="inlineStr">
        <is>
          <t>A</t>
        </is>
      </c>
      <c r="E30" s="4" t="inlineStr">
        <is>
          <t>2026-09-09</t>
        </is>
      </c>
      <c r="F30" s="4" t="inlineStr">
        <is>
          <t>FICTIF_DEMO</t>
        </is>
      </c>
      <c r="G30" s="4" t="inlineStr">
        <is>
          <t>2026-09-09</t>
        </is>
      </c>
      <c r="H30" s="17">
        <f>IFERROR(C30/SUMIFS($C:$C,$A:$A,A30,$B:$B,TEXT(VALUE(LEFT(B30,4))-1,"0")&amp;RIGHT(B30,3))-1,"")</f>
        <v/>
      </c>
    </row>
    <row r="31">
      <c r="A31" s="4" t="inlineStr">
        <is>
          <t>ICC</t>
        </is>
      </c>
      <c r="B31" s="4" t="inlineStr">
        <is>
          <t>2025-T2</t>
        </is>
      </c>
      <c r="C31" s="16" t="n">
        <v>1868</v>
      </c>
      <c r="D31" s="4" t="inlineStr">
        <is>
          <t>A</t>
        </is>
      </c>
      <c r="E31" s="4" t="inlineStr">
        <is>
          <t>2026-09-09</t>
        </is>
      </c>
      <c r="F31" s="4" t="inlineStr">
        <is>
          <t>FICTIF_DEMO</t>
        </is>
      </c>
      <c r="G31" s="4" t="inlineStr">
        <is>
          <t>2026-09-09</t>
        </is>
      </c>
      <c r="H31" s="17">
        <f>IFERROR(C31/SUMIFS($C:$C,$A:$A,A31,$B:$B,TEXT(VALUE(LEFT(B31,4))-1,"0")&amp;RIGHT(B31,3))-1,"")</f>
        <v/>
      </c>
    </row>
    <row r="32">
      <c r="A32" s="4" t="inlineStr">
        <is>
          <t>ICC</t>
        </is>
      </c>
      <c r="B32" s="4" t="inlineStr">
        <is>
          <t>2025-T3</t>
        </is>
      </c>
      <c r="C32" s="16" t="n">
        <v>1876</v>
      </c>
      <c r="D32" s="4" t="inlineStr">
        <is>
          <t>A</t>
        </is>
      </c>
      <c r="E32" s="4" t="inlineStr">
        <is>
          <t>2026-09-09</t>
        </is>
      </c>
      <c r="F32" s="4" t="inlineStr">
        <is>
          <t>FICTIF_DEMO</t>
        </is>
      </c>
      <c r="G32" s="4" t="inlineStr">
        <is>
          <t>2026-09-09</t>
        </is>
      </c>
      <c r="H32" s="17">
        <f>IFERROR(C32/SUMIFS($C:$C,$A:$A,A32,$B:$B,TEXT(VALUE(LEFT(B32,4))-1,"0")&amp;RIGHT(B32,3))-1,"")</f>
        <v/>
      </c>
    </row>
    <row r="33">
      <c r="A33" s="4" t="inlineStr">
        <is>
          <t>ICC</t>
        </is>
      </c>
      <c r="B33" s="4" t="inlineStr">
        <is>
          <t>2025-T4</t>
        </is>
      </c>
      <c r="C33" s="16" t="n">
        <v>1884</v>
      </c>
      <c r="D33" s="4" t="inlineStr">
        <is>
          <t>A</t>
        </is>
      </c>
      <c r="E33" s="4" t="inlineStr">
        <is>
          <t>2026-09-09</t>
        </is>
      </c>
      <c r="F33" s="4" t="inlineStr">
        <is>
          <t>FICTIF_DEMO</t>
        </is>
      </c>
      <c r="G33" s="4" t="inlineStr">
        <is>
          <t>2026-09-09</t>
        </is>
      </c>
      <c r="H33" s="17">
        <f>IFERROR(C33/SUMIFS($C:$C,$A:$A,A33,$B:$B,TEXT(VALUE(LEFT(B33,4))-1,"0")&amp;RIGHT(B33,3))-1,"")</f>
        <v/>
      </c>
    </row>
    <row r="34">
      <c r="A34" s="4" t="inlineStr">
        <is>
          <t>ICC</t>
        </is>
      </c>
      <c r="B34" s="4" t="inlineStr">
        <is>
          <t>2026-T1</t>
        </is>
      </c>
      <c r="C34" s="16" t="n">
        <v>1892</v>
      </c>
      <c r="D34" s="4" t="inlineStr">
        <is>
          <t>P</t>
        </is>
      </c>
      <c r="E34" s="4" t="inlineStr">
        <is>
          <t>2026-09-09</t>
        </is>
      </c>
      <c r="F34" s="4" t="inlineStr">
        <is>
          <t>FICTIF_DEMO</t>
        </is>
      </c>
      <c r="G34" s="4" t="inlineStr">
        <is>
          <t>2026-09-09</t>
        </is>
      </c>
      <c r="H34" s="17">
        <f>IFERROR(C34/SUMIFS($C:$C,$A:$A,A34,$B:$B,TEXT(VALUE(LEFT(B34,4))-1,"0")&amp;RIGHT(B34,3))-1,"")</f>
        <v/>
      </c>
    </row>
    <row r="35">
      <c r="A35" s="4" t="inlineStr">
        <is>
          <t>ILAT</t>
        </is>
      </c>
      <c r="B35" s="4" t="inlineStr">
        <is>
          <t>2018-T1</t>
        </is>
      </c>
      <c r="C35" s="16" t="n">
        <v>108</v>
      </c>
      <c r="D35" s="4" t="inlineStr">
        <is>
          <t>A</t>
        </is>
      </c>
      <c r="E35" s="4" t="inlineStr">
        <is>
          <t>2026-09-09</t>
        </is>
      </c>
      <c r="F35" s="4" t="inlineStr">
        <is>
          <t>FICTIF_DEMO</t>
        </is>
      </c>
      <c r="G35" s="4" t="inlineStr">
        <is>
          <t>2026-09-09</t>
        </is>
      </c>
      <c r="H35" s="17">
        <f>IFERROR(C35/SUMIFS($C:$C,$A:$A,A35,$B:$B,TEXT(VALUE(LEFT(B35,4))-1,"0")&amp;RIGHT(B35,3))-1,"")</f>
        <v/>
      </c>
    </row>
    <row r="36">
      <c r="A36" s="4" t="inlineStr">
        <is>
          <t>ILAT</t>
        </is>
      </c>
      <c r="B36" s="4" t="inlineStr">
        <is>
          <t>2018-T2</t>
        </is>
      </c>
      <c r="C36" s="16" t="n">
        <v>108.55</v>
      </c>
      <c r="D36" s="4" t="inlineStr">
        <is>
          <t>A</t>
        </is>
      </c>
      <c r="E36" s="4" t="inlineStr">
        <is>
          <t>2026-09-09</t>
        </is>
      </c>
      <c r="F36" s="4" t="inlineStr">
        <is>
          <t>FICTIF_DEMO</t>
        </is>
      </c>
      <c r="G36" s="4" t="inlineStr">
        <is>
          <t>2026-09-09</t>
        </is>
      </c>
      <c r="H36" s="17">
        <f>IFERROR(C36/SUMIFS($C:$C,$A:$A,A36,$B:$B,TEXT(VALUE(LEFT(B36,4))-1,"0")&amp;RIGHT(B36,3))-1,"")</f>
        <v/>
      </c>
    </row>
    <row r="37">
      <c r="A37" s="4" t="inlineStr">
        <is>
          <t>ILAT</t>
        </is>
      </c>
      <c r="B37" s="4" t="inlineStr">
        <is>
          <t>2018-T3</t>
        </is>
      </c>
      <c r="C37" s="16" t="n">
        <v>109.1</v>
      </c>
      <c r="D37" s="4" t="inlineStr">
        <is>
          <t>A</t>
        </is>
      </c>
      <c r="E37" s="4" t="inlineStr">
        <is>
          <t>2026-09-09</t>
        </is>
      </c>
      <c r="F37" s="4" t="inlineStr">
        <is>
          <t>FICTIF_DEMO</t>
        </is>
      </c>
      <c r="G37" s="4" t="inlineStr">
        <is>
          <t>2026-09-09</t>
        </is>
      </c>
      <c r="H37" s="17">
        <f>IFERROR(C37/SUMIFS($C:$C,$A:$A,A37,$B:$B,TEXT(VALUE(LEFT(B37,4))-1,"0")&amp;RIGHT(B37,3))-1,"")</f>
        <v/>
      </c>
    </row>
    <row r="38">
      <c r="A38" s="4" t="inlineStr">
        <is>
          <t>ILAT</t>
        </is>
      </c>
      <c r="B38" s="4" t="inlineStr">
        <is>
          <t>2018-T4</t>
        </is>
      </c>
      <c r="C38" s="16" t="n">
        <v>109.65</v>
      </c>
      <c r="D38" s="4" t="inlineStr">
        <is>
          <t>A</t>
        </is>
      </c>
      <c r="E38" s="4" t="inlineStr">
        <is>
          <t>2026-09-09</t>
        </is>
      </c>
      <c r="F38" s="4" t="inlineStr">
        <is>
          <t>FICTIF_DEMO</t>
        </is>
      </c>
      <c r="G38" s="4" t="inlineStr">
        <is>
          <t>2026-09-09</t>
        </is>
      </c>
      <c r="H38" s="17">
        <f>IFERROR(C38/SUMIFS($C:$C,$A:$A,A38,$B:$B,TEXT(VALUE(LEFT(B38,4))-1,"0")&amp;RIGHT(B38,3))-1,"")</f>
        <v/>
      </c>
    </row>
    <row r="39">
      <c r="A39" s="4" t="inlineStr">
        <is>
          <t>ILAT</t>
        </is>
      </c>
      <c r="B39" s="4" t="inlineStr">
        <is>
          <t>2019-T1</t>
        </is>
      </c>
      <c r="C39" s="16" t="n">
        <v>110.2</v>
      </c>
      <c r="D39" s="4" t="inlineStr">
        <is>
          <t>A</t>
        </is>
      </c>
      <c r="E39" s="4" t="inlineStr">
        <is>
          <t>2026-09-09</t>
        </is>
      </c>
      <c r="F39" s="4" t="inlineStr">
        <is>
          <t>FICTIF_DEMO</t>
        </is>
      </c>
      <c r="G39" s="4" t="inlineStr">
        <is>
          <t>2026-09-09</t>
        </is>
      </c>
      <c r="H39" s="17">
        <f>IFERROR(C39/SUMIFS($C:$C,$A:$A,A39,$B:$B,TEXT(VALUE(LEFT(B39,4))-1,"0")&amp;RIGHT(B39,3))-1,"")</f>
        <v/>
      </c>
    </row>
    <row r="40">
      <c r="A40" s="4" t="inlineStr">
        <is>
          <t>ILAT</t>
        </is>
      </c>
      <c r="B40" s="4" t="inlineStr">
        <is>
          <t>2019-T2</t>
        </is>
      </c>
      <c r="C40" s="16" t="n">
        <v>110.75</v>
      </c>
      <c r="D40" s="4" t="inlineStr">
        <is>
          <t>A</t>
        </is>
      </c>
      <c r="E40" s="4" t="inlineStr">
        <is>
          <t>2026-09-09</t>
        </is>
      </c>
      <c r="F40" s="4" t="inlineStr">
        <is>
          <t>FICTIF_DEMO</t>
        </is>
      </c>
      <c r="G40" s="4" t="inlineStr">
        <is>
          <t>2026-09-09</t>
        </is>
      </c>
      <c r="H40" s="17">
        <f>IFERROR(C40/SUMIFS($C:$C,$A:$A,A40,$B:$B,TEXT(VALUE(LEFT(B40,4))-1,"0")&amp;RIGHT(B40,3))-1,"")</f>
        <v/>
      </c>
    </row>
    <row r="41">
      <c r="A41" s="4" t="inlineStr">
        <is>
          <t>ILAT</t>
        </is>
      </c>
      <c r="B41" s="4" t="inlineStr">
        <is>
          <t>2019-T3</t>
        </is>
      </c>
      <c r="C41" s="16" t="n">
        <v>111.3</v>
      </c>
      <c r="D41" s="4" t="inlineStr">
        <is>
          <t>A</t>
        </is>
      </c>
      <c r="E41" s="4" t="inlineStr">
        <is>
          <t>2026-09-09</t>
        </is>
      </c>
      <c r="F41" s="4" t="inlineStr">
        <is>
          <t>FICTIF_DEMO</t>
        </is>
      </c>
      <c r="G41" s="4" t="inlineStr">
        <is>
          <t>2026-09-09</t>
        </is>
      </c>
      <c r="H41" s="17">
        <f>IFERROR(C41/SUMIFS($C:$C,$A:$A,A41,$B:$B,TEXT(VALUE(LEFT(B41,4))-1,"0")&amp;RIGHT(B41,3))-1,"")</f>
        <v/>
      </c>
    </row>
    <row r="42">
      <c r="A42" s="4" t="inlineStr">
        <is>
          <t>ILAT</t>
        </is>
      </c>
      <c r="B42" s="4" t="inlineStr">
        <is>
          <t>2019-T4</t>
        </is>
      </c>
      <c r="C42" s="16" t="n">
        <v>111.85</v>
      </c>
      <c r="D42" s="4" t="inlineStr">
        <is>
          <t>A</t>
        </is>
      </c>
      <c r="E42" s="4" t="inlineStr">
        <is>
          <t>2026-09-09</t>
        </is>
      </c>
      <c r="F42" s="4" t="inlineStr">
        <is>
          <t>FICTIF_DEMO</t>
        </is>
      </c>
      <c r="G42" s="4" t="inlineStr">
        <is>
          <t>2026-09-09</t>
        </is>
      </c>
      <c r="H42" s="17">
        <f>IFERROR(C42/SUMIFS($C:$C,$A:$A,A42,$B:$B,TEXT(VALUE(LEFT(B42,4))-1,"0")&amp;RIGHT(B42,3))-1,"")</f>
        <v/>
      </c>
    </row>
    <row r="43">
      <c r="A43" s="4" t="inlineStr">
        <is>
          <t>ILAT</t>
        </is>
      </c>
      <c r="B43" s="4" t="inlineStr">
        <is>
          <t>2020-T1</t>
        </is>
      </c>
      <c r="C43" s="16" t="n">
        <v>112.4</v>
      </c>
      <c r="D43" s="4" t="inlineStr">
        <is>
          <t>A</t>
        </is>
      </c>
      <c r="E43" s="4" t="inlineStr">
        <is>
          <t>2026-09-09</t>
        </is>
      </c>
      <c r="F43" s="4" t="inlineStr">
        <is>
          <t>FICTIF_DEMO</t>
        </is>
      </c>
      <c r="G43" s="4" t="inlineStr">
        <is>
          <t>2026-09-09</t>
        </is>
      </c>
      <c r="H43" s="17">
        <f>IFERROR(C43/SUMIFS($C:$C,$A:$A,A43,$B:$B,TEXT(VALUE(LEFT(B43,4))-1,"0")&amp;RIGHT(B43,3))-1,"")</f>
        <v/>
      </c>
    </row>
    <row r="44">
      <c r="A44" s="4" t="inlineStr">
        <is>
          <t>ILAT</t>
        </is>
      </c>
      <c r="B44" s="4" t="inlineStr">
        <is>
          <t>2020-T2</t>
        </is>
      </c>
      <c r="C44" s="16" t="n">
        <v>112.95</v>
      </c>
      <c r="D44" s="4" t="inlineStr">
        <is>
          <t>A</t>
        </is>
      </c>
      <c r="E44" s="4" t="inlineStr">
        <is>
          <t>2026-09-09</t>
        </is>
      </c>
      <c r="F44" s="4" t="inlineStr">
        <is>
          <t>FICTIF_DEMO</t>
        </is>
      </c>
      <c r="G44" s="4" t="inlineStr">
        <is>
          <t>2026-09-09</t>
        </is>
      </c>
      <c r="H44" s="17">
        <f>IFERROR(C44/SUMIFS($C:$C,$A:$A,A44,$B:$B,TEXT(VALUE(LEFT(B44,4))-1,"0")&amp;RIGHT(B44,3))-1,"")</f>
        <v/>
      </c>
    </row>
    <row r="45">
      <c r="A45" s="4" t="inlineStr">
        <is>
          <t>ILAT</t>
        </is>
      </c>
      <c r="B45" s="4" t="inlineStr">
        <is>
          <t>2020-T3</t>
        </is>
      </c>
      <c r="C45" s="16" t="n">
        <v>113.5</v>
      </c>
      <c r="D45" s="4" t="inlineStr">
        <is>
          <t>A</t>
        </is>
      </c>
      <c r="E45" s="4" t="inlineStr">
        <is>
          <t>2026-09-09</t>
        </is>
      </c>
      <c r="F45" s="4" t="inlineStr">
        <is>
          <t>FICTIF_DEMO</t>
        </is>
      </c>
      <c r="G45" s="4" t="inlineStr">
        <is>
          <t>2026-09-09</t>
        </is>
      </c>
      <c r="H45" s="17">
        <f>IFERROR(C45/SUMIFS($C:$C,$A:$A,A45,$B:$B,TEXT(VALUE(LEFT(B45,4))-1,"0")&amp;RIGHT(B45,3))-1,"")</f>
        <v/>
      </c>
    </row>
    <row r="46">
      <c r="A46" s="4" t="inlineStr">
        <is>
          <t>ILAT</t>
        </is>
      </c>
      <c r="B46" s="4" t="inlineStr">
        <is>
          <t>2020-T4</t>
        </is>
      </c>
      <c r="C46" s="16" t="n">
        <v>114.05</v>
      </c>
      <c r="D46" s="4" t="inlineStr">
        <is>
          <t>A</t>
        </is>
      </c>
      <c r="E46" s="4" t="inlineStr">
        <is>
          <t>2026-09-09</t>
        </is>
      </c>
      <c r="F46" s="4" t="inlineStr">
        <is>
          <t>FICTIF_DEMO</t>
        </is>
      </c>
      <c r="G46" s="4" t="inlineStr">
        <is>
          <t>2026-09-09</t>
        </is>
      </c>
      <c r="H46" s="17">
        <f>IFERROR(C46/SUMIFS($C:$C,$A:$A,A46,$B:$B,TEXT(VALUE(LEFT(B46,4))-1,"0")&amp;RIGHT(B46,3))-1,"")</f>
        <v/>
      </c>
    </row>
    <row r="47">
      <c r="A47" s="4" t="inlineStr">
        <is>
          <t>ILAT</t>
        </is>
      </c>
      <c r="B47" s="4" t="inlineStr">
        <is>
          <t>2021-T1</t>
        </is>
      </c>
      <c r="C47" s="16" t="n">
        <v>114.6</v>
      </c>
      <c r="D47" s="4" t="inlineStr">
        <is>
          <t>A</t>
        </is>
      </c>
      <c r="E47" s="4" t="inlineStr">
        <is>
          <t>2026-09-09</t>
        </is>
      </c>
      <c r="F47" s="4" t="inlineStr">
        <is>
          <t>FICTIF_DEMO</t>
        </is>
      </c>
      <c r="G47" s="4" t="inlineStr">
        <is>
          <t>2026-09-09</t>
        </is>
      </c>
      <c r="H47" s="17">
        <f>IFERROR(C47/SUMIFS($C:$C,$A:$A,A47,$B:$B,TEXT(VALUE(LEFT(B47,4))-1,"0")&amp;RIGHT(B47,3))-1,"")</f>
        <v/>
      </c>
    </row>
    <row r="48">
      <c r="A48" s="4" t="inlineStr">
        <is>
          <t>ILAT</t>
        </is>
      </c>
      <c r="B48" s="4" t="inlineStr">
        <is>
          <t>2021-T2</t>
        </is>
      </c>
      <c r="C48" s="16" t="n">
        <v>114.05</v>
      </c>
      <c r="D48" s="4" t="inlineStr">
        <is>
          <t>A</t>
        </is>
      </c>
      <c r="E48" s="4" t="inlineStr">
        <is>
          <t>2026-09-09</t>
        </is>
      </c>
      <c r="F48" s="4" t="inlineStr">
        <is>
          <t>FICTIF_DEMO</t>
        </is>
      </c>
      <c r="G48" s="4" t="inlineStr">
        <is>
          <t>2026-09-09</t>
        </is>
      </c>
      <c r="H48" s="17">
        <f>IFERROR(C48/SUMIFS($C:$C,$A:$A,A48,$B:$B,TEXT(VALUE(LEFT(B48,4))-1,"0")&amp;RIGHT(B48,3))-1,"")</f>
        <v/>
      </c>
    </row>
    <row r="49">
      <c r="A49" s="4" t="inlineStr">
        <is>
          <t>ILAT</t>
        </is>
      </c>
      <c r="B49" s="4" t="inlineStr">
        <is>
          <t>2021-T3</t>
        </is>
      </c>
      <c r="C49" s="16" t="n">
        <v>113.5</v>
      </c>
      <c r="D49" s="4" t="inlineStr">
        <is>
          <t>A</t>
        </is>
      </c>
      <c r="E49" s="4" t="inlineStr">
        <is>
          <t>2026-09-09</t>
        </is>
      </c>
      <c r="F49" s="4" t="inlineStr">
        <is>
          <t>FICTIF_DEMO</t>
        </is>
      </c>
      <c r="G49" s="4" t="inlineStr">
        <is>
          <t>2026-09-09</t>
        </is>
      </c>
      <c r="H49" s="17">
        <f>IFERROR(C49/SUMIFS($C:$C,$A:$A,A49,$B:$B,TEXT(VALUE(LEFT(B49,4))-1,"0")&amp;RIGHT(B49,3))-1,"")</f>
        <v/>
      </c>
    </row>
    <row r="50">
      <c r="A50" s="4" t="inlineStr">
        <is>
          <t>ILAT</t>
        </is>
      </c>
      <c r="B50" s="4" t="inlineStr">
        <is>
          <t>2021-T4</t>
        </is>
      </c>
      <c r="C50" s="16" t="n">
        <v>112.95</v>
      </c>
      <c r="D50" s="4" t="inlineStr">
        <is>
          <t>A</t>
        </is>
      </c>
      <c r="E50" s="4" t="inlineStr">
        <is>
          <t>2026-09-09</t>
        </is>
      </c>
      <c r="F50" s="4" t="inlineStr">
        <is>
          <t>FICTIF_DEMO</t>
        </is>
      </c>
      <c r="G50" s="4" t="inlineStr">
        <is>
          <t>2026-09-09</t>
        </is>
      </c>
      <c r="H50" s="17">
        <f>IFERROR(C50/SUMIFS($C:$C,$A:$A,A50,$B:$B,TEXT(VALUE(LEFT(B50,4))-1,"0")&amp;RIGHT(B50,3))-1,"")</f>
        <v/>
      </c>
    </row>
    <row r="51">
      <c r="A51" s="4" t="inlineStr">
        <is>
          <t>ILAT</t>
        </is>
      </c>
      <c r="B51" s="4" t="inlineStr">
        <is>
          <t>2022-T1</t>
        </is>
      </c>
      <c r="C51" s="16" t="n">
        <v>112.4</v>
      </c>
      <c r="D51" s="4" t="inlineStr">
        <is>
          <t>A</t>
        </is>
      </c>
      <c r="E51" s="4" t="inlineStr">
        <is>
          <t>2026-09-09</t>
        </is>
      </c>
      <c r="F51" s="4" t="inlineStr">
        <is>
          <t>FICTIF_DEMO</t>
        </is>
      </c>
      <c r="G51" s="4" t="inlineStr">
        <is>
          <t>2026-09-09</t>
        </is>
      </c>
      <c r="H51" s="17">
        <f>IFERROR(C51/SUMIFS($C:$C,$A:$A,A51,$B:$B,TEXT(VALUE(LEFT(B51,4))-1,"0")&amp;RIGHT(B51,3))-1,"")</f>
        <v/>
      </c>
    </row>
    <row r="52">
      <c r="A52" s="4" t="inlineStr">
        <is>
          <t>ILAT</t>
        </is>
      </c>
      <c r="B52" s="4" t="inlineStr">
        <is>
          <t>2022-T2</t>
        </is>
      </c>
      <c r="C52" s="16" t="n">
        <v>112.95</v>
      </c>
      <c r="D52" s="4" t="inlineStr">
        <is>
          <t>A</t>
        </is>
      </c>
      <c r="E52" s="4" t="inlineStr">
        <is>
          <t>2026-09-09</t>
        </is>
      </c>
      <c r="F52" s="4" t="inlineStr">
        <is>
          <t>FICTIF_DEMO</t>
        </is>
      </c>
      <c r="G52" s="4" t="inlineStr">
        <is>
          <t>2026-09-09</t>
        </is>
      </c>
      <c r="H52" s="17">
        <f>IFERROR(C52/SUMIFS($C:$C,$A:$A,A52,$B:$B,TEXT(VALUE(LEFT(B52,4))-1,"0")&amp;RIGHT(B52,3))-1,"")</f>
        <v/>
      </c>
    </row>
    <row r="53">
      <c r="A53" s="4" t="inlineStr">
        <is>
          <t>ILAT</t>
        </is>
      </c>
      <c r="B53" s="4" t="inlineStr">
        <is>
          <t>2022-T3</t>
        </is>
      </c>
      <c r="C53" s="16" t="n">
        <v>113.5</v>
      </c>
      <c r="D53" s="4" t="inlineStr">
        <is>
          <t>A</t>
        </is>
      </c>
      <c r="E53" s="4" t="inlineStr">
        <is>
          <t>2026-09-09</t>
        </is>
      </c>
      <c r="F53" s="4" t="inlineStr">
        <is>
          <t>FICTIF_DEMO</t>
        </is>
      </c>
      <c r="G53" s="4" t="inlineStr">
        <is>
          <t>2026-09-09</t>
        </is>
      </c>
      <c r="H53" s="17">
        <f>IFERROR(C53/SUMIFS($C:$C,$A:$A,A53,$B:$B,TEXT(VALUE(LEFT(B53,4))-1,"0")&amp;RIGHT(B53,3))-1,"")</f>
        <v/>
      </c>
    </row>
    <row r="54">
      <c r="A54" s="4" t="inlineStr">
        <is>
          <t>ILAT</t>
        </is>
      </c>
      <c r="B54" s="4" t="inlineStr">
        <is>
          <t>2022-T4</t>
        </is>
      </c>
      <c r="C54" s="16" t="n">
        <v>114.05</v>
      </c>
      <c r="D54" s="4" t="inlineStr">
        <is>
          <t>A</t>
        </is>
      </c>
      <c r="E54" s="4" t="inlineStr">
        <is>
          <t>2026-09-09</t>
        </is>
      </c>
      <c r="F54" s="4" t="inlineStr">
        <is>
          <t>FICTIF_DEMO</t>
        </is>
      </c>
      <c r="G54" s="4" t="inlineStr">
        <is>
          <t>2026-09-09</t>
        </is>
      </c>
      <c r="H54" s="17">
        <f>IFERROR(C54/SUMIFS($C:$C,$A:$A,A54,$B:$B,TEXT(VALUE(LEFT(B54,4))-1,"0")&amp;RIGHT(B54,3))-1,"")</f>
        <v/>
      </c>
    </row>
    <row r="55">
      <c r="A55" s="4" t="inlineStr">
        <is>
          <t>ILAT</t>
        </is>
      </c>
      <c r="B55" s="4" t="inlineStr">
        <is>
          <t>2023-T1</t>
        </is>
      </c>
      <c r="C55" s="16" t="n">
        <v>114.6</v>
      </c>
      <c r="D55" s="4" t="inlineStr">
        <is>
          <t>A</t>
        </is>
      </c>
      <c r="E55" s="4" t="inlineStr">
        <is>
          <t>2026-09-09</t>
        </is>
      </c>
      <c r="F55" s="4" t="inlineStr">
        <is>
          <t>FICTIF_DEMO</t>
        </is>
      </c>
      <c r="G55" s="4" t="inlineStr">
        <is>
          <t>2026-09-09</t>
        </is>
      </c>
      <c r="H55" s="17">
        <f>IFERROR(C55/SUMIFS($C:$C,$A:$A,A55,$B:$B,TEXT(VALUE(LEFT(B55,4))-1,"0")&amp;RIGHT(B55,3))-1,"")</f>
        <v/>
      </c>
    </row>
    <row r="56">
      <c r="A56" s="4" t="inlineStr">
        <is>
          <t>ILAT</t>
        </is>
      </c>
      <c r="B56" s="4" t="inlineStr">
        <is>
          <t>2023-T2</t>
        </is>
      </c>
      <c r="C56" s="16" t="n">
        <v>115.15</v>
      </c>
      <c r="D56" s="4" t="inlineStr">
        <is>
          <t>A</t>
        </is>
      </c>
      <c r="E56" s="4" t="inlineStr">
        <is>
          <t>2026-09-09</t>
        </is>
      </c>
      <c r="F56" s="4" t="inlineStr">
        <is>
          <t>FICTIF_DEMO</t>
        </is>
      </c>
      <c r="G56" s="4" t="inlineStr">
        <is>
          <t>2026-09-09</t>
        </is>
      </c>
      <c r="H56" s="17">
        <f>IFERROR(C56/SUMIFS($C:$C,$A:$A,A56,$B:$B,TEXT(VALUE(LEFT(B56,4))-1,"0")&amp;RIGHT(B56,3))-1,"")</f>
        <v/>
      </c>
    </row>
    <row r="57">
      <c r="A57" s="4" t="inlineStr">
        <is>
          <t>ILAT</t>
        </is>
      </c>
      <c r="B57" s="4" t="inlineStr">
        <is>
          <t>2023-T3</t>
        </is>
      </c>
      <c r="C57" s="16" t="n">
        <v>115.7</v>
      </c>
      <c r="D57" s="4" t="inlineStr">
        <is>
          <t>A</t>
        </is>
      </c>
      <c r="E57" s="4" t="inlineStr">
        <is>
          <t>2026-09-09</t>
        </is>
      </c>
      <c r="F57" s="4" t="inlineStr">
        <is>
          <t>FICTIF_DEMO</t>
        </is>
      </c>
      <c r="G57" s="4" t="inlineStr">
        <is>
          <t>2026-09-09</t>
        </is>
      </c>
      <c r="H57" s="17">
        <f>IFERROR(C57/SUMIFS($C:$C,$A:$A,A57,$B:$B,TEXT(VALUE(LEFT(B57,4))-1,"0")&amp;RIGHT(B57,3))-1,"")</f>
        <v/>
      </c>
    </row>
    <row r="58">
      <c r="A58" s="4" t="inlineStr">
        <is>
          <t>ILAT</t>
        </is>
      </c>
      <c r="B58" s="4" t="inlineStr">
        <is>
          <t>2023-T4</t>
        </is>
      </c>
      <c r="C58" s="16" t="n">
        <v>116.25</v>
      </c>
      <c r="D58" s="4" t="inlineStr">
        <is>
          <t>A</t>
        </is>
      </c>
      <c r="E58" s="4" t="inlineStr">
        <is>
          <t>2026-09-09</t>
        </is>
      </c>
      <c r="F58" s="4" t="inlineStr">
        <is>
          <t>FICTIF_DEMO</t>
        </is>
      </c>
      <c r="G58" s="4" t="inlineStr">
        <is>
          <t>2026-09-09</t>
        </is>
      </c>
      <c r="H58" s="17">
        <f>IFERROR(C58/SUMIFS($C:$C,$A:$A,A58,$B:$B,TEXT(VALUE(LEFT(B58,4))-1,"0")&amp;RIGHT(B58,3))-1,"")</f>
        <v/>
      </c>
    </row>
    <row r="59">
      <c r="A59" s="4" t="inlineStr">
        <is>
          <t>ILAT</t>
        </is>
      </c>
      <c r="B59" s="4" t="inlineStr">
        <is>
          <t>2024-T1</t>
        </is>
      </c>
      <c r="C59" s="16" t="n">
        <v>116.8</v>
      </c>
      <c r="D59" s="4" t="inlineStr">
        <is>
          <t>A</t>
        </is>
      </c>
      <c r="E59" s="4" t="inlineStr">
        <is>
          <t>2026-09-09</t>
        </is>
      </c>
      <c r="F59" s="4" t="inlineStr">
        <is>
          <t>FICTIF_DEMO</t>
        </is>
      </c>
      <c r="G59" s="4" t="inlineStr">
        <is>
          <t>2026-09-09</t>
        </is>
      </c>
      <c r="H59" s="17">
        <f>IFERROR(C59/SUMIFS($C:$C,$A:$A,A59,$B:$B,TEXT(VALUE(LEFT(B59,4))-1,"0")&amp;RIGHT(B59,3))-1,"")</f>
        <v/>
      </c>
    </row>
    <row r="60">
      <c r="A60" s="4" t="inlineStr">
        <is>
          <t>ILAT</t>
        </is>
      </c>
      <c r="B60" s="4" t="inlineStr">
        <is>
          <t>2024-T2</t>
        </is>
      </c>
      <c r="C60" s="16" t="n">
        <v>117.35</v>
      </c>
      <c r="D60" s="4" t="inlineStr">
        <is>
          <t>A</t>
        </is>
      </c>
      <c r="E60" s="4" t="inlineStr">
        <is>
          <t>2026-09-09</t>
        </is>
      </c>
      <c r="F60" s="4" t="inlineStr">
        <is>
          <t>FICTIF_DEMO</t>
        </is>
      </c>
      <c r="G60" s="4" t="inlineStr">
        <is>
          <t>2026-09-09</t>
        </is>
      </c>
      <c r="H60" s="17">
        <f>IFERROR(C60/SUMIFS($C:$C,$A:$A,A60,$B:$B,TEXT(VALUE(LEFT(B60,4))-1,"0")&amp;RIGHT(B60,3))-1,"")</f>
        <v/>
      </c>
    </row>
    <row r="61">
      <c r="A61" s="4" t="inlineStr">
        <is>
          <t>ILAT</t>
        </is>
      </c>
      <c r="B61" s="4" t="inlineStr">
        <is>
          <t>2024-T3</t>
        </is>
      </c>
      <c r="C61" s="16" t="n">
        <v>117.9</v>
      </c>
      <c r="D61" s="4" t="inlineStr">
        <is>
          <t>A</t>
        </is>
      </c>
      <c r="E61" s="4" t="inlineStr">
        <is>
          <t>2026-09-09</t>
        </is>
      </c>
      <c r="F61" s="4" t="inlineStr">
        <is>
          <t>FICTIF_DEMO</t>
        </is>
      </c>
      <c r="G61" s="4" t="inlineStr">
        <is>
          <t>2026-09-09</t>
        </is>
      </c>
      <c r="H61" s="17">
        <f>IFERROR(C61/SUMIFS($C:$C,$A:$A,A61,$B:$B,TEXT(VALUE(LEFT(B61,4))-1,"0")&amp;RIGHT(B61,3))-1,"")</f>
        <v/>
      </c>
    </row>
    <row r="62">
      <c r="A62" s="4" t="inlineStr">
        <is>
          <t>ILAT</t>
        </is>
      </c>
      <c r="B62" s="4" t="inlineStr">
        <is>
          <t>2024-T4</t>
        </is>
      </c>
      <c r="C62" s="16" t="n">
        <v>118.45</v>
      </c>
      <c r="D62" s="4" t="inlineStr">
        <is>
          <t>A</t>
        </is>
      </c>
      <c r="E62" s="4" t="inlineStr">
        <is>
          <t>2026-09-09</t>
        </is>
      </c>
      <c r="F62" s="4" t="inlineStr">
        <is>
          <t>FICTIF_DEMO</t>
        </is>
      </c>
      <c r="G62" s="4" t="inlineStr">
        <is>
          <t>2026-09-09</t>
        </is>
      </c>
      <c r="H62" s="17">
        <f>IFERROR(C62/SUMIFS($C:$C,$A:$A,A62,$B:$B,TEXT(VALUE(LEFT(B62,4))-1,"0")&amp;RIGHT(B62,3))-1,"")</f>
        <v/>
      </c>
    </row>
    <row r="63">
      <c r="A63" s="4" t="inlineStr">
        <is>
          <t>ILAT</t>
        </is>
      </c>
      <c r="B63" s="4" t="inlineStr">
        <is>
          <t>2025-T1</t>
        </is>
      </c>
      <c r="C63" s="16" t="n">
        <v>119</v>
      </c>
      <c r="D63" s="4" t="inlineStr">
        <is>
          <t>A</t>
        </is>
      </c>
      <c r="E63" s="4" t="inlineStr">
        <is>
          <t>2026-09-09</t>
        </is>
      </c>
      <c r="F63" s="4" t="inlineStr">
        <is>
          <t>FICTIF_DEMO</t>
        </is>
      </c>
      <c r="G63" s="4" t="inlineStr">
        <is>
          <t>2026-09-09</t>
        </is>
      </c>
      <c r="H63" s="17">
        <f>IFERROR(C63/SUMIFS($C:$C,$A:$A,A63,$B:$B,TEXT(VALUE(LEFT(B63,4))-1,"0")&amp;RIGHT(B63,3))-1,"")</f>
        <v/>
      </c>
    </row>
    <row r="64">
      <c r="A64" s="4" t="inlineStr">
        <is>
          <t>ILAT</t>
        </is>
      </c>
      <c r="B64" s="4" t="inlineStr">
        <is>
          <t>2025-T2</t>
        </is>
      </c>
      <c r="C64" s="16" t="n">
        <v>119.55</v>
      </c>
      <c r="D64" s="4" t="inlineStr">
        <is>
          <t>A</t>
        </is>
      </c>
      <c r="E64" s="4" t="inlineStr">
        <is>
          <t>2026-09-09</t>
        </is>
      </c>
      <c r="F64" s="4" t="inlineStr">
        <is>
          <t>FICTIF_DEMO</t>
        </is>
      </c>
      <c r="G64" s="4" t="inlineStr">
        <is>
          <t>2026-09-09</t>
        </is>
      </c>
      <c r="H64" s="17">
        <f>IFERROR(C64/SUMIFS($C:$C,$A:$A,A64,$B:$B,TEXT(VALUE(LEFT(B64,4))-1,"0")&amp;RIGHT(B64,3))-1,"")</f>
        <v/>
      </c>
    </row>
    <row r="65">
      <c r="A65" s="4" t="inlineStr">
        <is>
          <t>ILAT</t>
        </is>
      </c>
      <c r="B65" s="4" t="inlineStr">
        <is>
          <t>2025-T3</t>
        </is>
      </c>
      <c r="C65" s="16" t="n">
        <v>120.1</v>
      </c>
      <c r="D65" s="4" t="inlineStr">
        <is>
          <t>A</t>
        </is>
      </c>
      <c r="E65" s="4" t="inlineStr">
        <is>
          <t>2026-09-09</t>
        </is>
      </c>
      <c r="F65" s="4" t="inlineStr">
        <is>
          <t>FICTIF_DEMO</t>
        </is>
      </c>
      <c r="G65" s="4" t="inlineStr">
        <is>
          <t>2026-09-09</t>
        </is>
      </c>
      <c r="H65" s="17">
        <f>IFERROR(C65/SUMIFS($C:$C,$A:$A,A65,$B:$B,TEXT(VALUE(LEFT(B65,4))-1,"0")&amp;RIGHT(B65,3))-1,"")</f>
        <v/>
      </c>
    </row>
    <row r="66">
      <c r="A66" s="4" t="inlineStr">
        <is>
          <t>ILAT</t>
        </is>
      </c>
      <c r="B66" s="4" t="inlineStr">
        <is>
          <t>2025-T4</t>
        </is>
      </c>
      <c r="C66" s="16" t="n">
        <v>120.65</v>
      </c>
      <c r="D66" s="4" t="inlineStr">
        <is>
          <t>A</t>
        </is>
      </c>
      <c r="E66" s="4" t="inlineStr">
        <is>
          <t>2026-09-09</t>
        </is>
      </c>
      <c r="F66" s="4" t="inlineStr">
        <is>
          <t>FICTIF_DEMO</t>
        </is>
      </c>
      <c r="G66" s="4" t="inlineStr">
        <is>
          <t>2026-09-09</t>
        </is>
      </c>
      <c r="H66" s="17">
        <f>IFERROR(C66/SUMIFS($C:$C,$A:$A,A66,$B:$B,TEXT(VALUE(LEFT(B66,4))-1,"0")&amp;RIGHT(B66,3))-1,"")</f>
        <v/>
      </c>
    </row>
    <row r="67">
      <c r="A67" s="4" t="inlineStr">
        <is>
          <t>ILAT</t>
        </is>
      </c>
      <c r="B67" s="4" t="inlineStr">
        <is>
          <t>2026-T1</t>
        </is>
      </c>
      <c r="C67" s="16" t="n">
        <v>121.2</v>
      </c>
      <c r="D67" s="4" t="inlineStr">
        <is>
          <t>P</t>
        </is>
      </c>
      <c r="E67" s="4" t="inlineStr">
        <is>
          <t>2026-09-09</t>
        </is>
      </c>
      <c r="F67" s="4" t="inlineStr">
        <is>
          <t>FICTIF_DEMO</t>
        </is>
      </c>
      <c r="G67" s="4" t="inlineStr">
        <is>
          <t>2026-09-09</t>
        </is>
      </c>
      <c r="H67" s="17">
        <f>IFERROR(C67/SUMIFS($C:$C,$A:$A,A67,$B:$B,TEXT(VALUE(LEFT(B67,4))-1,"0")&amp;RIGHT(B67,3))-1,"")</f>
        <v/>
      </c>
    </row>
    <row r="68">
      <c r="A68" s="4" t="inlineStr">
        <is>
          <t>ILC</t>
        </is>
      </c>
      <c r="B68" s="4" t="inlineStr">
        <is>
          <t>2018-T1</t>
        </is>
      </c>
      <c r="C68" s="16" t="n">
        <v>110</v>
      </c>
      <c r="D68" s="4" t="inlineStr">
        <is>
          <t>A</t>
        </is>
      </c>
      <c r="E68" s="4" t="inlineStr">
        <is>
          <t>2026-09-09</t>
        </is>
      </c>
      <c r="F68" s="4" t="inlineStr">
        <is>
          <t>FICTIF_DEMO</t>
        </is>
      </c>
      <c r="G68" s="4" t="inlineStr">
        <is>
          <t>2026-09-09</t>
        </is>
      </c>
      <c r="H68" s="17">
        <f>IFERROR(C68/SUMIFS($C:$C,$A:$A,A68,$B:$B,TEXT(VALUE(LEFT(B68,4))-1,"0")&amp;RIGHT(B68,3))-1,"")</f>
        <v/>
      </c>
    </row>
    <row r="69">
      <c r="A69" s="4" t="inlineStr">
        <is>
          <t>ILC</t>
        </is>
      </c>
      <c r="B69" s="4" t="inlineStr">
        <is>
          <t>2018-T2</t>
        </is>
      </c>
      <c r="C69" s="16" t="n">
        <v>110.6</v>
      </c>
      <c r="D69" s="4" t="inlineStr">
        <is>
          <t>A</t>
        </is>
      </c>
      <c r="E69" s="4" t="inlineStr">
        <is>
          <t>2026-09-09</t>
        </is>
      </c>
      <c r="F69" s="4" t="inlineStr">
        <is>
          <t>FICTIF_DEMO</t>
        </is>
      </c>
      <c r="G69" s="4" t="inlineStr">
        <is>
          <t>2026-09-09</t>
        </is>
      </c>
      <c r="H69" s="17">
        <f>IFERROR(C69/SUMIFS($C:$C,$A:$A,A69,$B:$B,TEXT(VALUE(LEFT(B69,4))-1,"0")&amp;RIGHT(B69,3))-1,"")</f>
        <v/>
      </c>
    </row>
    <row r="70">
      <c r="A70" s="4" t="inlineStr">
        <is>
          <t>ILC</t>
        </is>
      </c>
      <c r="B70" s="4" t="inlineStr">
        <is>
          <t>2018-T3</t>
        </is>
      </c>
      <c r="C70" s="16" t="n">
        <v>111.2</v>
      </c>
      <c r="D70" s="4" t="inlineStr">
        <is>
          <t>A</t>
        </is>
      </c>
      <c r="E70" s="4" t="inlineStr">
        <is>
          <t>2026-09-09</t>
        </is>
      </c>
      <c r="F70" s="4" t="inlineStr">
        <is>
          <t>FICTIF_DEMO</t>
        </is>
      </c>
      <c r="G70" s="4" t="inlineStr">
        <is>
          <t>2026-09-09</t>
        </is>
      </c>
      <c r="H70" s="17">
        <f>IFERROR(C70/SUMIFS($C:$C,$A:$A,A70,$B:$B,TEXT(VALUE(LEFT(B70,4))-1,"0")&amp;RIGHT(B70,3))-1,"")</f>
        <v/>
      </c>
    </row>
    <row r="71">
      <c r="A71" s="4" t="inlineStr">
        <is>
          <t>ILC</t>
        </is>
      </c>
      <c r="B71" s="4" t="inlineStr">
        <is>
          <t>2018-T4</t>
        </is>
      </c>
      <c r="C71" s="16" t="n">
        <v>111.8</v>
      </c>
      <c r="D71" s="4" t="inlineStr">
        <is>
          <t>A</t>
        </is>
      </c>
      <c r="E71" s="4" t="inlineStr">
        <is>
          <t>2026-09-09</t>
        </is>
      </c>
      <c r="F71" s="4" t="inlineStr">
        <is>
          <t>FICTIF_DEMO</t>
        </is>
      </c>
      <c r="G71" s="4" t="inlineStr">
        <is>
          <t>2026-09-09</t>
        </is>
      </c>
      <c r="H71" s="17">
        <f>IFERROR(C71/SUMIFS($C:$C,$A:$A,A71,$B:$B,TEXT(VALUE(LEFT(B71,4))-1,"0")&amp;RIGHT(B71,3))-1,"")</f>
        <v/>
      </c>
    </row>
    <row r="72">
      <c r="A72" s="4" t="inlineStr">
        <is>
          <t>ILC</t>
        </is>
      </c>
      <c r="B72" s="4" t="inlineStr">
        <is>
          <t>2019-T1</t>
        </is>
      </c>
      <c r="C72" s="16" t="n">
        <v>112.4</v>
      </c>
      <c r="D72" s="4" t="inlineStr">
        <is>
          <t>A</t>
        </is>
      </c>
      <c r="E72" s="4" t="inlineStr">
        <is>
          <t>2026-09-09</t>
        </is>
      </c>
      <c r="F72" s="4" t="inlineStr">
        <is>
          <t>FICTIF_DEMO</t>
        </is>
      </c>
      <c r="G72" s="4" t="inlineStr">
        <is>
          <t>2026-09-09</t>
        </is>
      </c>
      <c r="H72" s="17">
        <f>IFERROR(C72/SUMIFS($C:$C,$A:$A,A72,$B:$B,TEXT(VALUE(LEFT(B72,4))-1,"0")&amp;RIGHT(B72,3))-1,"")</f>
        <v/>
      </c>
    </row>
    <row r="73">
      <c r="A73" s="4" t="inlineStr">
        <is>
          <t>ILC</t>
        </is>
      </c>
      <c r="B73" s="4" t="inlineStr">
        <is>
          <t>2019-T2</t>
        </is>
      </c>
      <c r="C73" s="16" t="n">
        <v>113</v>
      </c>
      <c r="D73" s="4" t="inlineStr">
        <is>
          <t>A</t>
        </is>
      </c>
      <c r="E73" s="4" t="inlineStr">
        <is>
          <t>2026-09-09</t>
        </is>
      </c>
      <c r="F73" s="4" t="inlineStr">
        <is>
          <t>FICTIF_DEMO</t>
        </is>
      </c>
      <c r="G73" s="4" t="inlineStr">
        <is>
          <t>2026-09-09</t>
        </is>
      </c>
      <c r="H73" s="17">
        <f>IFERROR(C73/SUMIFS($C:$C,$A:$A,A73,$B:$B,TEXT(VALUE(LEFT(B73,4))-1,"0")&amp;RIGHT(B73,3))-1,"")</f>
        <v/>
      </c>
    </row>
    <row r="74">
      <c r="A74" s="4" t="inlineStr">
        <is>
          <t>ILC</t>
        </is>
      </c>
      <c r="B74" s="4" t="inlineStr">
        <is>
          <t>2019-T3</t>
        </is>
      </c>
      <c r="C74" s="16" t="n">
        <v>113.6</v>
      </c>
      <c r="D74" s="4" t="inlineStr">
        <is>
          <t>A</t>
        </is>
      </c>
      <c r="E74" s="4" t="inlineStr">
        <is>
          <t>2026-09-09</t>
        </is>
      </c>
      <c r="F74" s="4" t="inlineStr">
        <is>
          <t>FICTIF_DEMO</t>
        </is>
      </c>
      <c r="G74" s="4" t="inlineStr">
        <is>
          <t>2026-09-09</t>
        </is>
      </c>
      <c r="H74" s="17">
        <f>IFERROR(C74/SUMIFS($C:$C,$A:$A,A74,$B:$B,TEXT(VALUE(LEFT(B74,4))-1,"0")&amp;RIGHT(B74,3))-1,"")</f>
        <v/>
      </c>
    </row>
    <row r="75">
      <c r="A75" s="4" t="inlineStr">
        <is>
          <t>ILC</t>
        </is>
      </c>
      <c r="B75" s="4" t="inlineStr">
        <is>
          <t>2019-T4</t>
        </is>
      </c>
      <c r="C75" s="16" t="n">
        <v>114.2</v>
      </c>
      <c r="D75" s="4" t="inlineStr">
        <is>
          <t>A</t>
        </is>
      </c>
      <c r="E75" s="4" t="inlineStr">
        <is>
          <t>2026-09-09</t>
        </is>
      </c>
      <c r="F75" s="4" t="inlineStr">
        <is>
          <t>FICTIF_DEMO</t>
        </is>
      </c>
      <c r="G75" s="4" t="inlineStr">
        <is>
          <t>2026-09-09</t>
        </is>
      </c>
      <c r="H75" s="17">
        <f>IFERROR(C75/SUMIFS($C:$C,$A:$A,A75,$B:$B,TEXT(VALUE(LEFT(B75,4))-1,"0")&amp;RIGHT(B75,3))-1,"")</f>
        <v/>
      </c>
    </row>
    <row r="76">
      <c r="A76" s="4" t="inlineStr">
        <is>
          <t>ILC</t>
        </is>
      </c>
      <c r="B76" s="4" t="inlineStr">
        <is>
          <t>2020-T1</t>
        </is>
      </c>
      <c r="C76" s="16" t="n">
        <v>114.8</v>
      </c>
      <c r="D76" s="4" t="inlineStr">
        <is>
          <t>A</t>
        </is>
      </c>
      <c r="E76" s="4" t="inlineStr">
        <is>
          <t>2026-09-09</t>
        </is>
      </c>
      <c r="F76" s="4" t="inlineStr">
        <is>
          <t>FICTIF_DEMO</t>
        </is>
      </c>
      <c r="G76" s="4" t="inlineStr">
        <is>
          <t>2026-09-09</t>
        </is>
      </c>
      <c r="H76" s="17">
        <f>IFERROR(C76/SUMIFS($C:$C,$A:$A,A76,$B:$B,TEXT(VALUE(LEFT(B76,4))-1,"0")&amp;RIGHT(B76,3))-1,"")</f>
        <v/>
      </c>
    </row>
    <row r="77">
      <c r="A77" s="4" t="inlineStr">
        <is>
          <t>ILC</t>
        </is>
      </c>
      <c r="B77" s="4" t="inlineStr">
        <is>
          <t>2020-T2</t>
        </is>
      </c>
      <c r="C77" s="16" t="n">
        <v>115.4</v>
      </c>
      <c r="D77" s="4" t="inlineStr">
        <is>
          <t>A</t>
        </is>
      </c>
      <c r="E77" s="4" t="inlineStr">
        <is>
          <t>2026-09-09</t>
        </is>
      </c>
      <c r="F77" s="4" t="inlineStr">
        <is>
          <t>FICTIF_DEMO</t>
        </is>
      </c>
      <c r="G77" s="4" t="inlineStr">
        <is>
          <t>2026-09-09</t>
        </is>
      </c>
      <c r="H77" s="17">
        <f>IFERROR(C77/SUMIFS($C:$C,$A:$A,A77,$B:$B,TEXT(VALUE(LEFT(B77,4))-1,"0")&amp;RIGHT(B77,3))-1,"")</f>
        <v/>
      </c>
    </row>
    <row r="78">
      <c r="A78" s="4" t="inlineStr">
        <is>
          <t>ILC</t>
        </is>
      </c>
      <c r="B78" s="4" t="inlineStr">
        <is>
          <t>2020-T3</t>
        </is>
      </c>
      <c r="C78" s="16" t="n">
        <v>116</v>
      </c>
      <c r="D78" s="4" t="inlineStr">
        <is>
          <t>A</t>
        </is>
      </c>
      <c r="E78" s="4" t="inlineStr">
        <is>
          <t>2026-09-09</t>
        </is>
      </c>
      <c r="F78" s="4" t="inlineStr">
        <is>
          <t>FICTIF_DEMO</t>
        </is>
      </c>
      <c r="G78" s="4" t="inlineStr">
        <is>
          <t>2026-09-09</t>
        </is>
      </c>
      <c r="H78" s="17">
        <f>IFERROR(C78/SUMIFS($C:$C,$A:$A,A78,$B:$B,TEXT(VALUE(LEFT(B78,4))-1,"0")&amp;RIGHT(B78,3))-1,"")</f>
        <v/>
      </c>
    </row>
    <row r="79">
      <c r="A79" s="4" t="inlineStr">
        <is>
          <t>ILC</t>
        </is>
      </c>
      <c r="B79" s="4" t="inlineStr">
        <is>
          <t>2020-T4</t>
        </is>
      </c>
      <c r="C79" s="16" t="n">
        <v>116.6</v>
      </c>
      <c r="D79" s="4" t="inlineStr">
        <is>
          <t>A</t>
        </is>
      </c>
      <c r="E79" s="4" t="inlineStr">
        <is>
          <t>2026-09-09</t>
        </is>
      </c>
      <c r="F79" s="4" t="inlineStr">
        <is>
          <t>FICTIF_DEMO</t>
        </is>
      </c>
      <c r="G79" s="4" t="inlineStr">
        <is>
          <t>2026-09-09</t>
        </is>
      </c>
      <c r="H79" s="17">
        <f>IFERROR(C79/SUMIFS($C:$C,$A:$A,A79,$B:$B,TEXT(VALUE(LEFT(B79,4))-1,"0")&amp;RIGHT(B79,3))-1,"")</f>
        <v/>
      </c>
    </row>
    <row r="80">
      <c r="A80" s="4" t="inlineStr">
        <is>
          <t>ILC</t>
        </is>
      </c>
      <c r="B80" s="4" t="inlineStr">
        <is>
          <t>2021-T1</t>
        </is>
      </c>
      <c r="C80" s="16" t="n">
        <v>117.2</v>
      </c>
      <c r="D80" s="4" t="inlineStr">
        <is>
          <t>A</t>
        </is>
      </c>
      <c r="E80" s="4" t="inlineStr">
        <is>
          <t>2026-09-09</t>
        </is>
      </c>
      <c r="F80" s="4" t="inlineStr">
        <is>
          <t>FICTIF_DEMO</t>
        </is>
      </c>
      <c r="G80" s="4" t="inlineStr">
        <is>
          <t>2026-09-09</t>
        </is>
      </c>
      <c r="H80" s="17">
        <f>IFERROR(C80/SUMIFS($C:$C,$A:$A,A80,$B:$B,TEXT(VALUE(LEFT(B80,4))-1,"0")&amp;RIGHT(B80,3))-1,"")</f>
        <v/>
      </c>
    </row>
    <row r="81">
      <c r="A81" s="4" t="inlineStr">
        <is>
          <t>ILC</t>
        </is>
      </c>
      <c r="B81" s="4" t="inlineStr">
        <is>
          <t>2021-T2</t>
        </is>
      </c>
      <c r="C81" s="16" t="n">
        <v>116.6</v>
      </c>
      <c r="D81" s="4" t="inlineStr">
        <is>
          <t>A</t>
        </is>
      </c>
      <c r="E81" s="4" t="inlineStr">
        <is>
          <t>2026-09-09</t>
        </is>
      </c>
      <c r="F81" s="4" t="inlineStr">
        <is>
          <t>FICTIF_DEMO</t>
        </is>
      </c>
      <c r="G81" s="4" t="inlineStr">
        <is>
          <t>2026-09-09</t>
        </is>
      </c>
      <c r="H81" s="17">
        <f>IFERROR(C81/SUMIFS($C:$C,$A:$A,A81,$B:$B,TEXT(VALUE(LEFT(B81,4))-1,"0")&amp;RIGHT(B81,3))-1,"")</f>
        <v/>
      </c>
    </row>
    <row r="82">
      <c r="A82" s="4" t="inlineStr">
        <is>
          <t>ILC</t>
        </is>
      </c>
      <c r="B82" s="4" t="inlineStr">
        <is>
          <t>2021-T3</t>
        </is>
      </c>
      <c r="C82" s="16" t="n">
        <v>116</v>
      </c>
      <c r="D82" s="4" t="inlineStr">
        <is>
          <t>A</t>
        </is>
      </c>
      <c r="E82" s="4" t="inlineStr">
        <is>
          <t>2026-09-09</t>
        </is>
      </c>
      <c r="F82" s="4" t="inlineStr">
        <is>
          <t>FICTIF_DEMO</t>
        </is>
      </c>
      <c r="G82" s="4" t="inlineStr">
        <is>
          <t>2026-09-09</t>
        </is>
      </c>
      <c r="H82" s="17">
        <f>IFERROR(C82/SUMIFS($C:$C,$A:$A,A82,$B:$B,TEXT(VALUE(LEFT(B82,4))-1,"0")&amp;RIGHT(B82,3))-1,"")</f>
        <v/>
      </c>
    </row>
    <row r="83">
      <c r="A83" s="4" t="inlineStr">
        <is>
          <t>ILC</t>
        </is>
      </c>
      <c r="B83" s="4" t="inlineStr">
        <is>
          <t>2021-T4</t>
        </is>
      </c>
      <c r="C83" s="16" t="n">
        <v>115.4</v>
      </c>
      <c r="D83" s="4" t="inlineStr">
        <is>
          <t>A</t>
        </is>
      </c>
      <c r="E83" s="4" t="inlineStr">
        <is>
          <t>2026-09-09</t>
        </is>
      </c>
      <c r="F83" s="4" t="inlineStr">
        <is>
          <t>FICTIF_DEMO</t>
        </is>
      </c>
      <c r="G83" s="4" t="inlineStr">
        <is>
          <t>2026-09-09</t>
        </is>
      </c>
      <c r="H83" s="17">
        <f>IFERROR(C83/SUMIFS($C:$C,$A:$A,A83,$B:$B,TEXT(VALUE(LEFT(B83,4))-1,"0")&amp;RIGHT(B83,3))-1,"")</f>
        <v/>
      </c>
    </row>
    <row r="84">
      <c r="A84" s="4" t="inlineStr">
        <is>
          <t>ILC</t>
        </is>
      </c>
      <c r="B84" s="4" t="inlineStr">
        <is>
          <t>2022-T1</t>
        </is>
      </c>
      <c r="C84" s="16" t="n">
        <v>114.8</v>
      </c>
      <c r="D84" s="4" t="inlineStr">
        <is>
          <t>A</t>
        </is>
      </c>
      <c r="E84" s="4" t="inlineStr">
        <is>
          <t>2026-09-09</t>
        </is>
      </c>
      <c r="F84" s="4" t="inlineStr">
        <is>
          <t>FICTIF_DEMO</t>
        </is>
      </c>
      <c r="G84" s="4" t="inlineStr">
        <is>
          <t>2026-09-09</t>
        </is>
      </c>
      <c r="H84" s="17">
        <f>IFERROR(C84/SUMIFS($C:$C,$A:$A,A84,$B:$B,TEXT(VALUE(LEFT(B84,4))-1,"0")&amp;RIGHT(B84,3))-1,"")</f>
        <v/>
      </c>
    </row>
    <row r="85">
      <c r="A85" s="4" t="inlineStr">
        <is>
          <t>ILC</t>
        </is>
      </c>
      <c r="B85" s="4" t="inlineStr">
        <is>
          <t>2022-T2</t>
        </is>
      </c>
      <c r="C85" s="16" t="n">
        <v>115.4</v>
      </c>
      <c r="D85" s="4" t="inlineStr">
        <is>
          <t>A</t>
        </is>
      </c>
      <c r="E85" s="4" t="inlineStr">
        <is>
          <t>2026-09-09</t>
        </is>
      </c>
      <c r="F85" s="4" t="inlineStr">
        <is>
          <t>FICTIF_DEMO</t>
        </is>
      </c>
      <c r="G85" s="4" t="inlineStr">
        <is>
          <t>2026-09-09</t>
        </is>
      </c>
      <c r="H85" s="17">
        <f>IFERROR(C85/SUMIFS($C:$C,$A:$A,A85,$B:$B,TEXT(VALUE(LEFT(B85,4))-1,"0")&amp;RIGHT(B85,3))-1,"")</f>
        <v/>
      </c>
    </row>
    <row r="86">
      <c r="A86" s="4" t="inlineStr">
        <is>
          <t>ILC</t>
        </is>
      </c>
      <c r="B86" s="4" t="inlineStr">
        <is>
          <t>2022-T3</t>
        </is>
      </c>
      <c r="C86" s="16" t="n">
        <v>116</v>
      </c>
      <c r="D86" s="4" t="inlineStr">
        <is>
          <t>A</t>
        </is>
      </c>
      <c r="E86" s="4" t="inlineStr">
        <is>
          <t>2026-09-09</t>
        </is>
      </c>
      <c r="F86" s="4" t="inlineStr">
        <is>
          <t>FICTIF_DEMO</t>
        </is>
      </c>
      <c r="G86" s="4" t="inlineStr">
        <is>
          <t>2026-09-09</t>
        </is>
      </c>
      <c r="H86" s="17">
        <f>IFERROR(C86/SUMIFS($C:$C,$A:$A,A86,$B:$B,TEXT(VALUE(LEFT(B86,4))-1,"0")&amp;RIGHT(B86,3))-1,"")</f>
        <v/>
      </c>
    </row>
    <row r="87">
      <c r="A87" s="4" t="inlineStr">
        <is>
          <t>ILC</t>
        </is>
      </c>
      <c r="B87" s="4" t="inlineStr">
        <is>
          <t>2022-T4</t>
        </is>
      </c>
      <c r="C87" s="16" t="n">
        <v>116.6</v>
      </c>
      <c r="D87" s="4" t="inlineStr">
        <is>
          <t>A</t>
        </is>
      </c>
      <c r="E87" s="4" t="inlineStr">
        <is>
          <t>2026-09-09</t>
        </is>
      </c>
      <c r="F87" s="4" t="inlineStr">
        <is>
          <t>FICTIF_DEMO</t>
        </is>
      </c>
      <c r="G87" s="4" t="inlineStr">
        <is>
          <t>2026-09-09</t>
        </is>
      </c>
      <c r="H87" s="17">
        <f>IFERROR(C87/SUMIFS($C:$C,$A:$A,A87,$B:$B,TEXT(VALUE(LEFT(B87,4))-1,"0")&amp;RIGHT(B87,3))-1,"")</f>
        <v/>
      </c>
    </row>
    <row r="88">
      <c r="A88" s="4" t="inlineStr">
        <is>
          <t>ILC</t>
        </is>
      </c>
      <c r="B88" s="4" t="inlineStr">
        <is>
          <t>2023-T1</t>
        </is>
      </c>
      <c r="C88" s="16" t="n">
        <v>117.2</v>
      </c>
      <c r="D88" s="4" t="inlineStr">
        <is>
          <t>A</t>
        </is>
      </c>
      <c r="E88" s="4" t="inlineStr">
        <is>
          <t>2026-09-09</t>
        </is>
      </c>
      <c r="F88" s="4" t="inlineStr">
        <is>
          <t>FICTIF_DEMO</t>
        </is>
      </c>
      <c r="G88" s="4" t="inlineStr">
        <is>
          <t>2026-09-09</t>
        </is>
      </c>
      <c r="H88" s="17">
        <f>IFERROR(C88/SUMIFS($C:$C,$A:$A,A88,$B:$B,TEXT(VALUE(LEFT(B88,4))-1,"0")&amp;RIGHT(B88,3))-1,"")</f>
        <v/>
      </c>
    </row>
    <row r="89">
      <c r="A89" s="4" t="inlineStr">
        <is>
          <t>ILC</t>
        </is>
      </c>
      <c r="B89" s="4" t="inlineStr">
        <is>
          <t>2023-T2</t>
        </is>
      </c>
      <c r="C89" s="16" t="n">
        <v>117.8</v>
      </c>
      <c r="D89" s="4" t="inlineStr">
        <is>
          <t>A</t>
        </is>
      </c>
      <c r="E89" s="4" t="inlineStr">
        <is>
          <t>2026-09-09</t>
        </is>
      </c>
      <c r="F89" s="4" t="inlineStr">
        <is>
          <t>FICTIF_DEMO</t>
        </is>
      </c>
      <c r="G89" s="4" t="inlineStr">
        <is>
          <t>2026-09-09</t>
        </is>
      </c>
      <c r="H89" s="17">
        <f>IFERROR(C89/SUMIFS($C:$C,$A:$A,A89,$B:$B,TEXT(VALUE(LEFT(B89,4))-1,"0")&amp;RIGHT(B89,3))-1,"")</f>
        <v/>
      </c>
    </row>
    <row r="90">
      <c r="A90" s="4" t="inlineStr">
        <is>
          <t>ILC</t>
        </is>
      </c>
      <c r="B90" s="4" t="inlineStr">
        <is>
          <t>2023-T3</t>
        </is>
      </c>
      <c r="C90" s="16" t="n">
        <v>118.4</v>
      </c>
      <c r="D90" s="4" t="inlineStr">
        <is>
          <t>A</t>
        </is>
      </c>
      <c r="E90" s="4" t="inlineStr">
        <is>
          <t>2026-09-09</t>
        </is>
      </c>
      <c r="F90" s="4" t="inlineStr">
        <is>
          <t>FICTIF_DEMO</t>
        </is>
      </c>
      <c r="G90" s="4" t="inlineStr">
        <is>
          <t>2026-09-09</t>
        </is>
      </c>
      <c r="H90" s="17">
        <f>IFERROR(C90/SUMIFS($C:$C,$A:$A,A90,$B:$B,TEXT(VALUE(LEFT(B90,4))-1,"0")&amp;RIGHT(B90,3))-1,"")</f>
        <v/>
      </c>
    </row>
    <row r="91">
      <c r="A91" s="4" t="inlineStr">
        <is>
          <t>ILC</t>
        </is>
      </c>
      <c r="B91" s="4" t="inlineStr">
        <is>
          <t>2023-T4</t>
        </is>
      </c>
      <c r="C91" s="16" t="n">
        <v>119</v>
      </c>
      <c r="D91" s="4" t="inlineStr">
        <is>
          <t>A</t>
        </is>
      </c>
      <c r="E91" s="4" t="inlineStr">
        <is>
          <t>2026-09-09</t>
        </is>
      </c>
      <c r="F91" s="4" t="inlineStr">
        <is>
          <t>FICTIF_DEMO</t>
        </is>
      </c>
      <c r="G91" s="4" t="inlineStr">
        <is>
          <t>2026-09-09</t>
        </is>
      </c>
      <c r="H91" s="17">
        <f>IFERROR(C91/SUMIFS($C:$C,$A:$A,A91,$B:$B,TEXT(VALUE(LEFT(B91,4))-1,"0")&amp;RIGHT(B91,3))-1,"")</f>
        <v/>
      </c>
    </row>
    <row r="92">
      <c r="A92" s="4" t="inlineStr">
        <is>
          <t>ILC</t>
        </is>
      </c>
      <c r="B92" s="4" t="inlineStr">
        <is>
          <t>2024-T1</t>
        </is>
      </c>
      <c r="C92" s="16" t="n">
        <v>119.6</v>
      </c>
      <c r="D92" s="4" t="inlineStr">
        <is>
          <t>A</t>
        </is>
      </c>
      <c r="E92" s="4" t="inlineStr">
        <is>
          <t>2026-09-09</t>
        </is>
      </c>
      <c r="F92" s="4" t="inlineStr">
        <is>
          <t>FICTIF_DEMO</t>
        </is>
      </c>
      <c r="G92" s="4" t="inlineStr">
        <is>
          <t>2026-09-09</t>
        </is>
      </c>
      <c r="H92" s="17">
        <f>IFERROR(C92/SUMIFS($C:$C,$A:$A,A92,$B:$B,TEXT(VALUE(LEFT(B92,4))-1,"0")&amp;RIGHT(B92,3))-1,"")</f>
        <v/>
      </c>
    </row>
    <row r="93">
      <c r="A93" s="4" t="inlineStr">
        <is>
          <t>ILC</t>
        </is>
      </c>
      <c r="B93" s="4" t="inlineStr">
        <is>
          <t>2024-T2</t>
        </is>
      </c>
      <c r="C93" s="16" t="n">
        <v>120.2</v>
      </c>
      <c r="D93" s="4" t="inlineStr">
        <is>
          <t>A</t>
        </is>
      </c>
      <c r="E93" s="4" t="inlineStr">
        <is>
          <t>2026-09-09</t>
        </is>
      </c>
      <c r="F93" s="4" t="inlineStr">
        <is>
          <t>FICTIF_DEMO</t>
        </is>
      </c>
      <c r="G93" s="4" t="inlineStr">
        <is>
          <t>2026-09-09</t>
        </is>
      </c>
      <c r="H93" s="17">
        <f>IFERROR(C93/SUMIFS($C:$C,$A:$A,A93,$B:$B,TEXT(VALUE(LEFT(B93,4))-1,"0")&amp;RIGHT(B93,3))-1,"")</f>
        <v/>
      </c>
    </row>
    <row r="94">
      <c r="A94" s="4" t="inlineStr">
        <is>
          <t>ILC</t>
        </is>
      </c>
      <c r="B94" s="4" t="inlineStr">
        <is>
          <t>2024-T3</t>
        </is>
      </c>
      <c r="C94" s="16" t="n">
        <v>120.8</v>
      </c>
      <c r="D94" s="4" t="inlineStr">
        <is>
          <t>A</t>
        </is>
      </c>
      <c r="E94" s="4" t="inlineStr">
        <is>
          <t>2026-09-09</t>
        </is>
      </c>
      <c r="F94" s="4" t="inlineStr">
        <is>
          <t>FICTIF_DEMO</t>
        </is>
      </c>
      <c r="G94" s="4" t="inlineStr">
        <is>
          <t>2026-09-09</t>
        </is>
      </c>
      <c r="H94" s="17">
        <f>IFERROR(C94/SUMIFS($C:$C,$A:$A,A94,$B:$B,TEXT(VALUE(LEFT(B94,4))-1,"0")&amp;RIGHT(B94,3))-1,"")</f>
        <v/>
      </c>
    </row>
    <row r="95">
      <c r="A95" s="4" t="inlineStr">
        <is>
          <t>ILC</t>
        </is>
      </c>
      <c r="B95" s="4" t="inlineStr">
        <is>
          <t>2024-T4</t>
        </is>
      </c>
      <c r="C95" s="16" t="n">
        <v>121.4</v>
      </c>
      <c r="D95" s="4" t="inlineStr">
        <is>
          <t>A</t>
        </is>
      </c>
      <c r="E95" s="4" t="inlineStr">
        <is>
          <t>2026-09-09</t>
        </is>
      </c>
      <c r="F95" s="4" t="inlineStr">
        <is>
          <t>FICTIF_DEMO</t>
        </is>
      </c>
      <c r="G95" s="4" t="inlineStr">
        <is>
          <t>2026-09-09</t>
        </is>
      </c>
      <c r="H95" s="17">
        <f>IFERROR(C95/SUMIFS($C:$C,$A:$A,A95,$B:$B,TEXT(VALUE(LEFT(B95,4))-1,"0")&amp;RIGHT(B95,3))-1,"")</f>
        <v/>
      </c>
    </row>
    <row r="96">
      <c r="A96" s="4" t="inlineStr">
        <is>
          <t>ILC</t>
        </is>
      </c>
      <c r="B96" s="4" t="inlineStr">
        <is>
          <t>2025-T1</t>
        </is>
      </c>
      <c r="C96" s="16" t="n">
        <v>122</v>
      </c>
      <c r="D96" s="4" t="inlineStr">
        <is>
          <t>A</t>
        </is>
      </c>
      <c r="E96" s="4" t="inlineStr">
        <is>
          <t>2026-09-09</t>
        </is>
      </c>
      <c r="F96" s="4" t="inlineStr">
        <is>
          <t>FICTIF_DEMO</t>
        </is>
      </c>
      <c r="G96" s="4" t="inlineStr">
        <is>
          <t>2026-09-09</t>
        </is>
      </c>
      <c r="H96" s="17">
        <f>IFERROR(C96/SUMIFS($C:$C,$A:$A,A96,$B:$B,TEXT(VALUE(LEFT(B96,4))-1,"0")&amp;RIGHT(B96,3))-1,"")</f>
        <v/>
      </c>
    </row>
    <row r="97">
      <c r="A97" s="4" t="inlineStr">
        <is>
          <t>ILC</t>
        </is>
      </c>
      <c r="B97" s="4" t="inlineStr">
        <is>
          <t>2025-T2</t>
        </is>
      </c>
      <c r="C97" s="16" t="n">
        <v>122.6</v>
      </c>
      <c r="D97" s="4" t="inlineStr">
        <is>
          <t>A</t>
        </is>
      </c>
      <c r="E97" s="4" t="inlineStr">
        <is>
          <t>2026-09-09</t>
        </is>
      </c>
      <c r="F97" s="4" t="inlineStr">
        <is>
          <t>FICTIF_DEMO</t>
        </is>
      </c>
      <c r="G97" s="4" t="inlineStr">
        <is>
          <t>2026-09-09</t>
        </is>
      </c>
      <c r="H97" s="17">
        <f>IFERROR(C97/SUMIFS($C:$C,$A:$A,A97,$B:$B,TEXT(VALUE(LEFT(B97,4))-1,"0")&amp;RIGHT(B97,3))-1,"")</f>
        <v/>
      </c>
    </row>
    <row r="98">
      <c r="A98" s="4" t="inlineStr">
        <is>
          <t>ILC</t>
        </is>
      </c>
      <c r="B98" s="4" t="inlineStr">
        <is>
          <t>2025-T3</t>
        </is>
      </c>
      <c r="C98" s="16" t="n">
        <v>123.2</v>
      </c>
      <c r="D98" s="4" t="inlineStr">
        <is>
          <t>A</t>
        </is>
      </c>
      <c r="E98" s="4" t="inlineStr">
        <is>
          <t>2026-09-09</t>
        </is>
      </c>
      <c r="F98" s="4" t="inlineStr">
        <is>
          <t>FICTIF_DEMO</t>
        </is>
      </c>
      <c r="G98" s="4" t="inlineStr">
        <is>
          <t>2026-09-09</t>
        </is>
      </c>
      <c r="H98" s="17">
        <f>IFERROR(C98/SUMIFS($C:$C,$A:$A,A98,$B:$B,TEXT(VALUE(LEFT(B98,4))-1,"0")&amp;RIGHT(B98,3))-1,"")</f>
        <v/>
      </c>
    </row>
    <row r="99">
      <c r="A99" s="4" t="inlineStr">
        <is>
          <t>ILC</t>
        </is>
      </c>
      <c r="B99" s="4" t="inlineStr">
        <is>
          <t>2025-T4</t>
        </is>
      </c>
      <c r="C99" s="16" t="n">
        <v>123.8</v>
      </c>
      <c r="D99" s="4" t="inlineStr">
        <is>
          <t>A</t>
        </is>
      </c>
      <c r="E99" s="4" t="inlineStr">
        <is>
          <t>2026-09-09</t>
        </is>
      </c>
      <c r="F99" s="4" t="inlineStr">
        <is>
          <t>FICTIF_DEMO</t>
        </is>
      </c>
      <c r="G99" s="4" t="inlineStr">
        <is>
          <t>2026-09-09</t>
        </is>
      </c>
      <c r="H99" s="17">
        <f>IFERROR(C99/SUMIFS($C:$C,$A:$A,A99,$B:$B,TEXT(VALUE(LEFT(B99,4))-1,"0")&amp;RIGHT(B99,3))-1,"")</f>
        <v/>
      </c>
    </row>
    <row r="100">
      <c r="A100" s="4" t="inlineStr">
        <is>
          <t>ILC</t>
        </is>
      </c>
      <c r="B100" s="4" t="inlineStr">
        <is>
          <t>2026-T1</t>
        </is>
      </c>
      <c r="C100" s="16" t="n">
        <v>124.4</v>
      </c>
      <c r="D100" s="4" t="inlineStr">
        <is>
          <t>P</t>
        </is>
      </c>
      <c r="E100" s="4" t="inlineStr">
        <is>
          <t>2026-09-09</t>
        </is>
      </c>
      <c r="F100" s="4" t="inlineStr">
        <is>
          <t>FICTIF_DEMO</t>
        </is>
      </c>
      <c r="G100" s="4" t="inlineStr">
        <is>
          <t>2026-09-09</t>
        </is>
      </c>
      <c r="H100" s="17">
        <f>IFERROR(C100/SUMIFS($C:$C,$A:$A,A100,$B:$B,TEXT(VALUE(LEFT(B100,4))-1,"0")&amp;RIGHT(B100,3))-1,"")</f>
        <v/>
      </c>
    </row>
    <row r="101">
      <c r="A101" s="4" t="inlineStr">
        <is>
          <t>IRL</t>
        </is>
      </c>
      <c r="B101" s="4" t="inlineStr">
        <is>
          <t>2018-T1</t>
        </is>
      </c>
      <c r="C101" s="16" t="n">
        <v>128</v>
      </c>
      <c r="D101" s="4" t="inlineStr">
        <is>
          <t>A</t>
        </is>
      </c>
      <c r="E101" s="4" t="inlineStr">
        <is>
          <t>2026-09-09</t>
        </is>
      </c>
      <c r="F101" s="4" t="inlineStr">
        <is>
          <t>FICTIF_DEMO</t>
        </is>
      </c>
      <c r="G101" s="4" t="inlineStr">
        <is>
          <t>2026-09-09</t>
        </is>
      </c>
      <c r="H101" s="17">
        <f>IFERROR(C101/SUMIFS($C:$C,$A:$A,A101,$B:$B,TEXT(VALUE(LEFT(B101,4))-1,"0")&amp;RIGHT(B101,3))-1,"")</f>
        <v/>
      </c>
    </row>
    <row r="102">
      <c r="A102" s="4" t="inlineStr">
        <is>
          <t>IRL</t>
        </is>
      </c>
      <c r="B102" s="4" t="inlineStr">
        <is>
          <t>2018-T2</t>
        </is>
      </c>
      <c r="C102" s="16" t="n">
        <v>128.4</v>
      </c>
      <c r="D102" s="4" t="inlineStr">
        <is>
          <t>A</t>
        </is>
      </c>
      <c r="E102" s="4" t="inlineStr">
        <is>
          <t>2026-09-09</t>
        </is>
      </c>
      <c r="F102" s="4" t="inlineStr">
        <is>
          <t>FICTIF_DEMO</t>
        </is>
      </c>
      <c r="G102" s="4" t="inlineStr">
        <is>
          <t>2026-09-09</t>
        </is>
      </c>
      <c r="H102" s="17">
        <f>IFERROR(C102/SUMIFS($C:$C,$A:$A,A102,$B:$B,TEXT(VALUE(LEFT(B102,4))-1,"0")&amp;RIGHT(B102,3))-1,"")</f>
        <v/>
      </c>
    </row>
    <row r="103">
      <c r="A103" s="4" t="inlineStr">
        <is>
          <t>IRL</t>
        </is>
      </c>
      <c r="B103" s="4" t="inlineStr">
        <is>
          <t>2018-T3</t>
        </is>
      </c>
      <c r="C103" s="16" t="n">
        <v>128.8</v>
      </c>
      <c r="D103" s="4" t="inlineStr">
        <is>
          <t>A</t>
        </is>
      </c>
      <c r="E103" s="4" t="inlineStr">
        <is>
          <t>2026-09-09</t>
        </is>
      </c>
      <c r="F103" s="4" t="inlineStr">
        <is>
          <t>FICTIF_DEMO</t>
        </is>
      </c>
      <c r="G103" s="4" t="inlineStr">
        <is>
          <t>2026-09-09</t>
        </is>
      </c>
      <c r="H103" s="17">
        <f>IFERROR(C103/SUMIFS($C:$C,$A:$A,A103,$B:$B,TEXT(VALUE(LEFT(B103,4))-1,"0")&amp;RIGHT(B103,3))-1,"")</f>
        <v/>
      </c>
    </row>
    <row r="104">
      <c r="A104" s="4" t="inlineStr">
        <is>
          <t>IRL</t>
        </is>
      </c>
      <c r="B104" s="4" t="inlineStr">
        <is>
          <t>2018-T4</t>
        </is>
      </c>
      <c r="C104" s="16" t="n">
        <v>129.2</v>
      </c>
      <c r="D104" s="4" t="inlineStr">
        <is>
          <t>A</t>
        </is>
      </c>
      <c r="E104" s="4" t="inlineStr">
        <is>
          <t>2026-09-09</t>
        </is>
      </c>
      <c r="F104" s="4" t="inlineStr">
        <is>
          <t>FICTIF_DEMO</t>
        </is>
      </c>
      <c r="G104" s="4" t="inlineStr">
        <is>
          <t>2026-09-09</t>
        </is>
      </c>
      <c r="H104" s="17">
        <f>IFERROR(C104/SUMIFS($C:$C,$A:$A,A104,$B:$B,TEXT(VALUE(LEFT(B104,4))-1,"0")&amp;RIGHT(B104,3))-1,"")</f>
        <v/>
      </c>
    </row>
    <row r="105">
      <c r="A105" s="4" t="inlineStr">
        <is>
          <t>IRL</t>
        </is>
      </c>
      <c r="B105" s="4" t="inlineStr">
        <is>
          <t>2019-T1</t>
        </is>
      </c>
      <c r="C105" s="16" t="n">
        <v>129.6</v>
      </c>
      <c r="D105" s="4" t="inlineStr">
        <is>
          <t>A</t>
        </is>
      </c>
      <c r="E105" s="4" t="inlineStr">
        <is>
          <t>2026-09-09</t>
        </is>
      </c>
      <c r="F105" s="4" t="inlineStr">
        <is>
          <t>FICTIF_DEMO</t>
        </is>
      </c>
      <c r="G105" s="4" t="inlineStr">
        <is>
          <t>2026-09-09</t>
        </is>
      </c>
      <c r="H105" s="17">
        <f>IFERROR(C105/SUMIFS($C:$C,$A:$A,A105,$B:$B,TEXT(VALUE(LEFT(B105,4))-1,"0")&amp;RIGHT(B105,3))-1,"")</f>
        <v/>
      </c>
    </row>
    <row r="106">
      <c r="A106" s="4" t="inlineStr">
        <is>
          <t>IRL</t>
        </is>
      </c>
      <c r="B106" s="4" t="inlineStr">
        <is>
          <t>2019-T2</t>
        </is>
      </c>
      <c r="C106" s="16" t="n">
        <v>130</v>
      </c>
      <c r="D106" s="4" t="inlineStr">
        <is>
          <t>A</t>
        </is>
      </c>
      <c r="E106" s="4" t="inlineStr">
        <is>
          <t>2026-09-09</t>
        </is>
      </c>
      <c r="F106" s="4" t="inlineStr">
        <is>
          <t>FICTIF_DEMO</t>
        </is>
      </c>
      <c r="G106" s="4" t="inlineStr">
        <is>
          <t>2026-09-09</t>
        </is>
      </c>
      <c r="H106" s="17">
        <f>IFERROR(C106/SUMIFS($C:$C,$A:$A,A106,$B:$B,TEXT(VALUE(LEFT(B106,4))-1,"0")&amp;RIGHT(B106,3))-1,"")</f>
        <v/>
      </c>
    </row>
    <row r="107">
      <c r="A107" s="4" t="inlineStr">
        <is>
          <t>IRL</t>
        </is>
      </c>
      <c r="B107" s="4" t="inlineStr">
        <is>
          <t>2019-T3</t>
        </is>
      </c>
      <c r="C107" s="16" t="n">
        <v>130.4</v>
      </c>
      <c r="D107" s="4" t="inlineStr">
        <is>
          <t>A</t>
        </is>
      </c>
      <c r="E107" s="4" t="inlineStr">
        <is>
          <t>2026-09-09</t>
        </is>
      </c>
      <c r="F107" s="4" t="inlineStr">
        <is>
          <t>FICTIF_DEMO</t>
        </is>
      </c>
      <c r="G107" s="4" t="inlineStr">
        <is>
          <t>2026-09-09</t>
        </is>
      </c>
      <c r="H107" s="17">
        <f>IFERROR(C107/SUMIFS($C:$C,$A:$A,A107,$B:$B,TEXT(VALUE(LEFT(B107,4))-1,"0")&amp;RIGHT(B107,3))-1,"")</f>
        <v/>
      </c>
    </row>
    <row r="108">
      <c r="A108" s="4" t="inlineStr">
        <is>
          <t>IRL</t>
        </is>
      </c>
      <c r="B108" s="4" t="inlineStr">
        <is>
          <t>2019-T4</t>
        </is>
      </c>
      <c r="C108" s="16" t="n">
        <v>130.8</v>
      </c>
      <c r="D108" s="4" t="inlineStr">
        <is>
          <t>A</t>
        </is>
      </c>
      <c r="E108" s="4" t="inlineStr">
        <is>
          <t>2026-09-09</t>
        </is>
      </c>
      <c r="F108" s="4" t="inlineStr">
        <is>
          <t>FICTIF_DEMO</t>
        </is>
      </c>
      <c r="G108" s="4" t="inlineStr">
        <is>
          <t>2026-09-09</t>
        </is>
      </c>
      <c r="H108" s="17">
        <f>IFERROR(C108/SUMIFS($C:$C,$A:$A,A108,$B:$B,TEXT(VALUE(LEFT(B108,4))-1,"0")&amp;RIGHT(B108,3))-1,"")</f>
        <v/>
      </c>
    </row>
    <row r="109">
      <c r="A109" s="4" t="inlineStr">
        <is>
          <t>IRL</t>
        </is>
      </c>
      <c r="B109" s="4" t="inlineStr">
        <is>
          <t>2020-T1</t>
        </is>
      </c>
      <c r="C109" s="16" t="n">
        <v>131.2</v>
      </c>
      <c r="D109" s="4" t="inlineStr">
        <is>
          <t>A</t>
        </is>
      </c>
      <c r="E109" s="4" t="inlineStr">
        <is>
          <t>2026-09-09</t>
        </is>
      </c>
      <c r="F109" s="4" t="inlineStr">
        <is>
          <t>FICTIF_DEMO</t>
        </is>
      </c>
      <c r="G109" s="4" t="inlineStr">
        <is>
          <t>2026-09-09</t>
        </is>
      </c>
      <c r="H109" s="17">
        <f>IFERROR(C109/SUMIFS($C:$C,$A:$A,A109,$B:$B,TEXT(VALUE(LEFT(B109,4))-1,"0")&amp;RIGHT(B109,3))-1,"")</f>
        <v/>
      </c>
    </row>
    <row r="110">
      <c r="A110" s="4" t="inlineStr">
        <is>
          <t>IRL</t>
        </is>
      </c>
      <c r="B110" s="4" t="inlineStr">
        <is>
          <t>2020-T2</t>
        </is>
      </c>
      <c r="C110" s="16" t="n">
        <v>131.6</v>
      </c>
      <c r="D110" s="4" t="inlineStr">
        <is>
          <t>A</t>
        </is>
      </c>
      <c r="E110" s="4" t="inlineStr">
        <is>
          <t>2026-09-09</t>
        </is>
      </c>
      <c r="F110" s="4" t="inlineStr">
        <is>
          <t>FICTIF_DEMO</t>
        </is>
      </c>
      <c r="G110" s="4" t="inlineStr">
        <is>
          <t>2026-09-09</t>
        </is>
      </c>
      <c r="H110" s="17">
        <f>IFERROR(C110/SUMIFS($C:$C,$A:$A,A110,$B:$B,TEXT(VALUE(LEFT(B110,4))-1,"0")&amp;RIGHT(B110,3))-1,"")</f>
        <v/>
      </c>
    </row>
    <row r="111">
      <c r="A111" s="4" t="inlineStr">
        <is>
          <t>IRL</t>
        </is>
      </c>
      <c r="B111" s="4" t="inlineStr">
        <is>
          <t>2020-T3</t>
        </is>
      </c>
      <c r="C111" s="16" t="n">
        <v>132</v>
      </c>
      <c r="D111" s="4" t="inlineStr">
        <is>
          <t>A</t>
        </is>
      </c>
      <c r="E111" s="4" t="inlineStr">
        <is>
          <t>2026-09-09</t>
        </is>
      </c>
      <c r="F111" s="4" t="inlineStr">
        <is>
          <t>FICTIF_DEMO</t>
        </is>
      </c>
      <c r="G111" s="4" t="inlineStr">
        <is>
          <t>2026-09-09</t>
        </is>
      </c>
      <c r="H111" s="17">
        <f>IFERROR(C111/SUMIFS($C:$C,$A:$A,A111,$B:$B,TEXT(VALUE(LEFT(B111,4))-1,"0")&amp;RIGHT(B111,3))-1,"")</f>
        <v/>
      </c>
    </row>
    <row r="112">
      <c r="A112" s="4" t="inlineStr">
        <is>
          <t>IRL</t>
        </is>
      </c>
      <c r="B112" s="4" t="inlineStr">
        <is>
          <t>2020-T4</t>
        </is>
      </c>
      <c r="C112" s="16" t="n">
        <v>132.4</v>
      </c>
      <c r="D112" s="4" t="inlineStr">
        <is>
          <t>A</t>
        </is>
      </c>
      <c r="E112" s="4" t="inlineStr">
        <is>
          <t>2026-09-09</t>
        </is>
      </c>
      <c r="F112" s="4" t="inlineStr">
        <is>
          <t>FICTIF_DEMO</t>
        </is>
      </c>
      <c r="G112" s="4" t="inlineStr">
        <is>
          <t>2026-09-09</t>
        </is>
      </c>
      <c r="H112" s="17">
        <f>IFERROR(C112/SUMIFS($C:$C,$A:$A,A112,$B:$B,TEXT(VALUE(LEFT(B112,4))-1,"0")&amp;RIGHT(B112,3))-1,"")</f>
        <v/>
      </c>
    </row>
    <row r="113">
      <c r="A113" s="4" t="inlineStr">
        <is>
          <t>IRL</t>
        </is>
      </c>
      <c r="B113" s="4" t="inlineStr">
        <is>
          <t>2021-T1</t>
        </is>
      </c>
      <c r="C113" s="16" t="n">
        <v>132.8</v>
      </c>
      <c r="D113" s="4" t="inlineStr">
        <is>
          <t>A</t>
        </is>
      </c>
      <c r="E113" s="4" t="inlineStr">
        <is>
          <t>2026-09-09</t>
        </is>
      </c>
      <c r="F113" s="4" t="inlineStr">
        <is>
          <t>FICTIF_DEMO</t>
        </is>
      </c>
      <c r="G113" s="4" t="inlineStr">
        <is>
          <t>2026-09-09</t>
        </is>
      </c>
      <c r="H113" s="17">
        <f>IFERROR(C113/SUMIFS($C:$C,$A:$A,A113,$B:$B,TEXT(VALUE(LEFT(B113,4))-1,"0")&amp;RIGHT(B113,3))-1,"")</f>
        <v/>
      </c>
    </row>
    <row r="114">
      <c r="A114" s="4" t="inlineStr">
        <is>
          <t>IRL</t>
        </is>
      </c>
      <c r="B114" s="4" t="inlineStr">
        <is>
          <t>2021-T2</t>
        </is>
      </c>
      <c r="C114" s="16" t="n">
        <v>132.4</v>
      </c>
      <c r="D114" s="4" t="inlineStr">
        <is>
          <t>A</t>
        </is>
      </c>
      <c r="E114" s="4" t="inlineStr">
        <is>
          <t>2026-09-09</t>
        </is>
      </c>
      <c r="F114" s="4" t="inlineStr">
        <is>
          <t>FICTIF_DEMO</t>
        </is>
      </c>
      <c r="G114" s="4" t="inlineStr">
        <is>
          <t>2026-09-09</t>
        </is>
      </c>
      <c r="H114" s="17">
        <f>IFERROR(C114/SUMIFS($C:$C,$A:$A,A114,$B:$B,TEXT(VALUE(LEFT(B114,4))-1,"0")&amp;RIGHT(B114,3))-1,"")</f>
        <v/>
      </c>
    </row>
    <row r="115">
      <c r="A115" s="4" t="inlineStr">
        <is>
          <t>IRL</t>
        </is>
      </c>
      <c r="B115" s="4" t="inlineStr">
        <is>
          <t>2021-T3</t>
        </is>
      </c>
      <c r="C115" s="16" t="n">
        <v>132</v>
      </c>
      <c r="D115" s="4" t="inlineStr">
        <is>
          <t>A</t>
        </is>
      </c>
      <c r="E115" s="4" t="inlineStr">
        <is>
          <t>2026-09-09</t>
        </is>
      </c>
      <c r="F115" s="4" t="inlineStr">
        <is>
          <t>FICTIF_DEMO</t>
        </is>
      </c>
      <c r="G115" s="4" t="inlineStr">
        <is>
          <t>2026-09-09</t>
        </is>
      </c>
      <c r="H115" s="17">
        <f>IFERROR(C115/SUMIFS($C:$C,$A:$A,A115,$B:$B,TEXT(VALUE(LEFT(B115,4))-1,"0")&amp;RIGHT(B115,3))-1,"")</f>
        <v/>
      </c>
    </row>
    <row r="116">
      <c r="A116" s="4" t="inlineStr">
        <is>
          <t>IRL</t>
        </is>
      </c>
      <c r="B116" s="4" t="inlineStr">
        <is>
          <t>2021-T4</t>
        </is>
      </c>
      <c r="C116" s="16" t="n">
        <v>131.6</v>
      </c>
      <c r="D116" s="4" t="inlineStr">
        <is>
          <t>A</t>
        </is>
      </c>
      <c r="E116" s="4" t="inlineStr">
        <is>
          <t>2026-09-09</t>
        </is>
      </c>
      <c r="F116" s="4" t="inlineStr">
        <is>
          <t>FICTIF_DEMO</t>
        </is>
      </c>
      <c r="G116" s="4" t="inlineStr">
        <is>
          <t>2026-09-09</t>
        </is>
      </c>
      <c r="H116" s="17">
        <f>IFERROR(C116/SUMIFS($C:$C,$A:$A,A116,$B:$B,TEXT(VALUE(LEFT(B116,4))-1,"0")&amp;RIGHT(B116,3))-1,"")</f>
        <v/>
      </c>
    </row>
    <row r="117">
      <c r="A117" s="4" t="inlineStr">
        <is>
          <t>IRL</t>
        </is>
      </c>
      <c r="B117" s="4" t="inlineStr">
        <is>
          <t>2022-T1</t>
        </is>
      </c>
      <c r="C117" s="16" t="n">
        <v>131.2</v>
      </c>
      <c r="D117" s="4" t="inlineStr">
        <is>
          <t>A</t>
        </is>
      </c>
      <c r="E117" s="4" t="inlineStr">
        <is>
          <t>2026-09-09</t>
        </is>
      </c>
      <c r="F117" s="4" t="inlineStr">
        <is>
          <t>FICTIF_DEMO</t>
        </is>
      </c>
      <c r="G117" s="4" t="inlineStr">
        <is>
          <t>2026-09-09</t>
        </is>
      </c>
      <c r="H117" s="17">
        <f>IFERROR(C117/SUMIFS($C:$C,$A:$A,A117,$B:$B,TEXT(VALUE(LEFT(B117,4))-1,"0")&amp;RIGHT(B117,3))-1,"")</f>
        <v/>
      </c>
    </row>
    <row r="118">
      <c r="A118" s="4" t="inlineStr">
        <is>
          <t>IRL</t>
        </is>
      </c>
      <c r="B118" s="4" t="inlineStr">
        <is>
          <t>2022-T2</t>
        </is>
      </c>
      <c r="C118" s="16" t="n">
        <v>131.6</v>
      </c>
      <c r="D118" s="4" t="inlineStr">
        <is>
          <t>A</t>
        </is>
      </c>
      <c r="E118" s="4" t="inlineStr">
        <is>
          <t>2026-09-09</t>
        </is>
      </c>
      <c r="F118" s="4" t="inlineStr">
        <is>
          <t>FICTIF_DEMO</t>
        </is>
      </c>
      <c r="G118" s="4" t="inlineStr">
        <is>
          <t>2026-09-09</t>
        </is>
      </c>
      <c r="H118" s="17">
        <f>IFERROR(C118/SUMIFS($C:$C,$A:$A,A118,$B:$B,TEXT(VALUE(LEFT(B118,4))-1,"0")&amp;RIGHT(B118,3))-1,"")</f>
        <v/>
      </c>
    </row>
    <row r="119">
      <c r="A119" s="4" t="inlineStr">
        <is>
          <t>IRL</t>
        </is>
      </c>
      <c r="B119" s="4" t="inlineStr">
        <is>
          <t>2022-T3</t>
        </is>
      </c>
      <c r="C119" s="16" t="n">
        <v>132</v>
      </c>
      <c r="D119" s="4" t="inlineStr">
        <is>
          <t>A</t>
        </is>
      </c>
      <c r="E119" s="4" t="inlineStr">
        <is>
          <t>2026-09-09</t>
        </is>
      </c>
      <c r="F119" s="4" t="inlineStr">
        <is>
          <t>FICTIF_DEMO</t>
        </is>
      </c>
      <c r="G119" s="4" t="inlineStr">
        <is>
          <t>2026-09-09</t>
        </is>
      </c>
      <c r="H119" s="17">
        <f>IFERROR(C119/SUMIFS($C:$C,$A:$A,A119,$B:$B,TEXT(VALUE(LEFT(B119,4))-1,"0")&amp;RIGHT(B119,3))-1,"")</f>
        <v/>
      </c>
    </row>
    <row r="120">
      <c r="A120" s="4" t="inlineStr">
        <is>
          <t>IRL</t>
        </is>
      </c>
      <c r="B120" s="4" t="inlineStr">
        <is>
          <t>2022-T4</t>
        </is>
      </c>
      <c r="C120" s="16" t="n">
        <v>132.4</v>
      </c>
      <c r="D120" s="4" t="inlineStr">
        <is>
          <t>A</t>
        </is>
      </c>
      <c r="E120" s="4" t="inlineStr">
        <is>
          <t>2026-09-09</t>
        </is>
      </c>
      <c r="F120" s="4" t="inlineStr">
        <is>
          <t>FICTIF_DEMO</t>
        </is>
      </c>
      <c r="G120" s="4" t="inlineStr">
        <is>
          <t>2026-09-09</t>
        </is>
      </c>
      <c r="H120" s="17">
        <f>IFERROR(C120/SUMIFS($C:$C,$A:$A,A120,$B:$B,TEXT(VALUE(LEFT(B120,4))-1,"0")&amp;RIGHT(B120,3))-1,"")</f>
        <v/>
      </c>
    </row>
    <row r="121">
      <c r="A121" s="4" t="inlineStr">
        <is>
          <t>IRL</t>
        </is>
      </c>
      <c r="B121" s="4" t="inlineStr">
        <is>
          <t>2023-T1</t>
        </is>
      </c>
      <c r="C121" s="16" t="n">
        <v>132.8</v>
      </c>
      <c r="D121" s="4" t="inlineStr">
        <is>
          <t>A</t>
        </is>
      </c>
      <c r="E121" s="4" t="inlineStr">
        <is>
          <t>2026-09-09</t>
        </is>
      </c>
      <c r="F121" s="4" t="inlineStr">
        <is>
          <t>FICTIF_DEMO</t>
        </is>
      </c>
      <c r="G121" s="4" t="inlineStr">
        <is>
          <t>2026-09-09</t>
        </is>
      </c>
      <c r="H121" s="17">
        <f>IFERROR(C121/SUMIFS($C:$C,$A:$A,A121,$B:$B,TEXT(VALUE(LEFT(B121,4))-1,"0")&amp;RIGHT(B121,3))-1,"")</f>
        <v/>
      </c>
    </row>
    <row r="122">
      <c r="A122" s="4" t="inlineStr">
        <is>
          <t>IRL</t>
        </is>
      </c>
      <c r="B122" s="4" t="inlineStr">
        <is>
          <t>2023-T2</t>
        </is>
      </c>
      <c r="C122" s="16" t="n">
        <v>133.2</v>
      </c>
      <c r="D122" s="4" t="inlineStr">
        <is>
          <t>A</t>
        </is>
      </c>
      <c r="E122" s="4" t="inlineStr">
        <is>
          <t>2026-09-09</t>
        </is>
      </c>
      <c r="F122" s="4" t="inlineStr">
        <is>
          <t>FICTIF_DEMO</t>
        </is>
      </c>
      <c r="G122" s="4" t="inlineStr">
        <is>
          <t>2026-09-09</t>
        </is>
      </c>
      <c r="H122" s="17">
        <f>IFERROR(C122/SUMIFS($C:$C,$A:$A,A122,$B:$B,TEXT(VALUE(LEFT(B122,4))-1,"0")&amp;RIGHT(B122,3))-1,"")</f>
        <v/>
      </c>
    </row>
    <row r="123">
      <c r="A123" s="4" t="inlineStr">
        <is>
          <t>IRL</t>
        </is>
      </c>
      <c r="B123" s="4" t="inlineStr">
        <is>
          <t>2023-T3</t>
        </is>
      </c>
      <c r="C123" s="16" t="n">
        <v>133.6</v>
      </c>
      <c r="D123" s="4" t="inlineStr">
        <is>
          <t>A</t>
        </is>
      </c>
      <c r="E123" s="4" t="inlineStr">
        <is>
          <t>2026-09-09</t>
        </is>
      </c>
      <c r="F123" s="4" t="inlineStr">
        <is>
          <t>FICTIF_DEMO</t>
        </is>
      </c>
      <c r="G123" s="4" t="inlineStr">
        <is>
          <t>2026-09-09</t>
        </is>
      </c>
      <c r="H123" s="17">
        <f>IFERROR(C123/SUMIFS($C:$C,$A:$A,A123,$B:$B,TEXT(VALUE(LEFT(B123,4))-1,"0")&amp;RIGHT(B123,3))-1,"")</f>
        <v/>
      </c>
    </row>
    <row r="124">
      <c r="A124" s="4" t="inlineStr">
        <is>
          <t>IRL</t>
        </is>
      </c>
      <c r="B124" s="4" t="inlineStr">
        <is>
          <t>2023-T4</t>
        </is>
      </c>
      <c r="C124" s="16" t="n">
        <v>134</v>
      </c>
      <c r="D124" s="4" t="inlineStr">
        <is>
          <t>A</t>
        </is>
      </c>
      <c r="E124" s="4" t="inlineStr">
        <is>
          <t>2026-09-09</t>
        </is>
      </c>
      <c r="F124" s="4" t="inlineStr">
        <is>
          <t>FICTIF_DEMO</t>
        </is>
      </c>
      <c r="G124" s="4" t="inlineStr">
        <is>
          <t>2026-09-09</t>
        </is>
      </c>
      <c r="H124" s="17">
        <f>IFERROR(C124/SUMIFS($C:$C,$A:$A,A124,$B:$B,TEXT(VALUE(LEFT(B124,4))-1,"0")&amp;RIGHT(B124,3))-1,"")</f>
        <v/>
      </c>
    </row>
    <row r="125">
      <c r="A125" s="4" t="inlineStr">
        <is>
          <t>IRL</t>
        </is>
      </c>
      <c r="B125" s="4" t="inlineStr">
        <is>
          <t>2024-T1</t>
        </is>
      </c>
      <c r="C125" s="16" t="n">
        <v>134.4</v>
      </c>
      <c r="D125" s="4" t="inlineStr">
        <is>
          <t>A</t>
        </is>
      </c>
      <c r="E125" s="4" t="inlineStr">
        <is>
          <t>2026-09-09</t>
        </is>
      </c>
      <c r="F125" s="4" t="inlineStr">
        <is>
          <t>FICTIF_DEMO</t>
        </is>
      </c>
      <c r="G125" s="4" t="inlineStr">
        <is>
          <t>2026-09-09</t>
        </is>
      </c>
      <c r="H125" s="17">
        <f>IFERROR(C125/SUMIFS($C:$C,$A:$A,A125,$B:$B,TEXT(VALUE(LEFT(B125,4))-1,"0")&amp;RIGHT(B125,3))-1,"")</f>
        <v/>
      </c>
    </row>
    <row r="126">
      <c r="A126" s="4" t="inlineStr">
        <is>
          <t>IRL</t>
        </is>
      </c>
      <c r="B126" s="4" t="inlineStr">
        <is>
          <t>2024-T2</t>
        </is>
      </c>
      <c r="C126" s="16" t="n">
        <v>134.8</v>
      </c>
      <c r="D126" s="4" t="inlineStr">
        <is>
          <t>A</t>
        </is>
      </c>
      <c r="E126" s="4" t="inlineStr">
        <is>
          <t>2026-09-09</t>
        </is>
      </c>
      <c r="F126" s="4" t="inlineStr">
        <is>
          <t>FICTIF_DEMO</t>
        </is>
      </c>
      <c r="G126" s="4" t="inlineStr">
        <is>
          <t>2026-09-09</t>
        </is>
      </c>
      <c r="H126" s="17">
        <f>IFERROR(C126/SUMIFS($C:$C,$A:$A,A126,$B:$B,TEXT(VALUE(LEFT(B126,4))-1,"0")&amp;RIGHT(B126,3))-1,"")</f>
        <v/>
      </c>
    </row>
    <row r="127">
      <c r="A127" s="4" t="inlineStr">
        <is>
          <t>IRL</t>
        </is>
      </c>
      <c r="B127" s="4" t="inlineStr">
        <is>
          <t>2024-T3</t>
        </is>
      </c>
      <c r="C127" s="16" t="n">
        <v>135.2</v>
      </c>
      <c r="D127" s="4" t="inlineStr">
        <is>
          <t>A</t>
        </is>
      </c>
      <c r="E127" s="4" t="inlineStr">
        <is>
          <t>2026-09-09</t>
        </is>
      </c>
      <c r="F127" s="4" t="inlineStr">
        <is>
          <t>FICTIF_DEMO</t>
        </is>
      </c>
      <c r="G127" s="4" t="inlineStr">
        <is>
          <t>2026-09-09</t>
        </is>
      </c>
      <c r="H127" s="17">
        <f>IFERROR(C127/SUMIFS($C:$C,$A:$A,A127,$B:$B,TEXT(VALUE(LEFT(B127,4))-1,"0")&amp;RIGHT(B127,3))-1,"")</f>
        <v/>
      </c>
    </row>
    <row r="128">
      <c r="A128" s="4" t="inlineStr">
        <is>
          <t>IRL</t>
        </is>
      </c>
      <c r="B128" s="4" t="inlineStr">
        <is>
          <t>2024-T4</t>
        </is>
      </c>
      <c r="C128" s="16" t="n">
        <v>135.6</v>
      </c>
      <c r="D128" s="4" t="inlineStr">
        <is>
          <t>A</t>
        </is>
      </c>
      <c r="E128" s="4" t="inlineStr">
        <is>
          <t>2026-09-09</t>
        </is>
      </c>
      <c r="F128" s="4" t="inlineStr">
        <is>
          <t>FICTIF_DEMO</t>
        </is>
      </c>
      <c r="G128" s="4" t="inlineStr">
        <is>
          <t>2026-09-09</t>
        </is>
      </c>
      <c r="H128" s="17">
        <f>IFERROR(C128/SUMIFS($C:$C,$A:$A,A128,$B:$B,TEXT(VALUE(LEFT(B128,4))-1,"0")&amp;RIGHT(B128,3))-1,"")</f>
        <v/>
      </c>
    </row>
    <row r="129">
      <c r="A129" s="4" t="inlineStr">
        <is>
          <t>IRL</t>
        </is>
      </c>
      <c r="B129" s="4" t="inlineStr">
        <is>
          <t>2025-T1</t>
        </is>
      </c>
      <c r="C129" s="16" t="n">
        <v>136</v>
      </c>
      <c r="D129" s="4" t="inlineStr">
        <is>
          <t>A</t>
        </is>
      </c>
      <c r="E129" s="4" t="inlineStr">
        <is>
          <t>2026-09-09</t>
        </is>
      </c>
      <c r="F129" s="4" t="inlineStr">
        <is>
          <t>FICTIF_DEMO</t>
        </is>
      </c>
      <c r="G129" s="4" t="inlineStr">
        <is>
          <t>2026-09-09</t>
        </is>
      </c>
      <c r="H129" s="17">
        <f>IFERROR(C129/SUMIFS($C:$C,$A:$A,A129,$B:$B,TEXT(VALUE(LEFT(B129,4))-1,"0")&amp;RIGHT(B129,3))-1,"")</f>
        <v/>
      </c>
    </row>
    <row r="130">
      <c r="A130" s="4" t="inlineStr">
        <is>
          <t>IRL</t>
        </is>
      </c>
      <c r="B130" s="4" t="inlineStr">
        <is>
          <t>2025-T2</t>
        </is>
      </c>
      <c r="C130" s="16" t="n">
        <v>136.4</v>
      </c>
      <c r="D130" s="4" t="inlineStr">
        <is>
          <t>A</t>
        </is>
      </c>
      <c r="E130" s="4" t="inlineStr">
        <is>
          <t>2026-09-09</t>
        </is>
      </c>
      <c r="F130" s="4" t="inlineStr">
        <is>
          <t>FICTIF_DEMO</t>
        </is>
      </c>
      <c r="G130" s="4" t="inlineStr">
        <is>
          <t>2026-09-09</t>
        </is>
      </c>
      <c r="H130" s="17">
        <f>IFERROR(C130/SUMIFS($C:$C,$A:$A,A130,$B:$B,TEXT(VALUE(LEFT(B130,4))-1,"0")&amp;RIGHT(B130,3))-1,"")</f>
        <v/>
      </c>
    </row>
    <row r="131">
      <c r="A131" s="4" t="inlineStr">
        <is>
          <t>IRL</t>
        </is>
      </c>
      <c r="B131" s="4" t="inlineStr">
        <is>
          <t>2025-T3</t>
        </is>
      </c>
      <c r="C131" s="16" t="n">
        <v>136.8</v>
      </c>
      <c r="D131" s="4" t="inlineStr">
        <is>
          <t>A</t>
        </is>
      </c>
      <c r="E131" s="4" t="inlineStr">
        <is>
          <t>2026-09-09</t>
        </is>
      </c>
      <c r="F131" s="4" t="inlineStr">
        <is>
          <t>FICTIF_DEMO</t>
        </is>
      </c>
      <c r="G131" s="4" t="inlineStr">
        <is>
          <t>2026-09-09</t>
        </is>
      </c>
      <c r="H131" s="17">
        <f>IFERROR(C131/SUMIFS($C:$C,$A:$A,A131,$B:$B,TEXT(VALUE(LEFT(B131,4))-1,"0")&amp;RIGHT(B131,3))-1,"")</f>
        <v/>
      </c>
    </row>
    <row r="132">
      <c r="A132" s="4" t="inlineStr">
        <is>
          <t>IRL</t>
        </is>
      </c>
      <c r="B132" s="4" t="inlineStr">
        <is>
          <t>2025-T4</t>
        </is>
      </c>
      <c r="C132" s="16" t="n">
        <v>137.2</v>
      </c>
      <c r="D132" s="4" t="inlineStr">
        <is>
          <t>A</t>
        </is>
      </c>
      <c r="E132" s="4" t="inlineStr">
        <is>
          <t>2026-09-09</t>
        </is>
      </c>
      <c r="F132" s="4" t="inlineStr">
        <is>
          <t>FICTIF_DEMO</t>
        </is>
      </c>
      <c r="G132" s="4" t="inlineStr">
        <is>
          <t>2026-09-09</t>
        </is>
      </c>
      <c r="H132" s="17">
        <f>IFERROR(C132/SUMIFS($C:$C,$A:$A,A132,$B:$B,TEXT(VALUE(LEFT(B132,4))-1,"0")&amp;RIGHT(B132,3))-1,"")</f>
        <v/>
      </c>
    </row>
    <row r="133">
      <c r="A133" s="4" t="inlineStr">
        <is>
          <t>IRL</t>
        </is>
      </c>
      <c r="B133" s="4" t="inlineStr">
        <is>
          <t>2026-T1</t>
        </is>
      </c>
      <c r="C133" s="16" t="n">
        <v>137.6</v>
      </c>
      <c r="D133" s="4" t="inlineStr">
        <is>
          <t>P</t>
        </is>
      </c>
      <c r="E133" s="4" t="inlineStr">
        <is>
          <t>2026-09-09</t>
        </is>
      </c>
      <c r="F133" s="4" t="inlineStr">
        <is>
          <t>FICTIF_DEMO</t>
        </is>
      </c>
      <c r="G133" s="4" t="inlineStr">
        <is>
          <t>2026-09-09</t>
        </is>
      </c>
      <c r="H133" s="17">
        <f>IFERROR(C133/SUMIFS($C:$C,$A:$A,A133,$B:$B,TEXT(VALUE(LEFT(B133,4))-1,"0")&amp;RIGHT(B133,3))-1,"")</f>
        <v/>
      </c>
    </row>
  </sheetData>
  <autoFilter ref="A1:H1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" customWidth="1" min="3" max="3"/>
    <col width="13" customWidth="1" min="4" max="4"/>
    <col width="7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24" customWidth="1" min="11" max="11"/>
    <col width="15" customWidth="1" min="12" max="12"/>
    <col width="14" customWidth="1" min="13" max="13"/>
    <col width="15" customWidth="1" min="14" max="14"/>
    <col width="15" customWidth="1" min="15" max="15"/>
    <col width="9" customWidth="1" min="16" max="16"/>
    <col width="13" customWidth="1" min="17" max="17"/>
    <col width="13" customWidth="1" min="18" max="18"/>
    <col width="13" customWidth="1" min="19" max="19"/>
    <col width="12" customWidth="1" min="20" max="20"/>
    <col width="13" customWidth="1" min="21" max="21"/>
    <col width="20" customWidth="1" min="22" max="22"/>
    <col width="40" customWidth="1" min="23" max="23"/>
    <col width="11" customWidth="1" min="24" max="24"/>
    <col width="13" customWidth="1" min="25" max="25"/>
    <col width="13" customWidth="1" min="26" max="26"/>
    <col width="30" customWidth="1" min="27" max="27"/>
    <col hidden="1" width="12" customWidth="1" min="28" max="28"/>
    <col hidden="1" width="6" customWidth="1" min="29" max="29"/>
  </cols>
  <sheetData>
    <row r="1" ht="42" customHeight="1">
      <c r="A1" s="10" t="inlineStr">
        <is>
          <t>ID bail</t>
        </is>
      </c>
      <c r="B1" s="10" t="inlineStr">
        <is>
          <t>Local</t>
        </is>
      </c>
      <c r="C1" s="10" t="inlineStr">
        <is>
          <t>N°</t>
        </is>
      </c>
      <c r="D1" s="10" t="inlineStr">
        <is>
          <t>Date de révision</t>
        </is>
      </c>
      <c r="E1" s="10" t="inlineStr">
        <is>
          <t>Indice</t>
        </is>
      </c>
      <c r="F1" s="10" t="inlineStr">
        <is>
          <t>Trim. référence</t>
        </is>
      </c>
      <c r="G1" s="10" t="inlineStr">
        <is>
          <t>Valeur indice réf.</t>
        </is>
      </c>
      <c r="H1" s="10" t="inlineStr">
        <is>
          <t>Trim. précédent</t>
        </is>
      </c>
      <c r="I1" s="10" t="inlineStr">
        <is>
          <t>Valeur indice préc.</t>
        </is>
      </c>
      <c r="J1" s="10" t="inlineStr">
        <is>
          <t>Coefficient</t>
        </is>
      </c>
      <c r="K1" s="10" t="inlineStr">
        <is>
          <t>Décision</t>
        </is>
      </c>
      <c r="L1" s="10" t="inlineStr">
        <is>
          <t>Base de calcul (annuel HT)</t>
        </is>
      </c>
      <c r="M1" s="10" t="inlineStr">
        <is>
          <t>Loyer révisé brut</t>
        </is>
      </c>
      <c r="N1" s="10" t="inlineStr">
        <is>
          <t>Loyer retenu (annuel HT)</t>
        </is>
      </c>
      <c r="O1" s="10" t="inlineStr">
        <is>
          <t>Loyer précédent (annuel HT)</t>
        </is>
      </c>
      <c r="P1" s="10" t="inlineStr">
        <is>
          <t>Variation</t>
        </is>
      </c>
      <c r="Q1" s="10" t="inlineStr">
        <is>
          <t>Loyer mensuel HT</t>
        </is>
      </c>
      <c r="R1" s="10" t="inlineStr">
        <is>
          <t>Loyer / échéance HT</t>
        </is>
      </c>
      <c r="S1" s="10" t="inlineStr">
        <is>
          <t>Charges / échéance HT</t>
        </is>
      </c>
      <c r="T1" s="10" t="inlineStr">
        <is>
          <t>TVA / échéance</t>
        </is>
      </c>
      <c r="U1" s="10" t="inlineStr">
        <is>
          <t>Total TTC / échéance</t>
        </is>
      </c>
      <c r="V1" s="10" t="inlineStr">
        <is>
          <t>Statut</t>
        </is>
      </c>
      <c r="W1" s="10" t="inlineStr">
        <is>
          <t>Consigne (à faire)</t>
        </is>
      </c>
      <c r="X1" s="10" t="inlineStr">
        <is>
          <t>Appliqué ? (Oui/Non)</t>
        </is>
      </c>
      <c r="Y1" s="10" t="inlineStr">
        <is>
          <t>Date d'application</t>
        </is>
      </c>
      <c r="Z1" s="10" t="inlineStr">
        <is>
          <t>Courrier envoyé le</t>
        </is>
      </c>
      <c r="AA1" s="10" t="inlineStr">
        <is>
          <t>Commentaire</t>
        </is>
      </c>
      <c r="AB1" s="10" t="inlineStr">
        <is>
          <t>Clé</t>
        </is>
      </c>
      <c r="AC1" s="10" t="inlineStr">
        <is>
          <t>Effectif</t>
        </is>
      </c>
    </row>
    <row r="2">
      <c r="A2" s="15" t="inlineStr">
        <is>
          <t>B01</t>
        </is>
      </c>
      <c r="B2" s="15">
        <f>INDEX(Baux!$B:$B,MATCH($A2,Baux!$A:$A,0))</f>
        <v/>
      </c>
      <c r="C2" s="15" t="n">
        <v>1</v>
      </c>
      <c r="D2" s="13">
        <f>EDATE(INDEX(Baux!$F:$F,MATCH($A2,Baux!$A:$A,0)),12*INDEX(Baux!$O:$O,MATCH($A2,Baux!$A:$A,0))*C2)</f>
        <v/>
      </c>
      <c r="E2" s="15">
        <f>INDEX(Baux!$M:$M,MATCH($A2,Baux!$A:$A,0))</f>
        <v/>
      </c>
      <c r="F2" s="15">
        <f>TEXT(VALUE(LEFT(INDEX(Baux!$N:$N,MATCH($A2,Baux!$A:$A,0)),4))+C2*INDEX(Baux!$O:$O,MATCH($A2,Baux!$A:$A,0)),"0")&amp;RIGHT(INDEX(Baux!$N:$N,MATCH($A2,Baux!$A:$A,0)),3)</f>
        <v/>
      </c>
      <c r="G2" s="18">
        <f>IF(SUMIFS(Indices!$C:$C,Indices!$A:$A,E2,Indices!$B:$B,F2)=0,"",SUMIFS(Indices!$C:$C,Indices!$A:$A,E2,Indices!$B:$B,F2))</f>
        <v/>
      </c>
      <c r="H2" s="15">
        <f>INDEX(Baux!$N:$N,MATCH($A2,Baux!$A:$A,0))</f>
        <v/>
      </c>
      <c r="I2" s="18">
        <f>IF(SUMIFS(Indices!$C:$C,Indices!$A:$A,E2,Indices!$B:$B,H2)=0,"",SUMIFS(Indices!$C:$C,Indices!$A:$A,E2,Indices!$B:$B,H2))</f>
        <v/>
      </c>
      <c r="J2" s="19">
        <f>IF(OR(G2="",I2=""),"",G2/I2)</f>
        <v/>
      </c>
      <c r="K2" s="11" t="n"/>
      <c r="L2" s="20">
        <f>INDEX(Baux!$I:$I,MATCH($A2,Baux!$A:$A,0))</f>
        <v/>
      </c>
      <c r="M2" s="20">
        <f>IF(OR(J2="",L2=""),"",ROUND(L2*J2,2))</f>
        <v/>
      </c>
      <c r="N2" s="20">
        <f>IF(LEFT(K2,5)="Geler",O2,IF(M2="","",IF(INDEX(Baux!$Q:$Q,MATCH($A2,Baux!$A:$A,0))="",M2,MIN(M2,ROUND(L2*(1+INDEX(Baux!$Q:$Q,MATCH($A2,Baux!$A:$A,0))/100)^IF(INDEX(Baux!$P:$P,MATCH($A2,Baux!$A:$A,0))="Base fixe",C2*INDEX(Baux!$O:$O,MATCH($A2,Baux!$A:$A,0)),VALUE(LEFT(F2,4))-VALUE(LEFT(H2,4))),2)))))</f>
        <v/>
      </c>
      <c r="O2" s="20">
        <f>INDEX(Baux!$I:$I,MATCH($A2,Baux!$A:$A,0))</f>
        <v/>
      </c>
      <c r="P2" s="21">
        <f>IF(OR(N2="",O2=""),"",N2/O2-1)</f>
        <v/>
      </c>
      <c r="Q2" s="20">
        <f>IF(N2="","",N2/12)</f>
        <v/>
      </c>
      <c r="R2" s="20">
        <f>IF(N2="","",N2/IF(INDEX(Baux!$L:$L,MATCH($A2,Baux!$A:$A,0))="Mensuelle",12,IF(INDEX(Baux!$L:$L,MATCH($A2,Baux!$A:$A,0))="Trimestrielle",4,IF(INDEX(Baux!$L:$L,MATCH($A2,Baux!$A:$A,0))="Semestrielle",2,1))))</f>
        <v/>
      </c>
      <c r="S2" s="20">
        <f>IF(INDEX(Baux!$J:$J,MATCH($A2,Baux!$A:$A,0))="",0,INDEX(Baux!$J:$J,MATCH($A2,Baux!$A:$A,0)))/IF(INDEX(Baux!$L:$L,MATCH($A2,Baux!$A:$A,0))="Mensuelle",12,IF(INDEX(Baux!$L:$L,MATCH($A2,Baux!$A:$A,0))="Trimestrielle",4,IF(INDEX(Baux!$L:$L,MATCH($A2,Baux!$A:$A,0))="Semestrielle",2,1)))</f>
        <v/>
      </c>
      <c r="T2" s="20">
        <f>IF(R2="","",(R2+S2)*INDEX(Baux!$K:$K,MATCH($A2,Baux!$A:$A,0))/100)</f>
        <v/>
      </c>
      <c r="U2" s="20">
        <f>IF(R2="","",R2+S2+T2)</f>
        <v/>
      </c>
      <c r="V2" s="15">
        <f>IF(LEFT(K2,5)="Geler","❄ Gelée",IF(G2="",IF(D2&lt;=TODAY(),"⚠ Indice attendu","À venir"),IF(D2&lt;=TODAY(),"✔ Calculable","Indice connu – à venir")))</f>
        <v/>
      </c>
      <c r="W2" s="22" t="n"/>
      <c r="X2" s="11" t="inlineStr">
        <is>
          <t>Oui</t>
        </is>
      </c>
      <c r="Y2" s="12" t="n"/>
      <c r="Z2" s="12" t="n"/>
      <c r="AA2" s="11" t="n"/>
      <c r="AB2" s="15">
        <f>A2&amp;"#"&amp;C2</f>
        <v/>
      </c>
      <c r="AC2" s="15">
        <f>IF(AND(D2&lt;=TODAY(),N2&lt;&gt;""),1,0)</f>
        <v/>
      </c>
    </row>
    <row r="3">
      <c r="A3" s="15" t="inlineStr">
        <is>
          <t>B01</t>
        </is>
      </c>
      <c r="B3" s="15">
        <f>INDEX(Baux!$B:$B,MATCH($A3,Baux!$A:$A,0))</f>
        <v/>
      </c>
      <c r="C3" s="15" t="n">
        <v>2</v>
      </c>
      <c r="D3" s="13">
        <f>EDATE(INDEX(Baux!$F:$F,MATCH($A3,Baux!$A:$A,0)),12*INDEX(Baux!$O:$O,MATCH($A3,Baux!$A:$A,0))*C3)</f>
        <v/>
      </c>
      <c r="E3" s="15">
        <f>INDEX(Baux!$M:$M,MATCH($A3,Baux!$A:$A,0))</f>
        <v/>
      </c>
      <c r="F3" s="15">
        <f>TEXT(VALUE(LEFT(INDEX(Baux!$N:$N,MATCH($A3,Baux!$A:$A,0)),4))+C3*INDEX(Baux!$O:$O,MATCH($A3,Baux!$A:$A,0)),"0")&amp;RIGHT(INDEX(Baux!$N:$N,MATCH($A3,Baux!$A:$A,0)),3)</f>
        <v/>
      </c>
      <c r="G3" s="18">
        <f>IF(SUMIFS(Indices!$C:$C,Indices!$A:$A,E3,Indices!$B:$B,F3)=0,"",SUMIFS(Indices!$C:$C,Indices!$A:$A,E3,Indices!$B:$B,F3))</f>
        <v/>
      </c>
      <c r="H3" s="15">
        <f>IF(INDEX(Baux!$P:$P,MATCH($A3,Baux!$A:$A,0))="Base fixe",INDEX(Baux!$N:$N,MATCH($A3,Baux!$A:$A,0)),IF(K2="Geler – rattrapage possible",H2,F2))</f>
        <v/>
      </c>
      <c r="I3" s="18">
        <f>IF(SUMIFS(Indices!$C:$C,Indices!$A:$A,E3,Indices!$B:$B,H3)=0,"",SUMIFS(Indices!$C:$C,Indices!$A:$A,E3,Indices!$B:$B,H3))</f>
        <v/>
      </c>
      <c r="J3" s="19">
        <f>IF(OR(G3="",I3=""),"",G3/I3)</f>
        <v/>
      </c>
      <c r="K3" s="11" t="n"/>
      <c r="L3" s="20">
        <f>IF(INDEX(Baux!$P:$P,MATCH($A3,Baux!$A:$A,0))="Base fixe",INDEX(Baux!$I:$I,MATCH($A3,Baux!$A:$A,0)),N2)</f>
        <v/>
      </c>
      <c r="M3" s="20">
        <f>IF(OR(J3="",L3=""),"",ROUND(L3*J3,2))</f>
        <v/>
      </c>
      <c r="N3" s="20">
        <f>IF(LEFT(K3,5)="Geler",O3,IF(M3="","",IF(INDEX(Baux!$Q:$Q,MATCH($A3,Baux!$A:$A,0))="",M3,MIN(M3,ROUND(L3*(1+INDEX(Baux!$Q:$Q,MATCH($A3,Baux!$A:$A,0))/100)^IF(INDEX(Baux!$P:$P,MATCH($A3,Baux!$A:$A,0))="Base fixe",C3*INDEX(Baux!$O:$O,MATCH($A3,Baux!$A:$A,0)),VALUE(LEFT(F3,4))-VALUE(LEFT(H3,4))),2)))))</f>
        <v/>
      </c>
      <c r="O3" s="20">
        <f>N2</f>
        <v/>
      </c>
      <c r="P3" s="21">
        <f>IF(OR(N3="",O3=""),"",N3/O3-1)</f>
        <v/>
      </c>
      <c r="Q3" s="20">
        <f>IF(N3="","",N3/12)</f>
        <v/>
      </c>
      <c r="R3" s="20">
        <f>IF(N3="","",N3/IF(INDEX(Baux!$L:$L,MATCH($A3,Baux!$A:$A,0))="Mensuelle",12,IF(INDEX(Baux!$L:$L,MATCH($A3,Baux!$A:$A,0))="Trimestrielle",4,IF(INDEX(Baux!$L:$L,MATCH($A3,Baux!$A:$A,0))="Semestrielle",2,1))))</f>
        <v/>
      </c>
      <c r="S3" s="20">
        <f>IF(INDEX(Baux!$J:$J,MATCH($A3,Baux!$A:$A,0))="",0,INDEX(Baux!$J:$J,MATCH($A3,Baux!$A:$A,0)))/IF(INDEX(Baux!$L:$L,MATCH($A3,Baux!$A:$A,0))="Mensuelle",12,IF(INDEX(Baux!$L:$L,MATCH($A3,Baux!$A:$A,0))="Trimestrielle",4,IF(INDEX(Baux!$L:$L,MATCH($A3,Baux!$A:$A,0))="Semestrielle",2,1)))</f>
        <v/>
      </c>
      <c r="T3" s="20">
        <f>IF(R3="","",(R3+S3)*INDEX(Baux!$K:$K,MATCH($A3,Baux!$A:$A,0))/100)</f>
        <v/>
      </c>
      <c r="U3" s="20">
        <f>IF(R3="","",R3+S3+T3)</f>
        <v/>
      </c>
      <c r="V3" s="15">
        <f>IF(LEFT(K3,5)="Geler","❄ Gelée",IF(G3="",IF(D3&lt;=TODAY(),"⚠ Indice attendu","À venir"),IF(D3&lt;=TODAY(),"✔ Calculable","Indice connu – à venir")))</f>
        <v/>
      </c>
      <c r="W3" s="22" t="n"/>
      <c r="X3" s="11" t="inlineStr">
        <is>
          <t>Oui</t>
        </is>
      </c>
      <c r="Y3" s="12" t="n"/>
      <c r="Z3" s="12" t="n"/>
      <c r="AA3" s="11" t="n"/>
      <c r="AB3" s="15">
        <f>A3&amp;"#"&amp;C3</f>
        <v/>
      </c>
      <c r="AC3" s="15">
        <f>IF(AND(D3&lt;=TODAY(),N3&lt;&gt;""),1,0)</f>
        <v/>
      </c>
    </row>
    <row r="4">
      <c r="A4" s="15" t="inlineStr">
        <is>
          <t>B01</t>
        </is>
      </c>
      <c r="B4" s="15">
        <f>INDEX(Baux!$B:$B,MATCH($A4,Baux!$A:$A,0))</f>
        <v/>
      </c>
      <c r="C4" s="15" t="n">
        <v>3</v>
      </c>
      <c r="D4" s="13">
        <f>EDATE(INDEX(Baux!$F:$F,MATCH($A4,Baux!$A:$A,0)),12*INDEX(Baux!$O:$O,MATCH($A4,Baux!$A:$A,0))*C4)</f>
        <v/>
      </c>
      <c r="E4" s="15">
        <f>INDEX(Baux!$M:$M,MATCH($A4,Baux!$A:$A,0))</f>
        <v/>
      </c>
      <c r="F4" s="15">
        <f>TEXT(VALUE(LEFT(INDEX(Baux!$N:$N,MATCH($A4,Baux!$A:$A,0)),4))+C4*INDEX(Baux!$O:$O,MATCH($A4,Baux!$A:$A,0)),"0")&amp;RIGHT(INDEX(Baux!$N:$N,MATCH($A4,Baux!$A:$A,0)),3)</f>
        <v/>
      </c>
      <c r="G4" s="18">
        <f>IF(SUMIFS(Indices!$C:$C,Indices!$A:$A,E4,Indices!$B:$B,F4)=0,"",SUMIFS(Indices!$C:$C,Indices!$A:$A,E4,Indices!$B:$B,F4))</f>
        <v/>
      </c>
      <c r="H4" s="15">
        <f>IF(INDEX(Baux!$P:$P,MATCH($A4,Baux!$A:$A,0))="Base fixe",INDEX(Baux!$N:$N,MATCH($A4,Baux!$A:$A,0)),IF(K3="Geler – rattrapage possible",H3,F3))</f>
        <v/>
      </c>
      <c r="I4" s="18">
        <f>IF(SUMIFS(Indices!$C:$C,Indices!$A:$A,E4,Indices!$B:$B,H4)=0,"",SUMIFS(Indices!$C:$C,Indices!$A:$A,E4,Indices!$B:$B,H4))</f>
        <v/>
      </c>
      <c r="J4" s="19">
        <f>IF(OR(G4="",I4=""),"",G4/I4)</f>
        <v/>
      </c>
      <c r="K4" s="11" t="n"/>
      <c r="L4" s="20">
        <f>IF(INDEX(Baux!$P:$P,MATCH($A4,Baux!$A:$A,0))="Base fixe",INDEX(Baux!$I:$I,MATCH($A4,Baux!$A:$A,0)),N3)</f>
        <v/>
      </c>
      <c r="M4" s="20">
        <f>IF(OR(J4="",L4=""),"",ROUND(L4*J4,2))</f>
        <v/>
      </c>
      <c r="N4" s="20">
        <f>IF(LEFT(K4,5)="Geler",O4,IF(M4="","",IF(INDEX(Baux!$Q:$Q,MATCH($A4,Baux!$A:$A,0))="",M4,MIN(M4,ROUND(L4*(1+INDEX(Baux!$Q:$Q,MATCH($A4,Baux!$A:$A,0))/100)^IF(INDEX(Baux!$P:$P,MATCH($A4,Baux!$A:$A,0))="Base fixe",C4*INDEX(Baux!$O:$O,MATCH($A4,Baux!$A:$A,0)),VALUE(LEFT(F4,4))-VALUE(LEFT(H4,4))),2)))))</f>
        <v/>
      </c>
      <c r="O4" s="20">
        <f>N3</f>
        <v/>
      </c>
      <c r="P4" s="21">
        <f>IF(OR(N4="",O4=""),"",N4/O4-1)</f>
        <v/>
      </c>
      <c r="Q4" s="20">
        <f>IF(N4="","",N4/12)</f>
        <v/>
      </c>
      <c r="R4" s="20">
        <f>IF(N4="","",N4/IF(INDEX(Baux!$L:$L,MATCH($A4,Baux!$A:$A,0))="Mensuelle",12,IF(INDEX(Baux!$L:$L,MATCH($A4,Baux!$A:$A,0))="Trimestrielle",4,IF(INDEX(Baux!$L:$L,MATCH($A4,Baux!$A:$A,0))="Semestrielle",2,1))))</f>
        <v/>
      </c>
      <c r="S4" s="20">
        <f>IF(INDEX(Baux!$J:$J,MATCH($A4,Baux!$A:$A,0))="",0,INDEX(Baux!$J:$J,MATCH($A4,Baux!$A:$A,0)))/IF(INDEX(Baux!$L:$L,MATCH($A4,Baux!$A:$A,0))="Mensuelle",12,IF(INDEX(Baux!$L:$L,MATCH($A4,Baux!$A:$A,0))="Trimestrielle",4,IF(INDEX(Baux!$L:$L,MATCH($A4,Baux!$A:$A,0))="Semestrielle",2,1)))</f>
        <v/>
      </c>
      <c r="T4" s="20">
        <f>IF(R4="","",(R4+S4)*INDEX(Baux!$K:$K,MATCH($A4,Baux!$A:$A,0))/100)</f>
        <v/>
      </c>
      <c r="U4" s="20">
        <f>IF(R4="","",R4+S4+T4)</f>
        <v/>
      </c>
      <c r="V4" s="15">
        <f>IF(LEFT(K4,5)="Geler","❄ Gelée",IF(G4="",IF(D4&lt;=TODAY(),"⚠ Indice attendu","À venir"),IF(D4&lt;=TODAY(),"✔ Calculable","Indice connu – à venir")))</f>
        <v/>
      </c>
      <c r="W4" s="22" t="n"/>
      <c r="X4" s="11" t="inlineStr">
        <is>
          <t>Oui</t>
        </is>
      </c>
      <c r="Y4" s="12" t="n">
        <v>45383</v>
      </c>
      <c r="Z4" s="12" t="n"/>
      <c r="AA4" s="11" t="n"/>
      <c r="AB4" s="15">
        <f>A4&amp;"#"&amp;C4</f>
        <v/>
      </c>
      <c r="AC4" s="15">
        <f>IF(AND(D4&lt;=TODAY(),N4&lt;&gt;""),1,0)</f>
        <v/>
      </c>
    </row>
    <row r="5">
      <c r="A5" s="15" t="inlineStr">
        <is>
          <t>B01</t>
        </is>
      </c>
      <c r="B5" s="15">
        <f>INDEX(Baux!$B:$B,MATCH($A5,Baux!$A:$A,0))</f>
        <v/>
      </c>
      <c r="C5" s="15" t="n">
        <v>4</v>
      </c>
      <c r="D5" s="13">
        <f>EDATE(INDEX(Baux!$F:$F,MATCH($A5,Baux!$A:$A,0)),12*INDEX(Baux!$O:$O,MATCH($A5,Baux!$A:$A,0))*C5)</f>
        <v/>
      </c>
      <c r="E5" s="15">
        <f>INDEX(Baux!$M:$M,MATCH($A5,Baux!$A:$A,0))</f>
        <v/>
      </c>
      <c r="F5" s="15">
        <f>TEXT(VALUE(LEFT(INDEX(Baux!$N:$N,MATCH($A5,Baux!$A:$A,0)),4))+C5*INDEX(Baux!$O:$O,MATCH($A5,Baux!$A:$A,0)),"0")&amp;RIGHT(INDEX(Baux!$N:$N,MATCH($A5,Baux!$A:$A,0)),3)</f>
        <v/>
      </c>
      <c r="G5" s="18">
        <f>IF(SUMIFS(Indices!$C:$C,Indices!$A:$A,E5,Indices!$B:$B,F5)=0,"",SUMIFS(Indices!$C:$C,Indices!$A:$A,E5,Indices!$B:$B,F5))</f>
        <v/>
      </c>
      <c r="H5" s="15">
        <f>IF(INDEX(Baux!$P:$P,MATCH($A5,Baux!$A:$A,0))="Base fixe",INDEX(Baux!$N:$N,MATCH($A5,Baux!$A:$A,0)),IF(K4="Geler – rattrapage possible",H4,F4))</f>
        <v/>
      </c>
      <c r="I5" s="18">
        <f>IF(SUMIFS(Indices!$C:$C,Indices!$A:$A,E5,Indices!$B:$B,H5)=0,"",SUMIFS(Indices!$C:$C,Indices!$A:$A,E5,Indices!$B:$B,H5))</f>
        <v/>
      </c>
      <c r="J5" s="19">
        <f>IF(OR(G5="",I5=""),"",G5/I5)</f>
        <v/>
      </c>
      <c r="K5" s="11" t="inlineStr">
        <is>
          <t>Geler – sans rattrapage</t>
        </is>
      </c>
      <c r="L5" s="20">
        <f>IF(INDEX(Baux!$P:$P,MATCH($A5,Baux!$A:$A,0))="Base fixe",INDEX(Baux!$I:$I,MATCH($A5,Baux!$A:$A,0)),N4)</f>
        <v/>
      </c>
      <c r="M5" s="20">
        <f>IF(OR(J5="",L5=""),"",ROUND(L5*J5,2))</f>
        <v/>
      </c>
      <c r="N5" s="20">
        <f>IF(LEFT(K5,5)="Geler",O5,IF(M5="","",IF(INDEX(Baux!$Q:$Q,MATCH($A5,Baux!$A:$A,0))="",M5,MIN(M5,ROUND(L5*(1+INDEX(Baux!$Q:$Q,MATCH($A5,Baux!$A:$A,0))/100)^IF(INDEX(Baux!$P:$P,MATCH($A5,Baux!$A:$A,0))="Base fixe",C5*INDEX(Baux!$O:$O,MATCH($A5,Baux!$A:$A,0)),VALUE(LEFT(F5,4))-VALUE(LEFT(H5,4))),2)))))</f>
        <v/>
      </c>
      <c r="O5" s="20">
        <f>N4</f>
        <v/>
      </c>
      <c r="P5" s="21">
        <f>IF(OR(N5="",O5=""),"",N5/O5-1)</f>
        <v/>
      </c>
      <c r="Q5" s="20">
        <f>IF(N5="","",N5/12)</f>
        <v/>
      </c>
      <c r="R5" s="20">
        <f>IF(N5="","",N5/IF(INDEX(Baux!$L:$L,MATCH($A5,Baux!$A:$A,0))="Mensuelle",12,IF(INDEX(Baux!$L:$L,MATCH($A5,Baux!$A:$A,0))="Trimestrielle",4,IF(INDEX(Baux!$L:$L,MATCH($A5,Baux!$A:$A,0))="Semestrielle",2,1))))</f>
        <v/>
      </c>
      <c r="S5" s="20">
        <f>IF(INDEX(Baux!$J:$J,MATCH($A5,Baux!$A:$A,0))="",0,INDEX(Baux!$J:$J,MATCH($A5,Baux!$A:$A,0)))/IF(INDEX(Baux!$L:$L,MATCH($A5,Baux!$A:$A,0))="Mensuelle",12,IF(INDEX(Baux!$L:$L,MATCH($A5,Baux!$A:$A,0))="Trimestrielle",4,IF(INDEX(Baux!$L:$L,MATCH($A5,Baux!$A:$A,0))="Semestrielle",2,1)))</f>
        <v/>
      </c>
      <c r="T5" s="20">
        <f>IF(R5="","",(R5+S5)*INDEX(Baux!$K:$K,MATCH($A5,Baux!$A:$A,0))/100)</f>
        <v/>
      </c>
      <c r="U5" s="20">
        <f>IF(R5="","",R5+S5+T5)</f>
        <v/>
      </c>
      <c r="V5" s="15">
        <f>IF(LEFT(K5,5)="Geler","❄ Gelée",IF(G5="",IF(D5&lt;=TODAY(),"⚠ Indice attendu","À venir"),IF(D5&lt;=TODAY(),"✔ Calculable","Indice connu – à venir")))</f>
        <v/>
      </c>
      <c r="W5" s="22" t="inlineStr">
        <is>
          <t>Gel décidé par la gérance le 12/03/2025 (difficultés du preneur). Ne pas facturer la hausse. Courrier d'information envoyé.</t>
        </is>
      </c>
      <c r="X5" s="11" t="n"/>
      <c r="Y5" s="12" t="n"/>
      <c r="Z5" s="12" t="n">
        <v>45736</v>
      </c>
      <c r="AA5" s="11" t="n"/>
      <c r="AB5" s="15">
        <f>A5&amp;"#"&amp;C5</f>
        <v/>
      </c>
      <c r="AC5" s="15">
        <f>IF(AND(D5&lt;=TODAY(),N5&lt;&gt;""),1,0)</f>
        <v/>
      </c>
    </row>
    <row r="6">
      <c r="A6" s="15" t="inlineStr">
        <is>
          <t>B01</t>
        </is>
      </c>
      <c r="B6" s="15">
        <f>INDEX(Baux!$B:$B,MATCH($A6,Baux!$A:$A,0))</f>
        <v/>
      </c>
      <c r="C6" s="15" t="n">
        <v>5</v>
      </c>
      <c r="D6" s="13">
        <f>EDATE(INDEX(Baux!$F:$F,MATCH($A6,Baux!$A:$A,0)),12*INDEX(Baux!$O:$O,MATCH($A6,Baux!$A:$A,0))*C6)</f>
        <v/>
      </c>
      <c r="E6" s="15">
        <f>INDEX(Baux!$M:$M,MATCH($A6,Baux!$A:$A,0))</f>
        <v/>
      </c>
      <c r="F6" s="15">
        <f>TEXT(VALUE(LEFT(INDEX(Baux!$N:$N,MATCH($A6,Baux!$A:$A,0)),4))+C6*INDEX(Baux!$O:$O,MATCH($A6,Baux!$A:$A,0)),"0")&amp;RIGHT(INDEX(Baux!$N:$N,MATCH($A6,Baux!$A:$A,0)),3)</f>
        <v/>
      </c>
      <c r="G6" s="18">
        <f>IF(SUMIFS(Indices!$C:$C,Indices!$A:$A,E6,Indices!$B:$B,F6)=0,"",SUMIFS(Indices!$C:$C,Indices!$A:$A,E6,Indices!$B:$B,F6))</f>
        <v/>
      </c>
      <c r="H6" s="15">
        <f>IF(INDEX(Baux!$P:$P,MATCH($A6,Baux!$A:$A,0))="Base fixe",INDEX(Baux!$N:$N,MATCH($A6,Baux!$A:$A,0)),IF(K5="Geler – rattrapage possible",H5,F5))</f>
        <v/>
      </c>
      <c r="I6" s="18">
        <f>IF(SUMIFS(Indices!$C:$C,Indices!$A:$A,E6,Indices!$B:$B,H6)=0,"",SUMIFS(Indices!$C:$C,Indices!$A:$A,E6,Indices!$B:$B,H6))</f>
        <v/>
      </c>
      <c r="J6" s="19">
        <f>IF(OR(G6="",I6=""),"",G6/I6)</f>
        <v/>
      </c>
      <c r="K6" s="11" t="n"/>
      <c r="L6" s="20">
        <f>IF(INDEX(Baux!$P:$P,MATCH($A6,Baux!$A:$A,0))="Base fixe",INDEX(Baux!$I:$I,MATCH($A6,Baux!$A:$A,0)),N5)</f>
        <v/>
      </c>
      <c r="M6" s="20">
        <f>IF(OR(J6="",L6=""),"",ROUND(L6*J6,2))</f>
        <v/>
      </c>
      <c r="N6" s="20">
        <f>IF(LEFT(K6,5)="Geler",O6,IF(M6="","",IF(INDEX(Baux!$Q:$Q,MATCH($A6,Baux!$A:$A,0))="",M6,MIN(M6,ROUND(L6*(1+INDEX(Baux!$Q:$Q,MATCH($A6,Baux!$A:$A,0))/100)^IF(INDEX(Baux!$P:$P,MATCH($A6,Baux!$A:$A,0))="Base fixe",C6*INDEX(Baux!$O:$O,MATCH($A6,Baux!$A:$A,0)),VALUE(LEFT(F6,4))-VALUE(LEFT(H6,4))),2)))))</f>
        <v/>
      </c>
      <c r="O6" s="20">
        <f>N5</f>
        <v/>
      </c>
      <c r="P6" s="21">
        <f>IF(OR(N6="",O6=""),"",N6/O6-1)</f>
        <v/>
      </c>
      <c r="Q6" s="20">
        <f>IF(N6="","",N6/12)</f>
        <v/>
      </c>
      <c r="R6" s="20">
        <f>IF(N6="","",N6/IF(INDEX(Baux!$L:$L,MATCH($A6,Baux!$A:$A,0))="Mensuelle",12,IF(INDEX(Baux!$L:$L,MATCH($A6,Baux!$A:$A,0))="Trimestrielle",4,IF(INDEX(Baux!$L:$L,MATCH($A6,Baux!$A:$A,0))="Semestrielle",2,1))))</f>
        <v/>
      </c>
      <c r="S6" s="20">
        <f>IF(INDEX(Baux!$J:$J,MATCH($A6,Baux!$A:$A,0))="",0,INDEX(Baux!$J:$J,MATCH($A6,Baux!$A:$A,0)))/IF(INDEX(Baux!$L:$L,MATCH($A6,Baux!$A:$A,0))="Mensuelle",12,IF(INDEX(Baux!$L:$L,MATCH($A6,Baux!$A:$A,0))="Trimestrielle",4,IF(INDEX(Baux!$L:$L,MATCH($A6,Baux!$A:$A,0))="Semestrielle",2,1)))</f>
        <v/>
      </c>
      <c r="T6" s="20">
        <f>IF(R6="","",(R6+S6)*INDEX(Baux!$K:$K,MATCH($A6,Baux!$A:$A,0))/100)</f>
        <v/>
      </c>
      <c r="U6" s="20">
        <f>IF(R6="","",R6+S6+T6)</f>
        <v/>
      </c>
      <c r="V6" s="15">
        <f>IF(LEFT(K6,5)="Geler","❄ Gelée",IF(G6="",IF(D6&lt;=TODAY(),"⚠ Indice attendu","À venir"),IF(D6&lt;=TODAY(),"✔ Calculable","Indice connu – à venir")))</f>
        <v/>
      </c>
      <c r="W6" s="22" t="n"/>
      <c r="X6" s="11" t="n"/>
      <c r="Y6" s="12" t="n"/>
      <c r="Z6" s="12" t="n"/>
      <c r="AA6" s="11" t="n"/>
      <c r="AB6" s="15">
        <f>A6&amp;"#"&amp;C6</f>
        <v/>
      </c>
      <c r="AC6" s="15">
        <f>IF(AND(D6&lt;=TODAY(),N6&lt;&gt;""),1,0)</f>
        <v/>
      </c>
    </row>
    <row r="7">
      <c r="A7" s="15" t="inlineStr">
        <is>
          <t>B01</t>
        </is>
      </c>
      <c r="B7" s="15">
        <f>INDEX(Baux!$B:$B,MATCH($A7,Baux!$A:$A,0))</f>
        <v/>
      </c>
      <c r="C7" s="15" t="n">
        <v>6</v>
      </c>
      <c r="D7" s="13">
        <f>EDATE(INDEX(Baux!$F:$F,MATCH($A7,Baux!$A:$A,0)),12*INDEX(Baux!$O:$O,MATCH($A7,Baux!$A:$A,0))*C7)</f>
        <v/>
      </c>
      <c r="E7" s="15">
        <f>INDEX(Baux!$M:$M,MATCH($A7,Baux!$A:$A,0))</f>
        <v/>
      </c>
      <c r="F7" s="15">
        <f>TEXT(VALUE(LEFT(INDEX(Baux!$N:$N,MATCH($A7,Baux!$A:$A,0)),4))+C7*INDEX(Baux!$O:$O,MATCH($A7,Baux!$A:$A,0)),"0")&amp;RIGHT(INDEX(Baux!$N:$N,MATCH($A7,Baux!$A:$A,0)),3)</f>
        <v/>
      </c>
      <c r="G7" s="18">
        <f>IF(SUMIFS(Indices!$C:$C,Indices!$A:$A,E7,Indices!$B:$B,F7)=0,"",SUMIFS(Indices!$C:$C,Indices!$A:$A,E7,Indices!$B:$B,F7))</f>
        <v/>
      </c>
      <c r="H7" s="15">
        <f>IF(INDEX(Baux!$P:$P,MATCH($A7,Baux!$A:$A,0))="Base fixe",INDEX(Baux!$N:$N,MATCH($A7,Baux!$A:$A,0)),IF(K6="Geler – rattrapage possible",H6,F6))</f>
        <v/>
      </c>
      <c r="I7" s="18">
        <f>IF(SUMIFS(Indices!$C:$C,Indices!$A:$A,E7,Indices!$B:$B,H7)=0,"",SUMIFS(Indices!$C:$C,Indices!$A:$A,E7,Indices!$B:$B,H7))</f>
        <v/>
      </c>
      <c r="J7" s="19">
        <f>IF(OR(G7="",I7=""),"",G7/I7)</f>
        <v/>
      </c>
      <c r="K7" s="11" t="n"/>
      <c r="L7" s="20">
        <f>IF(INDEX(Baux!$P:$P,MATCH($A7,Baux!$A:$A,0))="Base fixe",INDEX(Baux!$I:$I,MATCH($A7,Baux!$A:$A,0)),N6)</f>
        <v/>
      </c>
      <c r="M7" s="20">
        <f>IF(OR(J7="",L7=""),"",ROUND(L7*J7,2))</f>
        <v/>
      </c>
      <c r="N7" s="20">
        <f>IF(LEFT(K7,5)="Geler",O7,IF(M7="","",IF(INDEX(Baux!$Q:$Q,MATCH($A7,Baux!$A:$A,0))="",M7,MIN(M7,ROUND(L7*(1+INDEX(Baux!$Q:$Q,MATCH($A7,Baux!$A:$A,0))/100)^IF(INDEX(Baux!$P:$P,MATCH($A7,Baux!$A:$A,0))="Base fixe",C7*INDEX(Baux!$O:$O,MATCH($A7,Baux!$A:$A,0)),VALUE(LEFT(F7,4))-VALUE(LEFT(H7,4))),2)))))</f>
        <v/>
      </c>
      <c r="O7" s="20">
        <f>N6</f>
        <v/>
      </c>
      <c r="P7" s="21">
        <f>IF(OR(N7="",O7=""),"",N7/O7-1)</f>
        <v/>
      </c>
      <c r="Q7" s="20">
        <f>IF(N7="","",N7/12)</f>
        <v/>
      </c>
      <c r="R7" s="20">
        <f>IF(N7="","",N7/IF(INDEX(Baux!$L:$L,MATCH($A7,Baux!$A:$A,0))="Mensuelle",12,IF(INDEX(Baux!$L:$L,MATCH($A7,Baux!$A:$A,0))="Trimestrielle",4,IF(INDEX(Baux!$L:$L,MATCH($A7,Baux!$A:$A,0))="Semestrielle",2,1))))</f>
        <v/>
      </c>
      <c r="S7" s="20">
        <f>IF(INDEX(Baux!$J:$J,MATCH($A7,Baux!$A:$A,0))="",0,INDEX(Baux!$J:$J,MATCH($A7,Baux!$A:$A,0)))/IF(INDEX(Baux!$L:$L,MATCH($A7,Baux!$A:$A,0))="Mensuelle",12,IF(INDEX(Baux!$L:$L,MATCH($A7,Baux!$A:$A,0))="Trimestrielle",4,IF(INDEX(Baux!$L:$L,MATCH($A7,Baux!$A:$A,0))="Semestrielle",2,1)))</f>
        <v/>
      </c>
      <c r="T7" s="20">
        <f>IF(R7="","",(R7+S7)*INDEX(Baux!$K:$K,MATCH($A7,Baux!$A:$A,0))/100)</f>
        <v/>
      </c>
      <c r="U7" s="20">
        <f>IF(R7="","",R7+S7+T7)</f>
        <v/>
      </c>
      <c r="V7" s="15">
        <f>IF(LEFT(K7,5)="Geler","❄ Gelée",IF(G7="",IF(D7&lt;=TODAY(),"⚠ Indice attendu","À venir"),IF(D7&lt;=TODAY(),"✔ Calculable","Indice connu – à venir")))</f>
        <v/>
      </c>
      <c r="W7" s="22" t="n"/>
      <c r="X7" s="11" t="n"/>
      <c r="Y7" s="12" t="n"/>
      <c r="Z7" s="12" t="n"/>
      <c r="AA7" s="11" t="n"/>
      <c r="AB7" s="15">
        <f>A7&amp;"#"&amp;C7</f>
        <v/>
      </c>
      <c r="AC7" s="15">
        <f>IF(AND(D7&lt;=TODAY(),N7&lt;&gt;""),1,0)</f>
        <v/>
      </c>
    </row>
    <row r="8">
      <c r="A8" s="15" t="inlineStr">
        <is>
          <t>B01</t>
        </is>
      </c>
      <c r="B8" s="15">
        <f>INDEX(Baux!$B:$B,MATCH($A8,Baux!$A:$A,0))</f>
        <v/>
      </c>
      <c r="C8" s="15" t="n">
        <v>7</v>
      </c>
      <c r="D8" s="13">
        <f>EDATE(INDEX(Baux!$F:$F,MATCH($A8,Baux!$A:$A,0)),12*INDEX(Baux!$O:$O,MATCH($A8,Baux!$A:$A,0))*C8)</f>
        <v/>
      </c>
      <c r="E8" s="15">
        <f>INDEX(Baux!$M:$M,MATCH($A8,Baux!$A:$A,0))</f>
        <v/>
      </c>
      <c r="F8" s="15">
        <f>TEXT(VALUE(LEFT(INDEX(Baux!$N:$N,MATCH($A8,Baux!$A:$A,0)),4))+C8*INDEX(Baux!$O:$O,MATCH($A8,Baux!$A:$A,0)),"0")&amp;RIGHT(INDEX(Baux!$N:$N,MATCH($A8,Baux!$A:$A,0)),3)</f>
        <v/>
      </c>
      <c r="G8" s="18">
        <f>IF(SUMIFS(Indices!$C:$C,Indices!$A:$A,E8,Indices!$B:$B,F8)=0,"",SUMIFS(Indices!$C:$C,Indices!$A:$A,E8,Indices!$B:$B,F8))</f>
        <v/>
      </c>
      <c r="H8" s="15">
        <f>IF(INDEX(Baux!$P:$P,MATCH($A8,Baux!$A:$A,0))="Base fixe",INDEX(Baux!$N:$N,MATCH($A8,Baux!$A:$A,0)),IF(K7="Geler – rattrapage possible",H7,F7))</f>
        <v/>
      </c>
      <c r="I8" s="18">
        <f>IF(SUMIFS(Indices!$C:$C,Indices!$A:$A,E8,Indices!$B:$B,H8)=0,"",SUMIFS(Indices!$C:$C,Indices!$A:$A,E8,Indices!$B:$B,H8))</f>
        <v/>
      </c>
      <c r="J8" s="19">
        <f>IF(OR(G8="",I8=""),"",G8/I8)</f>
        <v/>
      </c>
      <c r="K8" s="11" t="n"/>
      <c r="L8" s="20">
        <f>IF(INDEX(Baux!$P:$P,MATCH($A8,Baux!$A:$A,0))="Base fixe",INDEX(Baux!$I:$I,MATCH($A8,Baux!$A:$A,0)),N7)</f>
        <v/>
      </c>
      <c r="M8" s="20">
        <f>IF(OR(J8="",L8=""),"",ROUND(L8*J8,2))</f>
        <v/>
      </c>
      <c r="N8" s="20">
        <f>IF(LEFT(K8,5)="Geler",O8,IF(M8="","",IF(INDEX(Baux!$Q:$Q,MATCH($A8,Baux!$A:$A,0))="",M8,MIN(M8,ROUND(L8*(1+INDEX(Baux!$Q:$Q,MATCH($A8,Baux!$A:$A,0))/100)^IF(INDEX(Baux!$P:$P,MATCH($A8,Baux!$A:$A,0))="Base fixe",C8*INDEX(Baux!$O:$O,MATCH($A8,Baux!$A:$A,0)),VALUE(LEFT(F8,4))-VALUE(LEFT(H8,4))),2)))))</f>
        <v/>
      </c>
      <c r="O8" s="20">
        <f>N7</f>
        <v/>
      </c>
      <c r="P8" s="21">
        <f>IF(OR(N8="",O8=""),"",N8/O8-1)</f>
        <v/>
      </c>
      <c r="Q8" s="20">
        <f>IF(N8="","",N8/12)</f>
        <v/>
      </c>
      <c r="R8" s="20">
        <f>IF(N8="","",N8/IF(INDEX(Baux!$L:$L,MATCH($A8,Baux!$A:$A,0))="Mensuelle",12,IF(INDEX(Baux!$L:$L,MATCH($A8,Baux!$A:$A,0))="Trimestrielle",4,IF(INDEX(Baux!$L:$L,MATCH($A8,Baux!$A:$A,0))="Semestrielle",2,1))))</f>
        <v/>
      </c>
      <c r="S8" s="20">
        <f>IF(INDEX(Baux!$J:$J,MATCH($A8,Baux!$A:$A,0))="",0,INDEX(Baux!$J:$J,MATCH($A8,Baux!$A:$A,0)))/IF(INDEX(Baux!$L:$L,MATCH($A8,Baux!$A:$A,0))="Mensuelle",12,IF(INDEX(Baux!$L:$L,MATCH($A8,Baux!$A:$A,0))="Trimestrielle",4,IF(INDEX(Baux!$L:$L,MATCH($A8,Baux!$A:$A,0))="Semestrielle",2,1)))</f>
        <v/>
      </c>
      <c r="T8" s="20">
        <f>IF(R8="","",(R8+S8)*INDEX(Baux!$K:$K,MATCH($A8,Baux!$A:$A,0))/100)</f>
        <v/>
      </c>
      <c r="U8" s="20">
        <f>IF(R8="","",R8+S8+T8)</f>
        <v/>
      </c>
      <c r="V8" s="15">
        <f>IF(LEFT(K8,5)="Geler","❄ Gelée",IF(G8="",IF(D8&lt;=TODAY(),"⚠ Indice attendu","À venir"),IF(D8&lt;=TODAY(),"✔ Calculable","Indice connu – à venir")))</f>
        <v/>
      </c>
      <c r="W8" s="22" t="n"/>
      <c r="X8" s="11" t="n"/>
      <c r="Y8" s="12" t="n"/>
      <c r="Z8" s="12" t="n"/>
      <c r="AA8" s="11" t="n"/>
      <c r="AB8" s="15">
        <f>A8&amp;"#"&amp;C8</f>
        <v/>
      </c>
      <c r="AC8" s="15">
        <f>IF(AND(D8&lt;=TODAY(),N8&lt;&gt;""),1,0)</f>
        <v/>
      </c>
    </row>
    <row r="9">
      <c r="A9" s="15" t="inlineStr">
        <is>
          <t>B01</t>
        </is>
      </c>
      <c r="B9" s="15">
        <f>INDEX(Baux!$B:$B,MATCH($A9,Baux!$A:$A,0))</f>
        <v/>
      </c>
      <c r="C9" s="15" t="n">
        <v>8</v>
      </c>
      <c r="D9" s="13">
        <f>EDATE(INDEX(Baux!$F:$F,MATCH($A9,Baux!$A:$A,0)),12*INDEX(Baux!$O:$O,MATCH($A9,Baux!$A:$A,0))*C9)</f>
        <v/>
      </c>
      <c r="E9" s="15">
        <f>INDEX(Baux!$M:$M,MATCH($A9,Baux!$A:$A,0))</f>
        <v/>
      </c>
      <c r="F9" s="15">
        <f>TEXT(VALUE(LEFT(INDEX(Baux!$N:$N,MATCH($A9,Baux!$A:$A,0)),4))+C9*INDEX(Baux!$O:$O,MATCH($A9,Baux!$A:$A,0)),"0")&amp;RIGHT(INDEX(Baux!$N:$N,MATCH($A9,Baux!$A:$A,0)),3)</f>
        <v/>
      </c>
      <c r="G9" s="18">
        <f>IF(SUMIFS(Indices!$C:$C,Indices!$A:$A,E9,Indices!$B:$B,F9)=0,"",SUMIFS(Indices!$C:$C,Indices!$A:$A,E9,Indices!$B:$B,F9))</f>
        <v/>
      </c>
      <c r="H9" s="15">
        <f>IF(INDEX(Baux!$P:$P,MATCH($A9,Baux!$A:$A,0))="Base fixe",INDEX(Baux!$N:$N,MATCH($A9,Baux!$A:$A,0)),IF(K8="Geler – rattrapage possible",H8,F8))</f>
        <v/>
      </c>
      <c r="I9" s="18">
        <f>IF(SUMIFS(Indices!$C:$C,Indices!$A:$A,E9,Indices!$B:$B,H9)=0,"",SUMIFS(Indices!$C:$C,Indices!$A:$A,E9,Indices!$B:$B,H9))</f>
        <v/>
      </c>
      <c r="J9" s="19">
        <f>IF(OR(G9="",I9=""),"",G9/I9)</f>
        <v/>
      </c>
      <c r="K9" s="11" t="n"/>
      <c r="L9" s="20">
        <f>IF(INDEX(Baux!$P:$P,MATCH($A9,Baux!$A:$A,0))="Base fixe",INDEX(Baux!$I:$I,MATCH($A9,Baux!$A:$A,0)),N8)</f>
        <v/>
      </c>
      <c r="M9" s="20">
        <f>IF(OR(J9="",L9=""),"",ROUND(L9*J9,2))</f>
        <v/>
      </c>
      <c r="N9" s="20">
        <f>IF(LEFT(K9,5)="Geler",O9,IF(M9="","",IF(INDEX(Baux!$Q:$Q,MATCH($A9,Baux!$A:$A,0))="",M9,MIN(M9,ROUND(L9*(1+INDEX(Baux!$Q:$Q,MATCH($A9,Baux!$A:$A,0))/100)^IF(INDEX(Baux!$P:$P,MATCH($A9,Baux!$A:$A,0))="Base fixe",C9*INDEX(Baux!$O:$O,MATCH($A9,Baux!$A:$A,0)),VALUE(LEFT(F9,4))-VALUE(LEFT(H9,4))),2)))))</f>
        <v/>
      </c>
      <c r="O9" s="20">
        <f>N8</f>
        <v/>
      </c>
      <c r="P9" s="21">
        <f>IF(OR(N9="",O9=""),"",N9/O9-1)</f>
        <v/>
      </c>
      <c r="Q9" s="20">
        <f>IF(N9="","",N9/12)</f>
        <v/>
      </c>
      <c r="R9" s="20">
        <f>IF(N9="","",N9/IF(INDEX(Baux!$L:$L,MATCH($A9,Baux!$A:$A,0))="Mensuelle",12,IF(INDEX(Baux!$L:$L,MATCH($A9,Baux!$A:$A,0))="Trimestrielle",4,IF(INDEX(Baux!$L:$L,MATCH($A9,Baux!$A:$A,0))="Semestrielle",2,1))))</f>
        <v/>
      </c>
      <c r="S9" s="20">
        <f>IF(INDEX(Baux!$J:$J,MATCH($A9,Baux!$A:$A,0))="",0,INDEX(Baux!$J:$J,MATCH($A9,Baux!$A:$A,0)))/IF(INDEX(Baux!$L:$L,MATCH($A9,Baux!$A:$A,0))="Mensuelle",12,IF(INDEX(Baux!$L:$L,MATCH($A9,Baux!$A:$A,0))="Trimestrielle",4,IF(INDEX(Baux!$L:$L,MATCH($A9,Baux!$A:$A,0))="Semestrielle",2,1)))</f>
        <v/>
      </c>
      <c r="T9" s="20">
        <f>IF(R9="","",(R9+S9)*INDEX(Baux!$K:$K,MATCH($A9,Baux!$A:$A,0))/100)</f>
        <v/>
      </c>
      <c r="U9" s="20">
        <f>IF(R9="","",R9+S9+T9)</f>
        <v/>
      </c>
      <c r="V9" s="15">
        <f>IF(LEFT(K9,5)="Geler","❄ Gelée",IF(G9="",IF(D9&lt;=TODAY(),"⚠ Indice attendu","À venir"),IF(D9&lt;=TODAY(),"✔ Calculable","Indice connu – à venir")))</f>
        <v/>
      </c>
      <c r="W9" s="22" t="n"/>
      <c r="X9" s="11" t="n"/>
      <c r="Y9" s="12" t="n"/>
      <c r="Z9" s="12" t="n"/>
      <c r="AA9" s="11" t="n"/>
      <c r="AB9" s="15">
        <f>A9&amp;"#"&amp;C9</f>
        <v/>
      </c>
      <c r="AC9" s="15">
        <f>IF(AND(D9&lt;=TODAY(),N9&lt;&gt;""),1,0)</f>
        <v/>
      </c>
    </row>
    <row r="10">
      <c r="A10" s="15" t="inlineStr">
        <is>
          <t>B01</t>
        </is>
      </c>
      <c r="B10" s="15">
        <f>INDEX(Baux!$B:$B,MATCH($A10,Baux!$A:$A,0))</f>
        <v/>
      </c>
      <c r="C10" s="15" t="n">
        <v>9</v>
      </c>
      <c r="D10" s="13">
        <f>EDATE(INDEX(Baux!$F:$F,MATCH($A10,Baux!$A:$A,0)),12*INDEX(Baux!$O:$O,MATCH($A10,Baux!$A:$A,0))*C10)</f>
        <v/>
      </c>
      <c r="E10" s="15">
        <f>INDEX(Baux!$M:$M,MATCH($A10,Baux!$A:$A,0))</f>
        <v/>
      </c>
      <c r="F10" s="15">
        <f>TEXT(VALUE(LEFT(INDEX(Baux!$N:$N,MATCH($A10,Baux!$A:$A,0)),4))+C10*INDEX(Baux!$O:$O,MATCH($A10,Baux!$A:$A,0)),"0")&amp;RIGHT(INDEX(Baux!$N:$N,MATCH($A10,Baux!$A:$A,0)),3)</f>
        <v/>
      </c>
      <c r="G10" s="18">
        <f>IF(SUMIFS(Indices!$C:$C,Indices!$A:$A,E10,Indices!$B:$B,F10)=0,"",SUMIFS(Indices!$C:$C,Indices!$A:$A,E10,Indices!$B:$B,F10))</f>
        <v/>
      </c>
      <c r="H10" s="15">
        <f>IF(INDEX(Baux!$P:$P,MATCH($A10,Baux!$A:$A,0))="Base fixe",INDEX(Baux!$N:$N,MATCH($A10,Baux!$A:$A,0)),IF(K9="Geler – rattrapage possible",H9,F9))</f>
        <v/>
      </c>
      <c r="I10" s="18">
        <f>IF(SUMIFS(Indices!$C:$C,Indices!$A:$A,E10,Indices!$B:$B,H10)=0,"",SUMIFS(Indices!$C:$C,Indices!$A:$A,E10,Indices!$B:$B,H10))</f>
        <v/>
      </c>
      <c r="J10" s="19">
        <f>IF(OR(G10="",I10=""),"",G10/I10)</f>
        <v/>
      </c>
      <c r="K10" s="11" t="n"/>
      <c r="L10" s="20">
        <f>IF(INDEX(Baux!$P:$P,MATCH($A10,Baux!$A:$A,0))="Base fixe",INDEX(Baux!$I:$I,MATCH($A10,Baux!$A:$A,0)),N9)</f>
        <v/>
      </c>
      <c r="M10" s="20">
        <f>IF(OR(J10="",L10=""),"",ROUND(L10*J10,2))</f>
        <v/>
      </c>
      <c r="N10" s="20">
        <f>IF(LEFT(K10,5)="Geler",O10,IF(M10="","",IF(INDEX(Baux!$Q:$Q,MATCH($A10,Baux!$A:$A,0))="",M10,MIN(M10,ROUND(L10*(1+INDEX(Baux!$Q:$Q,MATCH($A10,Baux!$A:$A,0))/100)^IF(INDEX(Baux!$P:$P,MATCH($A10,Baux!$A:$A,0))="Base fixe",C10*INDEX(Baux!$O:$O,MATCH($A10,Baux!$A:$A,0)),VALUE(LEFT(F10,4))-VALUE(LEFT(H10,4))),2)))))</f>
        <v/>
      </c>
      <c r="O10" s="20">
        <f>N9</f>
        <v/>
      </c>
      <c r="P10" s="21">
        <f>IF(OR(N10="",O10=""),"",N10/O10-1)</f>
        <v/>
      </c>
      <c r="Q10" s="20">
        <f>IF(N10="","",N10/12)</f>
        <v/>
      </c>
      <c r="R10" s="20">
        <f>IF(N10="","",N10/IF(INDEX(Baux!$L:$L,MATCH($A10,Baux!$A:$A,0))="Mensuelle",12,IF(INDEX(Baux!$L:$L,MATCH($A10,Baux!$A:$A,0))="Trimestrielle",4,IF(INDEX(Baux!$L:$L,MATCH($A10,Baux!$A:$A,0))="Semestrielle",2,1))))</f>
        <v/>
      </c>
      <c r="S10" s="20">
        <f>IF(INDEX(Baux!$J:$J,MATCH($A10,Baux!$A:$A,0))="",0,INDEX(Baux!$J:$J,MATCH($A10,Baux!$A:$A,0)))/IF(INDEX(Baux!$L:$L,MATCH($A10,Baux!$A:$A,0))="Mensuelle",12,IF(INDEX(Baux!$L:$L,MATCH($A10,Baux!$A:$A,0))="Trimestrielle",4,IF(INDEX(Baux!$L:$L,MATCH($A10,Baux!$A:$A,0))="Semestrielle",2,1)))</f>
        <v/>
      </c>
      <c r="T10" s="20">
        <f>IF(R10="","",(R10+S10)*INDEX(Baux!$K:$K,MATCH($A10,Baux!$A:$A,0))/100)</f>
        <v/>
      </c>
      <c r="U10" s="20">
        <f>IF(R10="","",R10+S10+T10)</f>
        <v/>
      </c>
      <c r="V10" s="15">
        <f>IF(LEFT(K10,5)="Geler","❄ Gelée",IF(G10="",IF(D10&lt;=TODAY(),"⚠ Indice attendu","À venir"),IF(D10&lt;=TODAY(),"✔ Calculable","Indice connu – à venir")))</f>
        <v/>
      </c>
      <c r="W10" s="22" t="n"/>
      <c r="X10" s="11" t="n"/>
      <c r="Y10" s="12" t="n"/>
      <c r="Z10" s="12" t="n"/>
      <c r="AA10" s="11" t="n"/>
      <c r="AB10" s="15">
        <f>A10&amp;"#"&amp;C10</f>
        <v/>
      </c>
      <c r="AC10" s="15">
        <f>IF(AND(D10&lt;=TODAY(),N10&lt;&gt;""),1,0)</f>
        <v/>
      </c>
    </row>
    <row r="11">
      <c r="A11" s="15" t="inlineStr">
        <is>
          <t>B02</t>
        </is>
      </c>
      <c r="B11" s="15">
        <f>INDEX(Baux!$B:$B,MATCH($A11,Baux!$A:$A,0))</f>
        <v/>
      </c>
      <c r="C11" s="15" t="n">
        <v>1</v>
      </c>
      <c r="D11" s="13">
        <f>EDATE(INDEX(Baux!$F:$F,MATCH($A11,Baux!$A:$A,0)),12*INDEX(Baux!$O:$O,MATCH($A11,Baux!$A:$A,0))*C11)</f>
        <v/>
      </c>
      <c r="E11" s="15">
        <f>INDEX(Baux!$M:$M,MATCH($A11,Baux!$A:$A,0))</f>
        <v/>
      </c>
      <c r="F11" s="15">
        <f>TEXT(VALUE(LEFT(INDEX(Baux!$N:$N,MATCH($A11,Baux!$A:$A,0)),4))+C11*INDEX(Baux!$O:$O,MATCH($A11,Baux!$A:$A,0)),"0")&amp;RIGHT(INDEX(Baux!$N:$N,MATCH($A11,Baux!$A:$A,0)),3)</f>
        <v/>
      </c>
      <c r="G11" s="18">
        <f>IF(SUMIFS(Indices!$C:$C,Indices!$A:$A,E11,Indices!$B:$B,F11)=0,"",SUMIFS(Indices!$C:$C,Indices!$A:$A,E11,Indices!$B:$B,F11))</f>
        <v/>
      </c>
      <c r="H11" s="15">
        <f>INDEX(Baux!$N:$N,MATCH($A11,Baux!$A:$A,0))</f>
        <v/>
      </c>
      <c r="I11" s="18">
        <f>IF(SUMIFS(Indices!$C:$C,Indices!$A:$A,E11,Indices!$B:$B,H11)=0,"",SUMIFS(Indices!$C:$C,Indices!$A:$A,E11,Indices!$B:$B,H11))</f>
        <v/>
      </c>
      <c r="J11" s="19">
        <f>IF(OR(G11="",I11=""),"",G11/I11)</f>
        <v/>
      </c>
      <c r="K11" s="11" t="n"/>
      <c r="L11" s="20">
        <f>INDEX(Baux!$I:$I,MATCH($A11,Baux!$A:$A,0))</f>
        <v/>
      </c>
      <c r="M11" s="20">
        <f>IF(OR(J11="",L11=""),"",ROUND(L11*J11,2))</f>
        <v/>
      </c>
      <c r="N11" s="20">
        <f>IF(LEFT(K11,5)="Geler",O11,IF(M11="","",IF(INDEX(Baux!$Q:$Q,MATCH($A11,Baux!$A:$A,0))="",M11,MIN(M11,ROUND(L11*(1+INDEX(Baux!$Q:$Q,MATCH($A11,Baux!$A:$A,0))/100)^IF(INDEX(Baux!$P:$P,MATCH($A11,Baux!$A:$A,0))="Base fixe",C11*INDEX(Baux!$O:$O,MATCH($A11,Baux!$A:$A,0)),VALUE(LEFT(F11,4))-VALUE(LEFT(H11,4))),2)))))</f>
        <v/>
      </c>
      <c r="O11" s="20">
        <f>INDEX(Baux!$I:$I,MATCH($A11,Baux!$A:$A,0))</f>
        <v/>
      </c>
      <c r="P11" s="21">
        <f>IF(OR(N11="",O11=""),"",N11/O11-1)</f>
        <v/>
      </c>
      <c r="Q11" s="20">
        <f>IF(N11="","",N11/12)</f>
        <v/>
      </c>
      <c r="R11" s="20">
        <f>IF(N11="","",N11/IF(INDEX(Baux!$L:$L,MATCH($A11,Baux!$A:$A,0))="Mensuelle",12,IF(INDEX(Baux!$L:$L,MATCH($A11,Baux!$A:$A,0))="Trimestrielle",4,IF(INDEX(Baux!$L:$L,MATCH($A11,Baux!$A:$A,0))="Semestrielle",2,1))))</f>
        <v/>
      </c>
      <c r="S11" s="20">
        <f>IF(INDEX(Baux!$J:$J,MATCH($A11,Baux!$A:$A,0))="",0,INDEX(Baux!$J:$J,MATCH($A11,Baux!$A:$A,0)))/IF(INDEX(Baux!$L:$L,MATCH($A11,Baux!$A:$A,0))="Mensuelle",12,IF(INDEX(Baux!$L:$L,MATCH($A11,Baux!$A:$A,0))="Trimestrielle",4,IF(INDEX(Baux!$L:$L,MATCH($A11,Baux!$A:$A,0))="Semestrielle",2,1)))</f>
        <v/>
      </c>
      <c r="T11" s="20">
        <f>IF(R11="","",(R11+S11)*INDEX(Baux!$K:$K,MATCH($A11,Baux!$A:$A,0))/100)</f>
        <v/>
      </c>
      <c r="U11" s="20">
        <f>IF(R11="","",R11+S11+T11)</f>
        <v/>
      </c>
      <c r="V11" s="15">
        <f>IF(LEFT(K11,5)="Geler","❄ Gelée",IF(G11="",IF(D11&lt;=TODAY(),"⚠ Indice attendu","À venir"),IF(D11&lt;=TODAY(),"✔ Calculable","Indice connu – à venir")))</f>
        <v/>
      </c>
      <c r="W11" s="22" t="n"/>
      <c r="X11" s="11" t="n"/>
      <c r="Y11" s="12" t="n"/>
      <c r="Z11" s="12" t="n"/>
      <c r="AA11" s="11" t="n"/>
      <c r="AB11" s="15">
        <f>A11&amp;"#"&amp;C11</f>
        <v/>
      </c>
      <c r="AC11" s="15">
        <f>IF(AND(D11&lt;=TODAY(),N11&lt;&gt;""),1,0)</f>
        <v/>
      </c>
    </row>
    <row r="12">
      <c r="A12" s="15" t="inlineStr">
        <is>
          <t>B02</t>
        </is>
      </c>
      <c r="B12" s="15">
        <f>INDEX(Baux!$B:$B,MATCH($A12,Baux!$A:$A,0))</f>
        <v/>
      </c>
      <c r="C12" s="15" t="n">
        <v>2</v>
      </c>
      <c r="D12" s="13">
        <f>EDATE(INDEX(Baux!$F:$F,MATCH($A12,Baux!$A:$A,0)),12*INDEX(Baux!$O:$O,MATCH($A12,Baux!$A:$A,0))*C12)</f>
        <v/>
      </c>
      <c r="E12" s="15">
        <f>INDEX(Baux!$M:$M,MATCH($A12,Baux!$A:$A,0))</f>
        <v/>
      </c>
      <c r="F12" s="15">
        <f>TEXT(VALUE(LEFT(INDEX(Baux!$N:$N,MATCH($A12,Baux!$A:$A,0)),4))+C12*INDEX(Baux!$O:$O,MATCH($A12,Baux!$A:$A,0)),"0")&amp;RIGHT(INDEX(Baux!$N:$N,MATCH($A12,Baux!$A:$A,0)),3)</f>
        <v/>
      </c>
      <c r="G12" s="18">
        <f>IF(SUMIFS(Indices!$C:$C,Indices!$A:$A,E12,Indices!$B:$B,F12)=0,"",SUMIFS(Indices!$C:$C,Indices!$A:$A,E12,Indices!$B:$B,F12))</f>
        <v/>
      </c>
      <c r="H12" s="15">
        <f>IF(INDEX(Baux!$P:$P,MATCH($A12,Baux!$A:$A,0))="Base fixe",INDEX(Baux!$N:$N,MATCH($A12,Baux!$A:$A,0)),IF(K11="Geler – rattrapage possible",H11,F11))</f>
        <v/>
      </c>
      <c r="I12" s="18">
        <f>IF(SUMIFS(Indices!$C:$C,Indices!$A:$A,E12,Indices!$B:$B,H12)=0,"",SUMIFS(Indices!$C:$C,Indices!$A:$A,E12,Indices!$B:$B,H12))</f>
        <v/>
      </c>
      <c r="J12" s="19">
        <f>IF(OR(G12="",I12=""),"",G12/I12)</f>
        <v/>
      </c>
      <c r="K12" s="11" t="n"/>
      <c r="L12" s="20">
        <f>IF(INDEX(Baux!$P:$P,MATCH($A12,Baux!$A:$A,0))="Base fixe",INDEX(Baux!$I:$I,MATCH($A12,Baux!$A:$A,0)),N11)</f>
        <v/>
      </c>
      <c r="M12" s="20">
        <f>IF(OR(J12="",L12=""),"",ROUND(L12*J12,2))</f>
        <v/>
      </c>
      <c r="N12" s="20">
        <f>IF(LEFT(K12,5)="Geler",O12,IF(M12="","",IF(INDEX(Baux!$Q:$Q,MATCH($A12,Baux!$A:$A,0))="",M12,MIN(M12,ROUND(L12*(1+INDEX(Baux!$Q:$Q,MATCH($A12,Baux!$A:$A,0))/100)^IF(INDEX(Baux!$P:$P,MATCH($A12,Baux!$A:$A,0))="Base fixe",C12*INDEX(Baux!$O:$O,MATCH($A12,Baux!$A:$A,0)),VALUE(LEFT(F12,4))-VALUE(LEFT(H12,4))),2)))))</f>
        <v/>
      </c>
      <c r="O12" s="20">
        <f>N11</f>
        <v/>
      </c>
      <c r="P12" s="21">
        <f>IF(OR(N12="",O12=""),"",N12/O12-1)</f>
        <v/>
      </c>
      <c r="Q12" s="20">
        <f>IF(N12="","",N12/12)</f>
        <v/>
      </c>
      <c r="R12" s="20">
        <f>IF(N12="","",N12/IF(INDEX(Baux!$L:$L,MATCH($A12,Baux!$A:$A,0))="Mensuelle",12,IF(INDEX(Baux!$L:$L,MATCH($A12,Baux!$A:$A,0))="Trimestrielle",4,IF(INDEX(Baux!$L:$L,MATCH($A12,Baux!$A:$A,0))="Semestrielle",2,1))))</f>
        <v/>
      </c>
      <c r="S12" s="20">
        <f>IF(INDEX(Baux!$J:$J,MATCH($A12,Baux!$A:$A,0))="",0,INDEX(Baux!$J:$J,MATCH($A12,Baux!$A:$A,0)))/IF(INDEX(Baux!$L:$L,MATCH($A12,Baux!$A:$A,0))="Mensuelle",12,IF(INDEX(Baux!$L:$L,MATCH($A12,Baux!$A:$A,0))="Trimestrielle",4,IF(INDEX(Baux!$L:$L,MATCH($A12,Baux!$A:$A,0))="Semestrielle",2,1)))</f>
        <v/>
      </c>
      <c r="T12" s="20">
        <f>IF(R12="","",(R12+S12)*INDEX(Baux!$K:$K,MATCH($A12,Baux!$A:$A,0))/100)</f>
        <v/>
      </c>
      <c r="U12" s="20">
        <f>IF(R12="","",R12+S12+T12)</f>
        <v/>
      </c>
      <c r="V12" s="15">
        <f>IF(LEFT(K12,5)="Geler","❄ Gelée",IF(G12="",IF(D12&lt;=TODAY(),"⚠ Indice attendu","À venir"),IF(D12&lt;=TODAY(),"✔ Calculable","Indice connu – à venir")))</f>
        <v/>
      </c>
      <c r="W12" s="22" t="n"/>
      <c r="X12" s="11" t="n"/>
      <c r="Y12" s="12" t="n"/>
      <c r="Z12" s="12" t="n"/>
      <c r="AA12" s="11" t="n"/>
      <c r="AB12" s="15">
        <f>A12&amp;"#"&amp;C12</f>
        <v/>
      </c>
      <c r="AC12" s="15">
        <f>IF(AND(D12&lt;=TODAY(),N12&lt;&gt;""),1,0)</f>
        <v/>
      </c>
    </row>
    <row r="13">
      <c r="A13" s="15" t="inlineStr">
        <is>
          <t>B02</t>
        </is>
      </c>
      <c r="B13" s="15">
        <f>INDEX(Baux!$B:$B,MATCH($A13,Baux!$A:$A,0))</f>
        <v/>
      </c>
      <c r="C13" s="15" t="n">
        <v>3</v>
      </c>
      <c r="D13" s="13">
        <f>EDATE(INDEX(Baux!$F:$F,MATCH($A13,Baux!$A:$A,0)),12*INDEX(Baux!$O:$O,MATCH($A13,Baux!$A:$A,0))*C13)</f>
        <v/>
      </c>
      <c r="E13" s="15">
        <f>INDEX(Baux!$M:$M,MATCH($A13,Baux!$A:$A,0))</f>
        <v/>
      </c>
      <c r="F13" s="15">
        <f>TEXT(VALUE(LEFT(INDEX(Baux!$N:$N,MATCH($A13,Baux!$A:$A,0)),4))+C13*INDEX(Baux!$O:$O,MATCH($A13,Baux!$A:$A,0)),"0")&amp;RIGHT(INDEX(Baux!$N:$N,MATCH($A13,Baux!$A:$A,0)),3)</f>
        <v/>
      </c>
      <c r="G13" s="18">
        <f>IF(SUMIFS(Indices!$C:$C,Indices!$A:$A,E13,Indices!$B:$B,F13)=0,"",SUMIFS(Indices!$C:$C,Indices!$A:$A,E13,Indices!$B:$B,F13))</f>
        <v/>
      </c>
      <c r="H13" s="15">
        <f>IF(INDEX(Baux!$P:$P,MATCH($A13,Baux!$A:$A,0))="Base fixe",INDEX(Baux!$N:$N,MATCH($A13,Baux!$A:$A,0)),IF(K12="Geler – rattrapage possible",H12,F12))</f>
        <v/>
      </c>
      <c r="I13" s="18">
        <f>IF(SUMIFS(Indices!$C:$C,Indices!$A:$A,E13,Indices!$B:$B,H13)=0,"",SUMIFS(Indices!$C:$C,Indices!$A:$A,E13,Indices!$B:$B,H13))</f>
        <v/>
      </c>
      <c r="J13" s="19">
        <f>IF(OR(G13="",I13=""),"",G13/I13)</f>
        <v/>
      </c>
      <c r="K13" s="11" t="n"/>
      <c r="L13" s="20">
        <f>IF(INDEX(Baux!$P:$P,MATCH($A13,Baux!$A:$A,0))="Base fixe",INDEX(Baux!$I:$I,MATCH($A13,Baux!$A:$A,0)),N12)</f>
        <v/>
      </c>
      <c r="M13" s="20">
        <f>IF(OR(J13="",L13=""),"",ROUND(L13*J13,2))</f>
        <v/>
      </c>
      <c r="N13" s="20">
        <f>IF(LEFT(K13,5)="Geler",O13,IF(M13="","",IF(INDEX(Baux!$Q:$Q,MATCH($A13,Baux!$A:$A,0))="",M13,MIN(M13,ROUND(L13*(1+INDEX(Baux!$Q:$Q,MATCH($A13,Baux!$A:$A,0))/100)^IF(INDEX(Baux!$P:$P,MATCH($A13,Baux!$A:$A,0))="Base fixe",C13*INDEX(Baux!$O:$O,MATCH($A13,Baux!$A:$A,0)),VALUE(LEFT(F13,4))-VALUE(LEFT(H13,4))),2)))))</f>
        <v/>
      </c>
      <c r="O13" s="20">
        <f>N12</f>
        <v/>
      </c>
      <c r="P13" s="21">
        <f>IF(OR(N13="",O13=""),"",N13/O13-1)</f>
        <v/>
      </c>
      <c r="Q13" s="20">
        <f>IF(N13="","",N13/12)</f>
        <v/>
      </c>
      <c r="R13" s="20">
        <f>IF(N13="","",N13/IF(INDEX(Baux!$L:$L,MATCH($A13,Baux!$A:$A,0))="Mensuelle",12,IF(INDEX(Baux!$L:$L,MATCH($A13,Baux!$A:$A,0))="Trimestrielle",4,IF(INDEX(Baux!$L:$L,MATCH($A13,Baux!$A:$A,0))="Semestrielle",2,1))))</f>
        <v/>
      </c>
      <c r="S13" s="20">
        <f>IF(INDEX(Baux!$J:$J,MATCH($A13,Baux!$A:$A,0))="",0,INDEX(Baux!$J:$J,MATCH($A13,Baux!$A:$A,0)))/IF(INDEX(Baux!$L:$L,MATCH($A13,Baux!$A:$A,0))="Mensuelle",12,IF(INDEX(Baux!$L:$L,MATCH($A13,Baux!$A:$A,0))="Trimestrielle",4,IF(INDEX(Baux!$L:$L,MATCH($A13,Baux!$A:$A,0))="Semestrielle",2,1)))</f>
        <v/>
      </c>
      <c r="T13" s="20">
        <f>IF(R13="","",(R13+S13)*INDEX(Baux!$K:$K,MATCH($A13,Baux!$A:$A,0))/100)</f>
        <v/>
      </c>
      <c r="U13" s="20">
        <f>IF(R13="","",R13+S13+T13)</f>
        <v/>
      </c>
      <c r="V13" s="15">
        <f>IF(LEFT(K13,5)="Geler","❄ Gelée",IF(G13="",IF(D13&lt;=TODAY(),"⚠ Indice attendu","À venir"),IF(D13&lt;=TODAY(),"✔ Calculable","Indice connu – à venir")))</f>
        <v/>
      </c>
      <c r="W13" s="22" t="n"/>
      <c r="X13" s="11" t="n"/>
      <c r="Y13" s="12" t="n"/>
      <c r="Z13" s="12" t="n"/>
      <c r="AA13" s="11" t="n"/>
      <c r="AB13" s="15">
        <f>A13&amp;"#"&amp;C13</f>
        <v/>
      </c>
      <c r="AC13" s="15">
        <f>IF(AND(D13&lt;=TODAY(),N13&lt;&gt;""),1,0)</f>
        <v/>
      </c>
    </row>
    <row r="14">
      <c r="A14" s="15" t="inlineStr">
        <is>
          <t>B03</t>
        </is>
      </c>
      <c r="B14" s="15">
        <f>INDEX(Baux!$B:$B,MATCH($A14,Baux!$A:$A,0))</f>
        <v/>
      </c>
      <c r="C14" s="15" t="n">
        <v>1</v>
      </c>
      <c r="D14" s="13">
        <f>EDATE(INDEX(Baux!$F:$F,MATCH($A14,Baux!$A:$A,0)),12*INDEX(Baux!$O:$O,MATCH($A14,Baux!$A:$A,0))*C14)</f>
        <v/>
      </c>
      <c r="E14" s="15">
        <f>INDEX(Baux!$M:$M,MATCH($A14,Baux!$A:$A,0))</f>
        <v/>
      </c>
      <c r="F14" s="15">
        <f>TEXT(VALUE(LEFT(INDEX(Baux!$N:$N,MATCH($A14,Baux!$A:$A,0)),4))+C14*INDEX(Baux!$O:$O,MATCH($A14,Baux!$A:$A,0)),"0")&amp;RIGHT(INDEX(Baux!$N:$N,MATCH($A14,Baux!$A:$A,0)),3)</f>
        <v/>
      </c>
      <c r="G14" s="18">
        <f>IF(SUMIFS(Indices!$C:$C,Indices!$A:$A,E14,Indices!$B:$B,F14)=0,"",SUMIFS(Indices!$C:$C,Indices!$A:$A,E14,Indices!$B:$B,F14))</f>
        <v/>
      </c>
      <c r="H14" s="15">
        <f>INDEX(Baux!$N:$N,MATCH($A14,Baux!$A:$A,0))</f>
        <v/>
      </c>
      <c r="I14" s="18">
        <f>IF(SUMIFS(Indices!$C:$C,Indices!$A:$A,E14,Indices!$B:$B,H14)=0,"",SUMIFS(Indices!$C:$C,Indices!$A:$A,E14,Indices!$B:$B,H14))</f>
        <v/>
      </c>
      <c r="J14" s="19">
        <f>IF(OR(G14="",I14=""),"",G14/I14)</f>
        <v/>
      </c>
      <c r="K14" s="11" t="n"/>
      <c r="L14" s="20">
        <f>INDEX(Baux!$I:$I,MATCH($A14,Baux!$A:$A,0))</f>
        <v/>
      </c>
      <c r="M14" s="20">
        <f>IF(OR(J14="",L14=""),"",ROUND(L14*J14,2))</f>
        <v/>
      </c>
      <c r="N14" s="20">
        <f>IF(LEFT(K14,5)="Geler",O14,IF(M14="","",IF(INDEX(Baux!$Q:$Q,MATCH($A14,Baux!$A:$A,0))="",M14,MIN(M14,ROUND(L14*(1+INDEX(Baux!$Q:$Q,MATCH($A14,Baux!$A:$A,0))/100)^IF(INDEX(Baux!$P:$P,MATCH($A14,Baux!$A:$A,0))="Base fixe",C14*INDEX(Baux!$O:$O,MATCH($A14,Baux!$A:$A,0)),VALUE(LEFT(F14,4))-VALUE(LEFT(H14,4))),2)))))</f>
        <v/>
      </c>
      <c r="O14" s="20">
        <f>INDEX(Baux!$I:$I,MATCH($A14,Baux!$A:$A,0))</f>
        <v/>
      </c>
      <c r="P14" s="21">
        <f>IF(OR(N14="",O14=""),"",N14/O14-1)</f>
        <v/>
      </c>
      <c r="Q14" s="20">
        <f>IF(N14="","",N14/12)</f>
        <v/>
      </c>
      <c r="R14" s="20">
        <f>IF(N14="","",N14/IF(INDEX(Baux!$L:$L,MATCH($A14,Baux!$A:$A,0))="Mensuelle",12,IF(INDEX(Baux!$L:$L,MATCH($A14,Baux!$A:$A,0))="Trimestrielle",4,IF(INDEX(Baux!$L:$L,MATCH($A14,Baux!$A:$A,0))="Semestrielle",2,1))))</f>
        <v/>
      </c>
      <c r="S14" s="20">
        <f>IF(INDEX(Baux!$J:$J,MATCH($A14,Baux!$A:$A,0))="",0,INDEX(Baux!$J:$J,MATCH($A14,Baux!$A:$A,0)))/IF(INDEX(Baux!$L:$L,MATCH($A14,Baux!$A:$A,0))="Mensuelle",12,IF(INDEX(Baux!$L:$L,MATCH($A14,Baux!$A:$A,0))="Trimestrielle",4,IF(INDEX(Baux!$L:$L,MATCH($A14,Baux!$A:$A,0))="Semestrielle",2,1)))</f>
        <v/>
      </c>
      <c r="T14" s="20">
        <f>IF(R14="","",(R14+S14)*INDEX(Baux!$K:$K,MATCH($A14,Baux!$A:$A,0))/100)</f>
        <v/>
      </c>
      <c r="U14" s="20">
        <f>IF(R14="","",R14+S14+T14)</f>
        <v/>
      </c>
      <c r="V14" s="15">
        <f>IF(LEFT(K14,5)="Geler","❄ Gelée",IF(G14="",IF(D14&lt;=TODAY(),"⚠ Indice attendu","À venir"),IF(D14&lt;=TODAY(),"✔ Calculable","Indice connu – à venir")))</f>
        <v/>
      </c>
      <c r="W14" s="22" t="n"/>
      <c r="X14" s="11" t="inlineStr">
        <is>
          <t>Oui</t>
        </is>
      </c>
      <c r="Y14" s="12" t="n"/>
      <c r="Z14" s="12" t="n"/>
      <c r="AA14" s="11" t="n"/>
      <c r="AB14" s="15">
        <f>A14&amp;"#"&amp;C14</f>
        <v/>
      </c>
      <c r="AC14" s="15">
        <f>IF(AND(D14&lt;=TODAY(),N14&lt;&gt;""),1,0)</f>
        <v/>
      </c>
    </row>
    <row r="15">
      <c r="A15" s="15" t="inlineStr">
        <is>
          <t>B03</t>
        </is>
      </c>
      <c r="B15" s="15">
        <f>INDEX(Baux!$B:$B,MATCH($A15,Baux!$A:$A,0))</f>
        <v/>
      </c>
      <c r="C15" s="15" t="n">
        <v>2</v>
      </c>
      <c r="D15" s="13">
        <f>EDATE(INDEX(Baux!$F:$F,MATCH($A15,Baux!$A:$A,0)),12*INDEX(Baux!$O:$O,MATCH($A15,Baux!$A:$A,0))*C15)</f>
        <v/>
      </c>
      <c r="E15" s="15">
        <f>INDEX(Baux!$M:$M,MATCH($A15,Baux!$A:$A,0))</f>
        <v/>
      </c>
      <c r="F15" s="15">
        <f>TEXT(VALUE(LEFT(INDEX(Baux!$N:$N,MATCH($A15,Baux!$A:$A,0)),4))+C15*INDEX(Baux!$O:$O,MATCH($A15,Baux!$A:$A,0)),"0")&amp;RIGHT(INDEX(Baux!$N:$N,MATCH($A15,Baux!$A:$A,0)),3)</f>
        <v/>
      </c>
      <c r="G15" s="18">
        <f>IF(SUMIFS(Indices!$C:$C,Indices!$A:$A,E15,Indices!$B:$B,F15)=0,"",SUMIFS(Indices!$C:$C,Indices!$A:$A,E15,Indices!$B:$B,F15))</f>
        <v/>
      </c>
      <c r="H15" s="15">
        <f>IF(INDEX(Baux!$P:$P,MATCH($A15,Baux!$A:$A,0))="Base fixe",INDEX(Baux!$N:$N,MATCH($A15,Baux!$A:$A,0)),IF(K14="Geler – rattrapage possible",H14,F14))</f>
        <v/>
      </c>
      <c r="I15" s="18">
        <f>IF(SUMIFS(Indices!$C:$C,Indices!$A:$A,E15,Indices!$B:$B,H15)=0,"",SUMIFS(Indices!$C:$C,Indices!$A:$A,E15,Indices!$B:$B,H15))</f>
        <v/>
      </c>
      <c r="J15" s="19">
        <f>IF(OR(G15="",I15=""),"",G15/I15)</f>
        <v/>
      </c>
      <c r="K15" s="11" t="n"/>
      <c r="L15" s="20">
        <f>IF(INDEX(Baux!$P:$P,MATCH($A15,Baux!$A:$A,0))="Base fixe",INDEX(Baux!$I:$I,MATCH($A15,Baux!$A:$A,0)),N14)</f>
        <v/>
      </c>
      <c r="M15" s="20">
        <f>IF(OR(J15="",L15=""),"",ROUND(L15*J15,2))</f>
        <v/>
      </c>
      <c r="N15" s="20">
        <f>IF(LEFT(K15,5)="Geler",O15,IF(M15="","",IF(INDEX(Baux!$Q:$Q,MATCH($A15,Baux!$A:$A,0))="",M15,MIN(M15,ROUND(L15*(1+INDEX(Baux!$Q:$Q,MATCH($A15,Baux!$A:$A,0))/100)^IF(INDEX(Baux!$P:$P,MATCH($A15,Baux!$A:$A,0))="Base fixe",C15*INDEX(Baux!$O:$O,MATCH($A15,Baux!$A:$A,0)),VALUE(LEFT(F15,4))-VALUE(LEFT(H15,4))),2)))))</f>
        <v/>
      </c>
      <c r="O15" s="20">
        <f>N14</f>
        <v/>
      </c>
      <c r="P15" s="21">
        <f>IF(OR(N15="",O15=""),"",N15/O15-1)</f>
        <v/>
      </c>
      <c r="Q15" s="20">
        <f>IF(N15="","",N15/12)</f>
        <v/>
      </c>
      <c r="R15" s="20">
        <f>IF(N15="","",N15/IF(INDEX(Baux!$L:$L,MATCH($A15,Baux!$A:$A,0))="Mensuelle",12,IF(INDEX(Baux!$L:$L,MATCH($A15,Baux!$A:$A,0))="Trimestrielle",4,IF(INDEX(Baux!$L:$L,MATCH($A15,Baux!$A:$A,0))="Semestrielle",2,1))))</f>
        <v/>
      </c>
      <c r="S15" s="20">
        <f>IF(INDEX(Baux!$J:$J,MATCH($A15,Baux!$A:$A,0))="",0,INDEX(Baux!$J:$J,MATCH($A15,Baux!$A:$A,0)))/IF(INDEX(Baux!$L:$L,MATCH($A15,Baux!$A:$A,0))="Mensuelle",12,IF(INDEX(Baux!$L:$L,MATCH($A15,Baux!$A:$A,0))="Trimestrielle",4,IF(INDEX(Baux!$L:$L,MATCH($A15,Baux!$A:$A,0))="Semestrielle",2,1)))</f>
        <v/>
      </c>
      <c r="T15" s="20">
        <f>IF(R15="","",(R15+S15)*INDEX(Baux!$K:$K,MATCH($A15,Baux!$A:$A,0))/100)</f>
        <v/>
      </c>
      <c r="U15" s="20">
        <f>IF(R15="","",R15+S15+T15)</f>
        <v/>
      </c>
      <c r="V15" s="15">
        <f>IF(LEFT(K15,5)="Geler","❄ Gelée",IF(G15="",IF(D15&lt;=TODAY(),"⚠ Indice attendu","À venir"),IF(D15&lt;=TODAY(),"✔ Calculable","Indice connu – à venir")))</f>
        <v/>
      </c>
      <c r="W15" s="22" t="n"/>
      <c r="X15" s="11" t="inlineStr">
        <is>
          <t>Oui</t>
        </is>
      </c>
      <c r="Y15" s="12" t="n"/>
      <c r="Z15" s="12" t="n"/>
      <c r="AA15" s="11" t="n"/>
      <c r="AB15" s="15">
        <f>A15&amp;"#"&amp;C15</f>
        <v/>
      </c>
      <c r="AC15" s="15">
        <f>IF(AND(D15&lt;=TODAY(),N15&lt;&gt;""),1,0)</f>
        <v/>
      </c>
    </row>
    <row r="16">
      <c r="A16" s="15" t="inlineStr">
        <is>
          <t>B03</t>
        </is>
      </c>
      <c r="B16" s="15">
        <f>INDEX(Baux!$B:$B,MATCH($A16,Baux!$A:$A,0))</f>
        <v/>
      </c>
      <c r="C16" s="15" t="n">
        <v>3</v>
      </c>
      <c r="D16" s="13">
        <f>EDATE(INDEX(Baux!$F:$F,MATCH($A16,Baux!$A:$A,0)),12*INDEX(Baux!$O:$O,MATCH($A16,Baux!$A:$A,0))*C16)</f>
        <v/>
      </c>
      <c r="E16" s="15">
        <f>INDEX(Baux!$M:$M,MATCH($A16,Baux!$A:$A,0))</f>
        <v/>
      </c>
      <c r="F16" s="15">
        <f>TEXT(VALUE(LEFT(INDEX(Baux!$N:$N,MATCH($A16,Baux!$A:$A,0)),4))+C16*INDEX(Baux!$O:$O,MATCH($A16,Baux!$A:$A,0)),"0")&amp;RIGHT(INDEX(Baux!$N:$N,MATCH($A16,Baux!$A:$A,0)),3)</f>
        <v/>
      </c>
      <c r="G16" s="18">
        <f>IF(SUMIFS(Indices!$C:$C,Indices!$A:$A,E16,Indices!$B:$B,F16)=0,"",SUMIFS(Indices!$C:$C,Indices!$A:$A,E16,Indices!$B:$B,F16))</f>
        <v/>
      </c>
      <c r="H16" s="15">
        <f>IF(INDEX(Baux!$P:$P,MATCH($A16,Baux!$A:$A,0))="Base fixe",INDEX(Baux!$N:$N,MATCH($A16,Baux!$A:$A,0)),IF(K15="Geler – rattrapage possible",H15,F15))</f>
        <v/>
      </c>
      <c r="I16" s="18">
        <f>IF(SUMIFS(Indices!$C:$C,Indices!$A:$A,E16,Indices!$B:$B,H16)=0,"",SUMIFS(Indices!$C:$C,Indices!$A:$A,E16,Indices!$B:$B,H16))</f>
        <v/>
      </c>
      <c r="J16" s="19">
        <f>IF(OR(G16="",I16=""),"",G16/I16)</f>
        <v/>
      </c>
      <c r="K16" s="11" t="n"/>
      <c r="L16" s="20">
        <f>IF(INDEX(Baux!$P:$P,MATCH($A16,Baux!$A:$A,0))="Base fixe",INDEX(Baux!$I:$I,MATCH($A16,Baux!$A:$A,0)),N15)</f>
        <v/>
      </c>
      <c r="M16" s="20">
        <f>IF(OR(J16="",L16=""),"",ROUND(L16*J16,2))</f>
        <v/>
      </c>
      <c r="N16" s="20">
        <f>IF(LEFT(K16,5)="Geler",O16,IF(M16="","",IF(INDEX(Baux!$Q:$Q,MATCH($A16,Baux!$A:$A,0))="",M16,MIN(M16,ROUND(L16*(1+INDEX(Baux!$Q:$Q,MATCH($A16,Baux!$A:$A,0))/100)^IF(INDEX(Baux!$P:$P,MATCH($A16,Baux!$A:$A,0))="Base fixe",C16*INDEX(Baux!$O:$O,MATCH($A16,Baux!$A:$A,0)),VALUE(LEFT(F16,4))-VALUE(LEFT(H16,4))),2)))))</f>
        <v/>
      </c>
      <c r="O16" s="20">
        <f>N15</f>
        <v/>
      </c>
      <c r="P16" s="21">
        <f>IF(OR(N16="",O16=""),"",N16/O16-1)</f>
        <v/>
      </c>
      <c r="Q16" s="20">
        <f>IF(N16="","",N16/12)</f>
        <v/>
      </c>
      <c r="R16" s="20">
        <f>IF(N16="","",N16/IF(INDEX(Baux!$L:$L,MATCH($A16,Baux!$A:$A,0))="Mensuelle",12,IF(INDEX(Baux!$L:$L,MATCH($A16,Baux!$A:$A,0))="Trimestrielle",4,IF(INDEX(Baux!$L:$L,MATCH($A16,Baux!$A:$A,0))="Semestrielle",2,1))))</f>
        <v/>
      </c>
      <c r="S16" s="20">
        <f>IF(INDEX(Baux!$J:$J,MATCH($A16,Baux!$A:$A,0))="",0,INDEX(Baux!$J:$J,MATCH($A16,Baux!$A:$A,0)))/IF(INDEX(Baux!$L:$L,MATCH($A16,Baux!$A:$A,0))="Mensuelle",12,IF(INDEX(Baux!$L:$L,MATCH($A16,Baux!$A:$A,0))="Trimestrielle",4,IF(INDEX(Baux!$L:$L,MATCH($A16,Baux!$A:$A,0))="Semestrielle",2,1)))</f>
        <v/>
      </c>
      <c r="T16" s="20">
        <f>IF(R16="","",(R16+S16)*INDEX(Baux!$K:$K,MATCH($A16,Baux!$A:$A,0))/100)</f>
        <v/>
      </c>
      <c r="U16" s="20">
        <f>IF(R16="","",R16+S16+T16)</f>
        <v/>
      </c>
      <c r="V16" s="15">
        <f>IF(LEFT(K16,5)="Geler","❄ Gelée",IF(G16="",IF(D16&lt;=TODAY(),"⚠ Indice attendu","À venir"),IF(D16&lt;=TODAY(),"✔ Calculable","Indice connu – à venir")))</f>
        <v/>
      </c>
      <c r="W16" s="22" t="n"/>
      <c r="X16" s="11" t="inlineStr">
        <is>
          <t>Oui</t>
        </is>
      </c>
      <c r="Y16" s="12" t="n"/>
      <c r="Z16" s="12" t="n"/>
      <c r="AA16" s="11" t="n"/>
      <c r="AB16" s="15">
        <f>A16&amp;"#"&amp;C16</f>
        <v/>
      </c>
      <c r="AC16" s="15">
        <f>IF(AND(D16&lt;=TODAY(),N16&lt;&gt;""),1,0)</f>
        <v/>
      </c>
    </row>
    <row r="17">
      <c r="A17" s="15" t="inlineStr">
        <is>
          <t>B03</t>
        </is>
      </c>
      <c r="B17" s="15">
        <f>INDEX(Baux!$B:$B,MATCH($A17,Baux!$A:$A,0))</f>
        <v/>
      </c>
      <c r="C17" s="15" t="n">
        <v>4</v>
      </c>
      <c r="D17" s="13">
        <f>EDATE(INDEX(Baux!$F:$F,MATCH($A17,Baux!$A:$A,0)),12*INDEX(Baux!$O:$O,MATCH($A17,Baux!$A:$A,0))*C17)</f>
        <v/>
      </c>
      <c r="E17" s="15">
        <f>INDEX(Baux!$M:$M,MATCH($A17,Baux!$A:$A,0))</f>
        <v/>
      </c>
      <c r="F17" s="15">
        <f>TEXT(VALUE(LEFT(INDEX(Baux!$N:$N,MATCH($A17,Baux!$A:$A,0)),4))+C17*INDEX(Baux!$O:$O,MATCH($A17,Baux!$A:$A,0)),"0")&amp;RIGHT(INDEX(Baux!$N:$N,MATCH($A17,Baux!$A:$A,0)),3)</f>
        <v/>
      </c>
      <c r="G17" s="18">
        <f>IF(SUMIFS(Indices!$C:$C,Indices!$A:$A,E17,Indices!$B:$B,F17)=0,"",SUMIFS(Indices!$C:$C,Indices!$A:$A,E17,Indices!$B:$B,F17))</f>
        <v/>
      </c>
      <c r="H17" s="15">
        <f>IF(INDEX(Baux!$P:$P,MATCH($A17,Baux!$A:$A,0))="Base fixe",INDEX(Baux!$N:$N,MATCH($A17,Baux!$A:$A,0)),IF(K16="Geler – rattrapage possible",H16,F16))</f>
        <v/>
      </c>
      <c r="I17" s="18">
        <f>IF(SUMIFS(Indices!$C:$C,Indices!$A:$A,E17,Indices!$B:$B,H17)=0,"",SUMIFS(Indices!$C:$C,Indices!$A:$A,E17,Indices!$B:$B,H17))</f>
        <v/>
      </c>
      <c r="J17" s="19">
        <f>IF(OR(G17="",I17=""),"",G17/I17)</f>
        <v/>
      </c>
      <c r="K17" s="11" t="n"/>
      <c r="L17" s="20">
        <f>IF(INDEX(Baux!$P:$P,MATCH($A17,Baux!$A:$A,0))="Base fixe",INDEX(Baux!$I:$I,MATCH($A17,Baux!$A:$A,0)),N16)</f>
        <v/>
      </c>
      <c r="M17" s="20">
        <f>IF(OR(J17="",L17=""),"",ROUND(L17*J17,2))</f>
        <v/>
      </c>
      <c r="N17" s="20">
        <f>IF(LEFT(K17,5)="Geler",O17,IF(M17="","",IF(INDEX(Baux!$Q:$Q,MATCH($A17,Baux!$A:$A,0))="",M17,MIN(M17,ROUND(L17*(1+INDEX(Baux!$Q:$Q,MATCH($A17,Baux!$A:$A,0))/100)^IF(INDEX(Baux!$P:$P,MATCH($A17,Baux!$A:$A,0))="Base fixe",C17*INDEX(Baux!$O:$O,MATCH($A17,Baux!$A:$A,0)),VALUE(LEFT(F17,4))-VALUE(LEFT(H17,4))),2)))))</f>
        <v/>
      </c>
      <c r="O17" s="20">
        <f>N16</f>
        <v/>
      </c>
      <c r="P17" s="21">
        <f>IF(OR(N17="",O17=""),"",N17/O17-1)</f>
        <v/>
      </c>
      <c r="Q17" s="20">
        <f>IF(N17="","",N17/12)</f>
        <v/>
      </c>
      <c r="R17" s="20">
        <f>IF(N17="","",N17/IF(INDEX(Baux!$L:$L,MATCH($A17,Baux!$A:$A,0))="Mensuelle",12,IF(INDEX(Baux!$L:$L,MATCH($A17,Baux!$A:$A,0))="Trimestrielle",4,IF(INDEX(Baux!$L:$L,MATCH($A17,Baux!$A:$A,0))="Semestrielle",2,1))))</f>
        <v/>
      </c>
      <c r="S17" s="20">
        <f>IF(INDEX(Baux!$J:$J,MATCH($A17,Baux!$A:$A,0))="",0,INDEX(Baux!$J:$J,MATCH($A17,Baux!$A:$A,0)))/IF(INDEX(Baux!$L:$L,MATCH($A17,Baux!$A:$A,0))="Mensuelle",12,IF(INDEX(Baux!$L:$L,MATCH($A17,Baux!$A:$A,0))="Trimestrielle",4,IF(INDEX(Baux!$L:$L,MATCH($A17,Baux!$A:$A,0))="Semestrielle",2,1)))</f>
        <v/>
      </c>
      <c r="T17" s="20">
        <f>IF(R17="","",(R17+S17)*INDEX(Baux!$K:$K,MATCH($A17,Baux!$A:$A,0))/100)</f>
        <v/>
      </c>
      <c r="U17" s="20">
        <f>IF(R17="","",R17+S17+T17)</f>
        <v/>
      </c>
      <c r="V17" s="15">
        <f>IF(LEFT(K17,5)="Geler","❄ Gelée",IF(G17="",IF(D17&lt;=TODAY(),"⚠ Indice attendu","À venir"),IF(D17&lt;=TODAY(),"✔ Calculable","Indice connu – à venir")))</f>
        <v/>
      </c>
      <c r="W17" s="22" t="n"/>
      <c r="X17" s="11" t="inlineStr">
        <is>
          <t>Oui</t>
        </is>
      </c>
      <c r="Y17" s="12" t="n"/>
      <c r="Z17" s="12" t="n"/>
      <c r="AA17" s="11" t="n"/>
      <c r="AB17" s="15">
        <f>A17&amp;"#"&amp;C17</f>
        <v/>
      </c>
      <c r="AC17" s="15">
        <f>IF(AND(D17&lt;=TODAY(),N17&lt;&gt;""),1,0)</f>
        <v/>
      </c>
    </row>
    <row r="18">
      <c r="A18" s="15" t="inlineStr">
        <is>
          <t>B03</t>
        </is>
      </c>
      <c r="B18" s="15">
        <f>INDEX(Baux!$B:$B,MATCH($A18,Baux!$A:$A,0))</f>
        <v/>
      </c>
      <c r="C18" s="15" t="n">
        <v>5</v>
      </c>
      <c r="D18" s="13">
        <f>EDATE(INDEX(Baux!$F:$F,MATCH($A18,Baux!$A:$A,0)),12*INDEX(Baux!$O:$O,MATCH($A18,Baux!$A:$A,0))*C18)</f>
        <v/>
      </c>
      <c r="E18" s="15">
        <f>INDEX(Baux!$M:$M,MATCH($A18,Baux!$A:$A,0))</f>
        <v/>
      </c>
      <c r="F18" s="15">
        <f>TEXT(VALUE(LEFT(INDEX(Baux!$N:$N,MATCH($A18,Baux!$A:$A,0)),4))+C18*INDEX(Baux!$O:$O,MATCH($A18,Baux!$A:$A,0)),"0")&amp;RIGHT(INDEX(Baux!$N:$N,MATCH($A18,Baux!$A:$A,0)),3)</f>
        <v/>
      </c>
      <c r="G18" s="18">
        <f>IF(SUMIFS(Indices!$C:$C,Indices!$A:$A,E18,Indices!$B:$B,F18)=0,"",SUMIFS(Indices!$C:$C,Indices!$A:$A,E18,Indices!$B:$B,F18))</f>
        <v/>
      </c>
      <c r="H18" s="15">
        <f>IF(INDEX(Baux!$P:$P,MATCH($A18,Baux!$A:$A,0))="Base fixe",INDEX(Baux!$N:$N,MATCH($A18,Baux!$A:$A,0)),IF(K17="Geler – rattrapage possible",H17,F17))</f>
        <v/>
      </c>
      <c r="I18" s="18">
        <f>IF(SUMIFS(Indices!$C:$C,Indices!$A:$A,E18,Indices!$B:$B,H18)=0,"",SUMIFS(Indices!$C:$C,Indices!$A:$A,E18,Indices!$B:$B,H18))</f>
        <v/>
      </c>
      <c r="J18" s="19">
        <f>IF(OR(G18="",I18=""),"",G18/I18)</f>
        <v/>
      </c>
      <c r="K18" s="11" t="n"/>
      <c r="L18" s="20">
        <f>IF(INDEX(Baux!$P:$P,MATCH($A18,Baux!$A:$A,0))="Base fixe",INDEX(Baux!$I:$I,MATCH($A18,Baux!$A:$A,0)),N17)</f>
        <v/>
      </c>
      <c r="M18" s="20">
        <f>IF(OR(J18="",L18=""),"",ROUND(L18*J18,2))</f>
        <v/>
      </c>
      <c r="N18" s="20">
        <f>IF(LEFT(K18,5)="Geler",O18,IF(M18="","",IF(INDEX(Baux!$Q:$Q,MATCH($A18,Baux!$A:$A,0))="",M18,MIN(M18,ROUND(L18*(1+INDEX(Baux!$Q:$Q,MATCH($A18,Baux!$A:$A,0))/100)^IF(INDEX(Baux!$P:$P,MATCH($A18,Baux!$A:$A,0))="Base fixe",C18*INDEX(Baux!$O:$O,MATCH($A18,Baux!$A:$A,0)),VALUE(LEFT(F18,4))-VALUE(LEFT(H18,4))),2)))))</f>
        <v/>
      </c>
      <c r="O18" s="20">
        <f>N17</f>
        <v/>
      </c>
      <c r="P18" s="21">
        <f>IF(OR(N18="",O18=""),"",N18/O18-1)</f>
        <v/>
      </c>
      <c r="Q18" s="20">
        <f>IF(N18="","",N18/12)</f>
        <v/>
      </c>
      <c r="R18" s="20">
        <f>IF(N18="","",N18/IF(INDEX(Baux!$L:$L,MATCH($A18,Baux!$A:$A,0))="Mensuelle",12,IF(INDEX(Baux!$L:$L,MATCH($A18,Baux!$A:$A,0))="Trimestrielle",4,IF(INDEX(Baux!$L:$L,MATCH($A18,Baux!$A:$A,0))="Semestrielle",2,1))))</f>
        <v/>
      </c>
      <c r="S18" s="20">
        <f>IF(INDEX(Baux!$J:$J,MATCH($A18,Baux!$A:$A,0))="",0,INDEX(Baux!$J:$J,MATCH($A18,Baux!$A:$A,0)))/IF(INDEX(Baux!$L:$L,MATCH($A18,Baux!$A:$A,0))="Mensuelle",12,IF(INDEX(Baux!$L:$L,MATCH($A18,Baux!$A:$A,0))="Trimestrielle",4,IF(INDEX(Baux!$L:$L,MATCH($A18,Baux!$A:$A,0))="Semestrielle",2,1)))</f>
        <v/>
      </c>
      <c r="T18" s="20">
        <f>IF(R18="","",(R18+S18)*INDEX(Baux!$K:$K,MATCH($A18,Baux!$A:$A,0))/100)</f>
        <v/>
      </c>
      <c r="U18" s="20">
        <f>IF(R18="","",R18+S18+T18)</f>
        <v/>
      </c>
      <c r="V18" s="15">
        <f>IF(LEFT(K18,5)="Geler","❄ Gelée",IF(G18="",IF(D18&lt;=TODAY(),"⚠ Indice attendu","À venir"),IF(D18&lt;=TODAY(),"✔ Calculable","Indice connu – à venir")))</f>
        <v/>
      </c>
      <c r="W18" s="22" t="n"/>
      <c r="X18" s="11" t="inlineStr">
        <is>
          <t>Oui</t>
        </is>
      </c>
      <c r="Y18" s="12" t="n"/>
      <c r="Z18" s="12" t="n"/>
      <c r="AA18" s="11" t="n"/>
      <c r="AB18" s="15">
        <f>A18&amp;"#"&amp;C18</f>
        <v/>
      </c>
      <c r="AC18" s="15">
        <f>IF(AND(D18&lt;=TODAY(),N18&lt;&gt;""),1,0)</f>
        <v/>
      </c>
    </row>
    <row r="19">
      <c r="A19" s="15" t="inlineStr">
        <is>
          <t>B03</t>
        </is>
      </c>
      <c r="B19" s="15">
        <f>INDEX(Baux!$B:$B,MATCH($A19,Baux!$A:$A,0))</f>
        <v/>
      </c>
      <c r="C19" s="15" t="n">
        <v>6</v>
      </c>
      <c r="D19" s="13">
        <f>EDATE(INDEX(Baux!$F:$F,MATCH($A19,Baux!$A:$A,0)),12*INDEX(Baux!$O:$O,MATCH($A19,Baux!$A:$A,0))*C19)</f>
        <v/>
      </c>
      <c r="E19" s="15">
        <f>INDEX(Baux!$M:$M,MATCH($A19,Baux!$A:$A,0))</f>
        <v/>
      </c>
      <c r="F19" s="15">
        <f>TEXT(VALUE(LEFT(INDEX(Baux!$N:$N,MATCH($A19,Baux!$A:$A,0)),4))+C19*INDEX(Baux!$O:$O,MATCH($A19,Baux!$A:$A,0)),"0")&amp;RIGHT(INDEX(Baux!$N:$N,MATCH($A19,Baux!$A:$A,0)),3)</f>
        <v/>
      </c>
      <c r="G19" s="18">
        <f>IF(SUMIFS(Indices!$C:$C,Indices!$A:$A,E19,Indices!$B:$B,F19)=0,"",SUMIFS(Indices!$C:$C,Indices!$A:$A,E19,Indices!$B:$B,F19))</f>
        <v/>
      </c>
      <c r="H19" s="15">
        <f>IF(INDEX(Baux!$P:$P,MATCH($A19,Baux!$A:$A,0))="Base fixe",INDEX(Baux!$N:$N,MATCH($A19,Baux!$A:$A,0)),IF(K18="Geler – rattrapage possible",H18,F18))</f>
        <v/>
      </c>
      <c r="I19" s="18">
        <f>IF(SUMIFS(Indices!$C:$C,Indices!$A:$A,E19,Indices!$B:$B,H19)=0,"",SUMIFS(Indices!$C:$C,Indices!$A:$A,E19,Indices!$B:$B,H19))</f>
        <v/>
      </c>
      <c r="J19" s="19">
        <f>IF(OR(G19="",I19=""),"",G19/I19)</f>
        <v/>
      </c>
      <c r="K19" s="11" t="inlineStr">
        <is>
          <t>Geler – rattrapage possible</t>
        </is>
      </c>
      <c r="L19" s="20">
        <f>IF(INDEX(Baux!$P:$P,MATCH($A19,Baux!$A:$A,0))="Base fixe",INDEX(Baux!$I:$I,MATCH($A19,Baux!$A:$A,0)),N18)</f>
        <v/>
      </c>
      <c r="M19" s="20">
        <f>IF(OR(J19="",L19=""),"",ROUND(L19*J19,2))</f>
        <v/>
      </c>
      <c r="N19" s="20">
        <f>IF(LEFT(K19,5)="Geler",O19,IF(M19="","",IF(INDEX(Baux!$Q:$Q,MATCH($A19,Baux!$A:$A,0))="",M19,MIN(M19,ROUND(L19*(1+INDEX(Baux!$Q:$Q,MATCH($A19,Baux!$A:$A,0))/100)^IF(INDEX(Baux!$P:$P,MATCH($A19,Baux!$A:$A,0))="Base fixe",C19*INDEX(Baux!$O:$O,MATCH($A19,Baux!$A:$A,0)),VALUE(LEFT(F19,4))-VALUE(LEFT(H19,4))),2)))))</f>
        <v/>
      </c>
      <c r="O19" s="20">
        <f>N18</f>
        <v/>
      </c>
      <c r="P19" s="21">
        <f>IF(OR(N19="",O19=""),"",N19/O19-1)</f>
        <v/>
      </c>
      <c r="Q19" s="20">
        <f>IF(N19="","",N19/12)</f>
        <v/>
      </c>
      <c r="R19" s="20">
        <f>IF(N19="","",N19/IF(INDEX(Baux!$L:$L,MATCH($A19,Baux!$A:$A,0))="Mensuelle",12,IF(INDEX(Baux!$L:$L,MATCH($A19,Baux!$A:$A,0))="Trimestrielle",4,IF(INDEX(Baux!$L:$L,MATCH($A19,Baux!$A:$A,0))="Semestrielle",2,1))))</f>
        <v/>
      </c>
      <c r="S19" s="20">
        <f>IF(INDEX(Baux!$J:$J,MATCH($A19,Baux!$A:$A,0))="",0,INDEX(Baux!$J:$J,MATCH($A19,Baux!$A:$A,0)))/IF(INDEX(Baux!$L:$L,MATCH($A19,Baux!$A:$A,0))="Mensuelle",12,IF(INDEX(Baux!$L:$L,MATCH($A19,Baux!$A:$A,0))="Trimestrielle",4,IF(INDEX(Baux!$L:$L,MATCH($A19,Baux!$A:$A,0))="Semestrielle",2,1)))</f>
        <v/>
      </c>
      <c r="T19" s="20">
        <f>IF(R19="","",(R19+S19)*INDEX(Baux!$K:$K,MATCH($A19,Baux!$A:$A,0))/100)</f>
        <v/>
      </c>
      <c r="U19" s="20">
        <f>IF(R19="","",R19+S19+T19)</f>
        <v/>
      </c>
      <c r="V19" s="15">
        <f>IF(LEFT(K19,5)="Geler","❄ Gelée",IF(G19="",IF(D19&lt;=TODAY(),"⚠ Indice attendu","À venir"),IF(D19&lt;=TODAY(),"✔ Calculable","Indice connu – à venir")))</f>
        <v/>
      </c>
      <c r="W19" s="22" t="inlineStr">
        <is>
          <t>Gel d'un an négocié (avenant du 10/01/2025), rattrapage à la révision 2026 : recalculer sur l'indice 2023-T3.</t>
        </is>
      </c>
      <c r="X19" s="11" t="n"/>
      <c r="Y19" s="12" t="n"/>
      <c r="Z19" s="12" t="n"/>
      <c r="AA19" s="11" t="n"/>
      <c r="AB19" s="15">
        <f>A19&amp;"#"&amp;C19</f>
        <v/>
      </c>
      <c r="AC19" s="15">
        <f>IF(AND(D19&lt;=TODAY(),N19&lt;&gt;""),1,0)</f>
        <v/>
      </c>
    </row>
    <row r="20">
      <c r="A20" s="15" t="inlineStr">
        <is>
          <t>B03</t>
        </is>
      </c>
      <c r="B20" s="15">
        <f>INDEX(Baux!$B:$B,MATCH($A20,Baux!$A:$A,0))</f>
        <v/>
      </c>
      <c r="C20" s="15" t="n">
        <v>7</v>
      </c>
      <c r="D20" s="13">
        <f>EDATE(INDEX(Baux!$F:$F,MATCH($A20,Baux!$A:$A,0)),12*INDEX(Baux!$O:$O,MATCH($A20,Baux!$A:$A,0))*C20)</f>
        <v/>
      </c>
      <c r="E20" s="15">
        <f>INDEX(Baux!$M:$M,MATCH($A20,Baux!$A:$A,0))</f>
        <v/>
      </c>
      <c r="F20" s="15">
        <f>TEXT(VALUE(LEFT(INDEX(Baux!$N:$N,MATCH($A20,Baux!$A:$A,0)),4))+C20*INDEX(Baux!$O:$O,MATCH($A20,Baux!$A:$A,0)),"0")&amp;RIGHT(INDEX(Baux!$N:$N,MATCH($A20,Baux!$A:$A,0)),3)</f>
        <v/>
      </c>
      <c r="G20" s="18">
        <f>IF(SUMIFS(Indices!$C:$C,Indices!$A:$A,E20,Indices!$B:$B,F20)=0,"",SUMIFS(Indices!$C:$C,Indices!$A:$A,E20,Indices!$B:$B,F20))</f>
        <v/>
      </c>
      <c r="H20" s="15">
        <f>IF(INDEX(Baux!$P:$P,MATCH($A20,Baux!$A:$A,0))="Base fixe",INDEX(Baux!$N:$N,MATCH($A20,Baux!$A:$A,0)),IF(K19="Geler – rattrapage possible",H19,F19))</f>
        <v/>
      </c>
      <c r="I20" s="18">
        <f>IF(SUMIFS(Indices!$C:$C,Indices!$A:$A,E20,Indices!$B:$B,H20)=0,"",SUMIFS(Indices!$C:$C,Indices!$A:$A,E20,Indices!$B:$B,H20))</f>
        <v/>
      </c>
      <c r="J20" s="19">
        <f>IF(OR(G20="",I20=""),"",G20/I20)</f>
        <v/>
      </c>
      <c r="K20" s="11" t="n"/>
      <c r="L20" s="20">
        <f>IF(INDEX(Baux!$P:$P,MATCH($A20,Baux!$A:$A,0))="Base fixe",INDEX(Baux!$I:$I,MATCH($A20,Baux!$A:$A,0)),N19)</f>
        <v/>
      </c>
      <c r="M20" s="20">
        <f>IF(OR(J20="",L20=""),"",ROUND(L20*J20,2))</f>
        <v/>
      </c>
      <c r="N20" s="20">
        <f>IF(LEFT(K20,5)="Geler",O20,IF(M20="","",IF(INDEX(Baux!$Q:$Q,MATCH($A20,Baux!$A:$A,0))="",M20,MIN(M20,ROUND(L20*(1+INDEX(Baux!$Q:$Q,MATCH($A20,Baux!$A:$A,0))/100)^IF(INDEX(Baux!$P:$P,MATCH($A20,Baux!$A:$A,0))="Base fixe",C20*INDEX(Baux!$O:$O,MATCH($A20,Baux!$A:$A,0)),VALUE(LEFT(F20,4))-VALUE(LEFT(H20,4))),2)))))</f>
        <v/>
      </c>
      <c r="O20" s="20">
        <f>N19</f>
        <v/>
      </c>
      <c r="P20" s="21">
        <f>IF(OR(N20="",O20=""),"",N20/O20-1)</f>
        <v/>
      </c>
      <c r="Q20" s="20">
        <f>IF(N20="","",N20/12)</f>
        <v/>
      </c>
      <c r="R20" s="20">
        <f>IF(N20="","",N20/IF(INDEX(Baux!$L:$L,MATCH($A20,Baux!$A:$A,0))="Mensuelle",12,IF(INDEX(Baux!$L:$L,MATCH($A20,Baux!$A:$A,0))="Trimestrielle",4,IF(INDEX(Baux!$L:$L,MATCH($A20,Baux!$A:$A,0))="Semestrielle",2,1))))</f>
        <v/>
      </c>
      <c r="S20" s="20">
        <f>IF(INDEX(Baux!$J:$J,MATCH($A20,Baux!$A:$A,0))="",0,INDEX(Baux!$J:$J,MATCH($A20,Baux!$A:$A,0)))/IF(INDEX(Baux!$L:$L,MATCH($A20,Baux!$A:$A,0))="Mensuelle",12,IF(INDEX(Baux!$L:$L,MATCH($A20,Baux!$A:$A,0))="Trimestrielle",4,IF(INDEX(Baux!$L:$L,MATCH($A20,Baux!$A:$A,0))="Semestrielle",2,1)))</f>
        <v/>
      </c>
      <c r="T20" s="20">
        <f>IF(R20="","",(R20+S20)*INDEX(Baux!$K:$K,MATCH($A20,Baux!$A:$A,0))/100)</f>
        <v/>
      </c>
      <c r="U20" s="20">
        <f>IF(R20="","",R20+S20+T20)</f>
        <v/>
      </c>
      <c r="V20" s="15">
        <f>IF(LEFT(K20,5)="Geler","❄ Gelée",IF(G20="",IF(D20&lt;=TODAY(),"⚠ Indice attendu","À venir"),IF(D20&lt;=TODAY(),"✔ Calculable","Indice connu – à venir")))</f>
        <v/>
      </c>
      <c r="W20" s="22" t="inlineStr">
        <is>
          <t>Appliquer le rattrapage : coefficient calculé sur 2 ans d'indice. Prévenir le locataire avant facturation.</t>
        </is>
      </c>
      <c r="X20" s="11" t="n"/>
      <c r="Y20" s="12" t="n"/>
      <c r="Z20" s="12" t="n"/>
      <c r="AA20" s="11" t="n"/>
      <c r="AB20" s="15">
        <f>A20&amp;"#"&amp;C20</f>
        <v/>
      </c>
      <c r="AC20" s="15">
        <f>IF(AND(D20&lt;=TODAY(),N20&lt;&gt;""),1,0)</f>
        <v/>
      </c>
    </row>
    <row r="21">
      <c r="A21" s="15" t="inlineStr">
        <is>
          <t>B03</t>
        </is>
      </c>
      <c r="B21" s="15">
        <f>INDEX(Baux!$B:$B,MATCH($A21,Baux!$A:$A,0))</f>
        <v/>
      </c>
      <c r="C21" s="15" t="n">
        <v>8</v>
      </c>
      <c r="D21" s="13">
        <f>EDATE(INDEX(Baux!$F:$F,MATCH($A21,Baux!$A:$A,0)),12*INDEX(Baux!$O:$O,MATCH($A21,Baux!$A:$A,0))*C21)</f>
        <v/>
      </c>
      <c r="E21" s="15">
        <f>INDEX(Baux!$M:$M,MATCH($A21,Baux!$A:$A,0))</f>
        <v/>
      </c>
      <c r="F21" s="15">
        <f>TEXT(VALUE(LEFT(INDEX(Baux!$N:$N,MATCH($A21,Baux!$A:$A,0)),4))+C21*INDEX(Baux!$O:$O,MATCH($A21,Baux!$A:$A,0)),"0")&amp;RIGHT(INDEX(Baux!$N:$N,MATCH($A21,Baux!$A:$A,0)),3)</f>
        <v/>
      </c>
      <c r="G21" s="18">
        <f>IF(SUMIFS(Indices!$C:$C,Indices!$A:$A,E21,Indices!$B:$B,F21)=0,"",SUMIFS(Indices!$C:$C,Indices!$A:$A,E21,Indices!$B:$B,F21))</f>
        <v/>
      </c>
      <c r="H21" s="15">
        <f>IF(INDEX(Baux!$P:$P,MATCH($A21,Baux!$A:$A,0))="Base fixe",INDEX(Baux!$N:$N,MATCH($A21,Baux!$A:$A,0)),IF(K20="Geler – rattrapage possible",H20,F20))</f>
        <v/>
      </c>
      <c r="I21" s="18">
        <f>IF(SUMIFS(Indices!$C:$C,Indices!$A:$A,E21,Indices!$B:$B,H21)=0,"",SUMIFS(Indices!$C:$C,Indices!$A:$A,E21,Indices!$B:$B,H21))</f>
        <v/>
      </c>
      <c r="J21" s="19">
        <f>IF(OR(G21="",I21=""),"",G21/I21)</f>
        <v/>
      </c>
      <c r="K21" s="11" t="n"/>
      <c r="L21" s="20">
        <f>IF(INDEX(Baux!$P:$P,MATCH($A21,Baux!$A:$A,0))="Base fixe",INDEX(Baux!$I:$I,MATCH($A21,Baux!$A:$A,0)),N20)</f>
        <v/>
      </c>
      <c r="M21" s="20">
        <f>IF(OR(J21="",L21=""),"",ROUND(L21*J21,2))</f>
        <v/>
      </c>
      <c r="N21" s="20">
        <f>IF(LEFT(K21,5)="Geler",O21,IF(M21="","",IF(INDEX(Baux!$Q:$Q,MATCH($A21,Baux!$A:$A,0))="",M21,MIN(M21,ROUND(L21*(1+INDEX(Baux!$Q:$Q,MATCH($A21,Baux!$A:$A,0))/100)^IF(INDEX(Baux!$P:$P,MATCH($A21,Baux!$A:$A,0))="Base fixe",C21*INDEX(Baux!$O:$O,MATCH($A21,Baux!$A:$A,0)),VALUE(LEFT(F21,4))-VALUE(LEFT(H21,4))),2)))))</f>
        <v/>
      </c>
      <c r="O21" s="20">
        <f>N20</f>
        <v/>
      </c>
      <c r="P21" s="21">
        <f>IF(OR(N21="",O21=""),"",N21/O21-1)</f>
        <v/>
      </c>
      <c r="Q21" s="20">
        <f>IF(N21="","",N21/12)</f>
        <v/>
      </c>
      <c r="R21" s="20">
        <f>IF(N21="","",N21/IF(INDEX(Baux!$L:$L,MATCH($A21,Baux!$A:$A,0))="Mensuelle",12,IF(INDEX(Baux!$L:$L,MATCH($A21,Baux!$A:$A,0))="Trimestrielle",4,IF(INDEX(Baux!$L:$L,MATCH($A21,Baux!$A:$A,0))="Semestrielle",2,1))))</f>
        <v/>
      </c>
      <c r="S21" s="20">
        <f>IF(INDEX(Baux!$J:$J,MATCH($A21,Baux!$A:$A,0))="",0,INDEX(Baux!$J:$J,MATCH($A21,Baux!$A:$A,0)))/IF(INDEX(Baux!$L:$L,MATCH($A21,Baux!$A:$A,0))="Mensuelle",12,IF(INDEX(Baux!$L:$L,MATCH($A21,Baux!$A:$A,0))="Trimestrielle",4,IF(INDEX(Baux!$L:$L,MATCH($A21,Baux!$A:$A,0))="Semestrielle",2,1)))</f>
        <v/>
      </c>
      <c r="T21" s="20">
        <f>IF(R21="","",(R21+S21)*INDEX(Baux!$K:$K,MATCH($A21,Baux!$A:$A,0))/100)</f>
        <v/>
      </c>
      <c r="U21" s="20">
        <f>IF(R21="","",R21+S21+T21)</f>
        <v/>
      </c>
      <c r="V21" s="15">
        <f>IF(LEFT(K21,5)="Geler","❄ Gelée",IF(G21="",IF(D21&lt;=TODAY(),"⚠ Indice attendu","À venir"),IF(D21&lt;=TODAY(),"✔ Calculable","Indice connu – à venir")))</f>
        <v/>
      </c>
      <c r="W21" s="22" t="n"/>
      <c r="X21" s="11" t="n"/>
      <c r="Y21" s="12" t="n"/>
      <c r="Z21" s="12" t="n"/>
      <c r="AA21" s="11" t="n"/>
      <c r="AB21" s="15">
        <f>A21&amp;"#"&amp;C21</f>
        <v/>
      </c>
      <c r="AC21" s="15">
        <f>IF(AND(D21&lt;=TODAY(),N21&lt;&gt;""),1,0)</f>
        <v/>
      </c>
    </row>
    <row r="22">
      <c r="A22" s="15" t="inlineStr">
        <is>
          <t>B03</t>
        </is>
      </c>
      <c r="B22" s="15">
        <f>INDEX(Baux!$B:$B,MATCH($A22,Baux!$A:$A,0))</f>
        <v/>
      </c>
      <c r="C22" s="15" t="n">
        <v>9</v>
      </c>
      <c r="D22" s="13">
        <f>EDATE(INDEX(Baux!$F:$F,MATCH($A22,Baux!$A:$A,0)),12*INDEX(Baux!$O:$O,MATCH($A22,Baux!$A:$A,0))*C22)</f>
        <v/>
      </c>
      <c r="E22" s="15">
        <f>INDEX(Baux!$M:$M,MATCH($A22,Baux!$A:$A,0))</f>
        <v/>
      </c>
      <c r="F22" s="15">
        <f>TEXT(VALUE(LEFT(INDEX(Baux!$N:$N,MATCH($A22,Baux!$A:$A,0)),4))+C22*INDEX(Baux!$O:$O,MATCH($A22,Baux!$A:$A,0)),"0")&amp;RIGHT(INDEX(Baux!$N:$N,MATCH($A22,Baux!$A:$A,0)),3)</f>
        <v/>
      </c>
      <c r="G22" s="18">
        <f>IF(SUMIFS(Indices!$C:$C,Indices!$A:$A,E22,Indices!$B:$B,F22)=0,"",SUMIFS(Indices!$C:$C,Indices!$A:$A,E22,Indices!$B:$B,F22))</f>
        <v/>
      </c>
      <c r="H22" s="15">
        <f>IF(INDEX(Baux!$P:$P,MATCH($A22,Baux!$A:$A,0))="Base fixe",INDEX(Baux!$N:$N,MATCH($A22,Baux!$A:$A,0)),IF(K21="Geler – rattrapage possible",H21,F21))</f>
        <v/>
      </c>
      <c r="I22" s="18">
        <f>IF(SUMIFS(Indices!$C:$C,Indices!$A:$A,E22,Indices!$B:$B,H22)=0,"",SUMIFS(Indices!$C:$C,Indices!$A:$A,E22,Indices!$B:$B,H22))</f>
        <v/>
      </c>
      <c r="J22" s="19">
        <f>IF(OR(G22="",I22=""),"",G22/I22)</f>
        <v/>
      </c>
      <c r="K22" s="11" t="n"/>
      <c r="L22" s="20">
        <f>IF(INDEX(Baux!$P:$P,MATCH($A22,Baux!$A:$A,0))="Base fixe",INDEX(Baux!$I:$I,MATCH($A22,Baux!$A:$A,0)),N21)</f>
        <v/>
      </c>
      <c r="M22" s="20">
        <f>IF(OR(J22="",L22=""),"",ROUND(L22*J22,2))</f>
        <v/>
      </c>
      <c r="N22" s="20">
        <f>IF(LEFT(K22,5)="Geler",O22,IF(M22="","",IF(INDEX(Baux!$Q:$Q,MATCH($A22,Baux!$A:$A,0))="",M22,MIN(M22,ROUND(L22*(1+INDEX(Baux!$Q:$Q,MATCH($A22,Baux!$A:$A,0))/100)^IF(INDEX(Baux!$P:$P,MATCH($A22,Baux!$A:$A,0))="Base fixe",C22*INDEX(Baux!$O:$O,MATCH($A22,Baux!$A:$A,0)),VALUE(LEFT(F22,4))-VALUE(LEFT(H22,4))),2)))))</f>
        <v/>
      </c>
      <c r="O22" s="20">
        <f>N21</f>
        <v/>
      </c>
      <c r="P22" s="21">
        <f>IF(OR(N22="",O22=""),"",N22/O22-1)</f>
        <v/>
      </c>
      <c r="Q22" s="20">
        <f>IF(N22="","",N22/12)</f>
        <v/>
      </c>
      <c r="R22" s="20">
        <f>IF(N22="","",N22/IF(INDEX(Baux!$L:$L,MATCH($A22,Baux!$A:$A,0))="Mensuelle",12,IF(INDEX(Baux!$L:$L,MATCH($A22,Baux!$A:$A,0))="Trimestrielle",4,IF(INDEX(Baux!$L:$L,MATCH($A22,Baux!$A:$A,0))="Semestrielle",2,1))))</f>
        <v/>
      </c>
      <c r="S22" s="20">
        <f>IF(INDEX(Baux!$J:$J,MATCH($A22,Baux!$A:$A,0))="",0,INDEX(Baux!$J:$J,MATCH($A22,Baux!$A:$A,0)))/IF(INDEX(Baux!$L:$L,MATCH($A22,Baux!$A:$A,0))="Mensuelle",12,IF(INDEX(Baux!$L:$L,MATCH($A22,Baux!$A:$A,0))="Trimestrielle",4,IF(INDEX(Baux!$L:$L,MATCH($A22,Baux!$A:$A,0))="Semestrielle",2,1)))</f>
        <v/>
      </c>
      <c r="T22" s="20">
        <f>IF(R22="","",(R22+S22)*INDEX(Baux!$K:$K,MATCH($A22,Baux!$A:$A,0))/100)</f>
        <v/>
      </c>
      <c r="U22" s="20">
        <f>IF(R22="","",R22+S22+T22)</f>
        <v/>
      </c>
      <c r="V22" s="15">
        <f>IF(LEFT(K22,5)="Geler","❄ Gelée",IF(G22="",IF(D22&lt;=TODAY(),"⚠ Indice attendu","À venir"),IF(D22&lt;=TODAY(),"✔ Calculable","Indice connu – à venir")))</f>
        <v/>
      </c>
      <c r="W22" s="22" t="n"/>
      <c r="X22" s="11" t="n"/>
      <c r="Y22" s="12" t="n"/>
      <c r="Z22" s="12" t="n"/>
      <c r="AA22" s="11" t="n"/>
      <c r="AB22" s="15">
        <f>A22&amp;"#"&amp;C22</f>
        <v/>
      </c>
      <c r="AC22" s="15">
        <f>IF(AND(D22&lt;=TODAY(),N22&lt;&gt;""),1,0)</f>
        <v/>
      </c>
    </row>
    <row r="23">
      <c r="A23" s="15" t="inlineStr">
        <is>
          <t>B04</t>
        </is>
      </c>
      <c r="B23" s="15">
        <f>INDEX(Baux!$B:$B,MATCH($A23,Baux!$A:$A,0))</f>
        <v/>
      </c>
      <c r="C23" s="15" t="n">
        <v>1</v>
      </c>
      <c r="D23" s="13">
        <f>EDATE(INDEX(Baux!$F:$F,MATCH($A23,Baux!$A:$A,0)),12*INDEX(Baux!$O:$O,MATCH($A23,Baux!$A:$A,0))*C23)</f>
        <v/>
      </c>
      <c r="E23" s="15">
        <f>INDEX(Baux!$M:$M,MATCH($A23,Baux!$A:$A,0))</f>
        <v/>
      </c>
      <c r="F23" s="15">
        <f>TEXT(VALUE(LEFT(INDEX(Baux!$N:$N,MATCH($A23,Baux!$A:$A,0)),4))+C23*INDEX(Baux!$O:$O,MATCH($A23,Baux!$A:$A,0)),"0")&amp;RIGHT(INDEX(Baux!$N:$N,MATCH($A23,Baux!$A:$A,0)),3)</f>
        <v/>
      </c>
      <c r="G23" s="18">
        <f>IF(SUMIFS(Indices!$C:$C,Indices!$A:$A,E23,Indices!$B:$B,F23)=0,"",SUMIFS(Indices!$C:$C,Indices!$A:$A,E23,Indices!$B:$B,F23))</f>
        <v/>
      </c>
      <c r="H23" s="15">
        <f>INDEX(Baux!$N:$N,MATCH($A23,Baux!$A:$A,0))</f>
        <v/>
      </c>
      <c r="I23" s="18">
        <f>IF(SUMIFS(Indices!$C:$C,Indices!$A:$A,E23,Indices!$B:$B,H23)=0,"",SUMIFS(Indices!$C:$C,Indices!$A:$A,E23,Indices!$B:$B,H23))</f>
        <v/>
      </c>
      <c r="J23" s="19">
        <f>IF(OR(G23="",I23=""),"",G23/I23)</f>
        <v/>
      </c>
      <c r="K23" s="11" t="n"/>
      <c r="L23" s="20">
        <f>INDEX(Baux!$I:$I,MATCH($A23,Baux!$A:$A,0))</f>
        <v/>
      </c>
      <c r="M23" s="20">
        <f>IF(OR(J23="",L23=""),"",ROUND(L23*J23,2))</f>
        <v/>
      </c>
      <c r="N23" s="20">
        <f>IF(LEFT(K23,5)="Geler",O23,IF(M23="","",IF(INDEX(Baux!$Q:$Q,MATCH($A23,Baux!$A:$A,0))="",M23,MIN(M23,ROUND(L23*(1+INDEX(Baux!$Q:$Q,MATCH($A23,Baux!$A:$A,0))/100)^IF(INDEX(Baux!$P:$P,MATCH($A23,Baux!$A:$A,0))="Base fixe",C23*INDEX(Baux!$O:$O,MATCH($A23,Baux!$A:$A,0)),VALUE(LEFT(F23,4))-VALUE(LEFT(H23,4))),2)))))</f>
        <v/>
      </c>
      <c r="O23" s="20">
        <f>INDEX(Baux!$I:$I,MATCH($A23,Baux!$A:$A,0))</f>
        <v/>
      </c>
      <c r="P23" s="21">
        <f>IF(OR(N23="",O23=""),"",N23/O23-1)</f>
        <v/>
      </c>
      <c r="Q23" s="20">
        <f>IF(N23="","",N23/12)</f>
        <v/>
      </c>
      <c r="R23" s="20">
        <f>IF(N23="","",N23/IF(INDEX(Baux!$L:$L,MATCH($A23,Baux!$A:$A,0))="Mensuelle",12,IF(INDEX(Baux!$L:$L,MATCH($A23,Baux!$A:$A,0))="Trimestrielle",4,IF(INDEX(Baux!$L:$L,MATCH($A23,Baux!$A:$A,0))="Semestrielle",2,1))))</f>
        <v/>
      </c>
      <c r="S23" s="20">
        <f>IF(INDEX(Baux!$J:$J,MATCH($A23,Baux!$A:$A,0))="",0,INDEX(Baux!$J:$J,MATCH($A23,Baux!$A:$A,0)))/IF(INDEX(Baux!$L:$L,MATCH($A23,Baux!$A:$A,0))="Mensuelle",12,IF(INDEX(Baux!$L:$L,MATCH($A23,Baux!$A:$A,0))="Trimestrielle",4,IF(INDEX(Baux!$L:$L,MATCH($A23,Baux!$A:$A,0))="Semestrielle",2,1)))</f>
        <v/>
      </c>
      <c r="T23" s="20">
        <f>IF(R23="","",(R23+S23)*INDEX(Baux!$K:$K,MATCH($A23,Baux!$A:$A,0))/100)</f>
        <v/>
      </c>
      <c r="U23" s="20">
        <f>IF(R23="","",R23+S23+T23)</f>
        <v/>
      </c>
      <c r="V23" s="15">
        <f>IF(LEFT(K23,5)="Geler","❄ Gelée",IF(G23="",IF(D23&lt;=TODAY(),"⚠ Indice attendu","À venir"),IF(D23&lt;=TODAY(),"✔ Calculable","Indice connu – à venir")))</f>
        <v/>
      </c>
      <c r="W23" s="22" t="n"/>
      <c r="X23" s="11" t="n"/>
      <c r="Y23" s="12" t="n"/>
      <c r="Z23" s="12" t="n"/>
      <c r="AA23" s="11" t="n"/>
      <c r="AB23" s="15">
        <f>A23&amp;"#"&amp;C23</f>
        <v/>
      </c>
      <c r="AC23" s="15">
        <f>IF(AND(D23&lt;=TODAY(),N23&lt;&gt;""),1,0)</f>
        <v/>
      </c>
    </row>
    <row r="24">
      <c r="A24" s="15" t="inlineStr">
        <is>
          <t>B04</t>
        </is>
      </c>
      <c r="B24" s="15">
        <f>INDEX(Baux!$B:$B,MATCH($A24,Baux!$A:$A,0))</f>
        <v/>
      </c>
      <c r="C24" s="15" t="n">
        <v>2</v>
      </c>
      <c r="D24" s="13">
        <f>EDATE(INDEX(Baux!$F:$F,MATCH($A24,Baux!$A:$A,0)),12*INDEX(Baux!$O:$O,MATCH($A24,Baux!$A:$A,0))*C24)</f>
        <v/>
      </c>
      <c r="E24" s="15">
        <f>INDEX(Baux!$M:$M,MATCH($A24,Baux!$A:$A,0))</f>
        <v/>
      </c>
      <c r="F24" s="15">
        <f>TEXT(VALUE(LEFT(INDEX(Baux!$N:$N,MATCH($A24,Baux!$A:$A,0)),4))+C24*INDEX(Baux!$O:$O,MATCH($A24,Baux!$A:$A,0)),"0")&amp;RIGHT(INDEX(Baux!$N:$N,MATCH($A24,Baux!$A:$A,0)),3)</f>
        <v/>
      </c>
      <c r="G24" s="18">
        <f>IF(SUMIFS(Indices!$C:$C,Indices!$A:$A,E24,Indices!$B:$B,F24)=0,"",SUMIFS(Indices!$C:$C,Indices!$A:$A,E24,Indices!$B:$B,F24))</f>
        <v/>
      </c>
      <c r="H24" s="15">
        <f>IF(INDEX(Baux!$P:$P,MATCH($A24,Baux!$A:$A,0))="Base fixe",INDEX(Baux!$N:$N,MATCH($A24,Baux!$A:$A,0)),IF(K23="Geler – rattrapage possible",H23,F23))</f>
        <v/>
      </c>
      <c r="I24" s="18">
        <f>IF(SUMIFS(Indices!$C:$C,Indices!$A:$A,E24,Indices!$B:$B,H24)=0,"",SUMIFS(Indices!$C:$C,Indices!$A:$A,E24,Indices!$B:$B,H24))</f>
        <v/>
      </c>
      <c r="J24" s="19">
        <f>IF(OR(G24="",I24=""),"",G24/I24)</f>
        <v/>
      </c>
      <c r="K24" s="11" t="n"/>
      <c r="L24" s="20">
        <f>IF(INDEX(Baux!$P:$P,MATCH($A24,Baux!$A:$A,0))="Base fixe",INDEX(Baux!$I:$I,MATCH($A24,Baux!$A:$A,0)),N23)</f>
        <v/>
      </c>
      <c r="M24" s="20">
        <f>IF(OR(J24="",L24=""),"",ROUND(L24*J24,2))</f>
        <v/>
      </c>
      <c r="N24" s="20">
        <f>IF(LEFT(K24,5)="Geler",O24,IF(M24="","",IF(INDEX(Baux!$Q:$Q,MATCH($A24,Baux!$A:$A,0))="",M24,MIN(M24,ROUND(L24*(1+INDEX(Baux!$Q:$Q,MATCH($A24,Baux!$A:$A,0))/100)^IF(INDEX(Baux!$P:$P,MATCH($A24,Baux!$A:$A,0))="Base fixe",C24*INDEX(Baux!$O:$O,MATCH($A24,Baux!$A:$A,0)),VALUE(LEFT(F24,4))-VALUE(LEFT(H24,4))),2)))))</f>
        <v/>
      </c>
      <c r="O24" s="20">
        <f>N23</f>
        <v/>
      </c>
      <c r="P24" s="21">
        <f>IF(OR(N24="",O24=""),"",N24/O24-1)</f>
        <v/>
      </c>
      <c r="Q24" s="20">
        <f>IF(N24="","",N24/12)</f>
        <v/>
      </c>
      <c r="R24" s="20">
        <f>IF(N24="","",N24/IF(INDEX(Baux!$L:$L,MATCH($A24,Baux!$A:$A,0))="Mensuelle",12,IF(INDEX(Baux!$L:$L,MATCH($A24,Baux!$A:$A,0))="Trimestrielle",4,IF(INDEX(Baux!$L:$L,MATCH($A24,Baux!$A:$A,0))="Semestrielle",2,1))))</f>
        <v/>
      </c>
      <c r="S24" s="20">
        <f>IF(INDEX(Baux!$J:$J,MATCH($A24,Baux!$A:$A,0))="",0,INDEX(Baux!$J:$J,MATCH($A24,Baux!$A:$A,0)))/IF(INDEX(Baux!$L:$L,MATCH($A24,Baux!$A:$A,0))="Mensuelle",12,IF(INDEX(Baux!$L:$L,MATCH($A24,Baux!$A:$A,0))="Trimestrielle",4,IF(INDEX(Baux!$L:$L,MATCH($A24,Baux!$A:$A,0))="Semestrielle",2,1)))</f>
        <v/>
      </c>
      <c r="T24" s="20">
        <f>IF(R24="","",(R24+S24)*INDEX(Baux!$K:$K,MATCH($A24,Baux!$A:$A,0))/100)</f>
        <v/>
      </c>
      <c r="U24" s="20">
        <f>IF(R24="","",R24+S24+T24)</f>
        <v/>
      </c>
      <c r="V24" s="15">
        <f>IF(LEFT(K24,5)="Geler","❄ Gelée",IF(G24="",IF(D24&lt;=TODAY(),"⚠ Indice attendu","À venir"),IF(D24&lt;=TODAY(),"✔ Calculable","Indice connu – à venir")))</f>
        <v/>
      </c>
      <c r="W24" s="22" t="n"/>
      <c r="X24" s="11" t="n"/>
      <c r="Y24" s="12" t="n"/>
      <c r="Z24" s="12" t="n"/>
      <c r="AA24" s="11" t="n"/>
      <c r="AB24" s="15">
        <f>A24&amp;"#"&amp;C24</f>
        <v/>
      </c>
      <c r="AC24" s="15">
        <f>IF(AND(D24&lt;=TODAY(),N24&lt;&gt;""),1,0)</f>
        <v/>
      </c>
    </row>
    <row r="25">
      <c r="A25" s="15" t="inlineStr">
        <is>
          <t>B04</t>
        </is>
      </c>
      <c r="B25" s="15">
        <f>INDEX(Baux!$B:$B,MATCH($A25,Baux!$A:$A,0))</f>
        <v/>
      </c>
      <c r="C25" s="15" t="n">
        <v>3</v>
      </c>
      <c r="D25" s="13">
        <f>EDATE(INDEX(Baux!$F:$F,MATCH($A25,Baux!$A:$A,0)),12*INDEX(Baux!$O:$O,MATCH($A25,Baux!$A:$A,0))*C25)</f>
        <v/>
      </c>
      <c r="E25" s="15">
        <f>INDEX(Baux!$M:$M,MATCH($A25,Baux!$A:$A,0))</f>
        <v/>
      </c>
      <c r="F25" s="15">
        <f>TEXT(VALUE(LEFT(INDEX(Baux!$N:$N,MATCH($A25,Baux!$A:$A,0)),4))+C25*INDEX(Baux!$O:$O,MATCH($A25,Baux!$A:$A,0)),"0")&amp;RIGHT(INDEX(Baux!$N:$N,MATCH($A25,Baux!$A:$A,0)),3)</f>
        <v/>
      </c>
      <c r="G25" s="18">
        <f>IF(SUMIFS(Indices!$C:$C,Indices!$A:$A,E25,Indices!$B:$B,F25)=0,"",SUMIFS(Indices!$C:$C,Indices!$A:$A,E25,Indices!$B:$B,F25))</f>
        <v/>
      </c>
      <c r="H25" s="15">
        <f>IF(INDEX(Baux!$P:$P,MATCH($A25,Baux!$A:$A,0))="Base fixe",INDEX(Baux!$N:$N,MATCH($A25,Baux!$A:$A,0)),IF(K24="Geler – rattrapage possible",H24,F24))</f>
        <v/>
      </c>
      <c r="I25" s="18">
        <f>IF(SUMIFS(Indices!$C:$C,Indices!$A:$A,E25,Indices!$B:$B,H25)=0,"",SUMIFS(Indices!$C:$C,Indices!$A:$A,E25,Indices!$B:$B,H25))</f>
        <v/>
      </c>
      <c r="J25" s="19">
        <f>IF(OR(G25="",I25=""),"",G25/I25)</f>
        <v/>
      </c>
      <c r="K25" s="11" t="n"/>
      <c r="L25" s="20">
        <f>IF(INDEX(Baux!$P:$P,MATCH($A25,Baux!$A:$A,0))="Base fixe",INDEX(Baux!$I:$I,MATCH($A25,Baux!$A:$A,0)),N24)</f>
        <v/>
      </c>
      <c r="M25" s="20">
        <f>IF(OR(J25="",L25=""),"",ROUND(L25*J25,2))</f>
        <v/>
      </c>
      <c r="N25" s="20">
        <f>IF(LEFT(K25,5)="Geler",O25,IF(M25="","",IF(INDEX(Baux!$Q:$Q,MATCH($A25,Baux!$A:$A,0))="",M25,MIN(M25,ROUND(L25*(1+INDEX(Baux!$Q:$Q,MATCH($A25,Baux!$A:$A,0))/100)^IF(INDEX(Baux!$P:$P,MATCH($A25,Baux!$A:$A,0))="Base fixe",C25*INDEX(Baux!$O:$O,MATCH($A25,Baux!$A:$A,0)),VALUE(LEFT(F25,4))-VALUE(LEFT(H25,4))),2)))))</f>
        <v/>
      </c>
      <c r="O25" s="20">
        <f>N24</f>
        <v/>
      </c>
      <c r="P25" s="21">
        <f>IF(OR(N25="",O25=""),"",N25/O25-1)</f>
        <v/>
      </c>
      <c r="Q25" s="20">
        <f>IF(N25="","",N25/12)</f>
        <v/>
      </c>
      <c r="R25" s="20">
        <f>IF(N25="","",N25/IF(INDEX(Baux!$L:$L,MATCH($A25,Baux!$A:$A,0))="Mensuelle",12,IF(INDEX(Baux!$L:$L,MATCH($A25,Baux!$A:$A,0))="Trimestrielle",4,IF(INDEX(Baux!$L:$L,MATCH($A25,Baux!$A:$A,0))="Semestrielle",2,1))))</f>
        <v/>
      </c>
      <c r="S25" s="20">
        <f>IF(INDEX(Baux!$J:$J,MATCH($A25,Baux!$A:$A,0))="",0,INDEX(Baux!$J:$J,MATCH($A25,Baux!$A:$A,0)))/IF(INDEX(Baux!$L:$L,MATCH($A25,Baux!$A:$A,0))="Mensuelle",12,IF(INDEX(Baux!$L:$L,MATCH($A25,Baux!$A:$A,0))="Trimestrielle",4,IF(INDEX(Baux!$L:$L,MATCH($A25,Baux!$A:$A,0))="Semestrielle",2,1)))</f>
        <v/>
      </c>
      <c r="T25" s="20">
        <f>IF(R25="","",(R25+S25)*INDEX(Baux!$K:$K,MATCH($A25,Baux!$A:$A,0))/100)</f>
        <v/>
      </c>
      <c r="U25" s="20">
        <f>IF(R25="","",R25+S25+T25)</f>
        <v/>
      </c>
      <c r="V25" s="15">
        <f>IF(LEFT(K25,5)="Geler","❄ Gelée",IF(G25="",IF(D25&lt;=TODAY(),"⚠ Indice attendu","À venir"),IF(D25&lt;=TODAY(),"✔ Calculable","Indice connu – à venir")))</f>
        <v/>
      </c>
      <c r="W25" s="22" t="n"/>
      <c r="X25" s="11" t="n"/>
      <c r="Y25" s="12" t="n"/>
      <c r="Z25" s="12" t="n"/>
      <c r="AA25" s="11" t="n"/>
      <c r="AB25" s="15">
        <f>A25&amp;"#"&amp;C25</f>
        <v/>
      </c>
      <c r="AC25" s="15">
        <f>IF(AND(D25&lt;=TODAY(),N25&lt;&gt;""),1,0)</f>
        <v/>
      </c>
    </row>
    <row r="26">
      <c r="A26" s="15" t="inlineStr">
        <is>
          <t>B04</t>
        </is>
      </c>
      <c r="B26" s="15">
        <f>INDEX(Baux!$B:$B,MATCH($A26,Baux!$A:$A,0))</f>
        <v/>
      </c>
      <c r="C26" s="15" t="n">
        <v>4</v>
      </c>
      <c r="D26" s="13">
        <f>EDATE(INDEX(Baux!$F:$F,MATCH($A26,Baux!$A:$A,0)),12*INDEX(Baux!$O:$O,MATCH($A26,Baux!$A:$A,0))*C26)</f>
        <v/>
      </c>
      <c r="E26" s="15">
        <f>INDEX(Baux!$M:$M,MATCH($A26,Baux!$A:$A,0))</f>
        <v/>
      </c>
      <c r="F26" s="15">
        <f>TEXT(VALUE(LEFT(INDEX(Baux!$N:$N,MATCH($A26,Baux!$A:$A,0)),4))+C26*INDEX(Baux!$O:$O,MATCH($A26,Baux!$A:$A,0)),"0")&amp;RIGHT(INDEX(Baux!$N:$N,MATCH($A26,Baux!$A:$A,0)),3)</f>
        <v/>
      </c>
      <c r="G26" s="18">
        <f>IF(SUMIFS(Indices!$C:$C,Indices!$A:$A,E26,Indices!$B:$B,F26)=0,"",SUMIFS(Indices!$C:$C,Indices!$A:$A,E26,Indices!$B:$B,F26))</f>
        <v/>
      </c>
      <c r="H26" s="15">
        <f>IF(INDEX(Baux!$P:$P,MATCH($A26,Baux!$A:$A,0))="Base fixe",INDEX(Baux!$N:$N,MATCH($A26,Baux!$A:$A,0)),IF(K25="Geler – rattrapage possible",H25,F25))</f>
        <v/>
      </c>
      <c r="I26" s="18">
        <f>IF(SUMIFS(Indices!$C:$C,Indices!$A:$A,E26,Indices!$B:$B,H26)=0,"",SUMIFS(Indices!$C:$C,Indices!$A:$A,E26,Indices!$B:$B,H26))</f>
        <v/>
      </c>
      <c r="J26" s="19">
        <f>IF(OR(G26="",I26=""),"",G26/I26)</f>
        <v/>
      </c>
      <c r="K26" s="11" t="n"/>
      <c r="L26" s="20">
        <f>IF(INDEX(Baux!$P:$P,MATCH($A26,Baux!$A:$A,0))="Base fixe",INDEX(Baux!$I:$I,MATCH($A26,Baux!$A:$A,0)),N25)</f>
        <v/>
      </c>
      <c r="M26" s="20">
        <f>IF(OR(J26="",L26=""),"",ROUND(L26*J26,2))</f>
        <v/>
      </c>
      <c r="N26" s="20">
        <f>IF(LEFT(K26,5)="Geler",O26,IF(M26="","",IF(INDEX(Baux!$Q:$Q,MATCH($A26,Baux!$A:$A,0))="",M26,MIN(M26,ROUND(L26*(1+INDEX(Baux!$Q:$Q,MATCH($A26,Baux!$A:$A,0))/100)^IF(INDEX(Baux!$P:$P,MATCH($A26,Baux!$A:$A,0))="Base fixe",C26*INDEX(Baux!$O:$O,MATCH($A26,Baux!$A:$A,0)),VALUE(LEFT(F26,4))-VALUE(LEFT(H26,4))),2)))))</f>
        <v/>
      </c>
      <c r="O26" s="20">
        <f>N25</f>
        <v/>
      </c>
      <c r="P26" s="21">
        <f>IF(OR(N26="",O26=""),"",N26/O26-1)</f>
        <v/>
      </c>
      <c r="Q26" s="20">
        <f>IF(N26="","",N26/12)</f>
        <v/>
      </c>
      <c r="R26" s="20">
        <f>IF(N26="","",N26/IF(INDEX(Baux!$L:$L,MATCH($A26,Baux!$A:$A,0))="Mensuelle",12,IF(INDEX(Baux!$L:$L,MATCH($A26,Baux!$A:$A,0))="Trimestrielle",4,IF(INDEX(Baux!$L:$L,MATCH($A26,Baux!$A:$A,0))="Semestrielle",2,1))))</f>
        <v/>
      </c>
      <c r="S26" s="20">
        <f>IF(INDEX(Baux!$J:$J,MATCH($A26,Baux!$A:$A,0))="",0,INDEX(Baux!$J:$J,MATCH($A26,Baux!$A:$A,0)))/IF(INDEX(Baux!$L:$L,MATCH($A26,Baux!$A:$A,0))="Mensuelle",12,IF(INDEX(Baux!$L:$L,MATCH($A26,Baux!$A:$A,0))="Trimestrielle",4,IF(INDEX(Baux!$L:$L,MATCH($A26,Baux!$A:$A,0))="Semestrielle",2,1)))</f>
        <v/>
      </c>
      <c r="T26" s="20">
        <f>IF(R26="","",(R26+S26)*INDEX(Baux!$K:$K,MATCH($A26,Baux!$A:$A,0))/100)</f>
        <v/>
      </c>
      <c r="U26" s="20">
        <f>IF(R26="","",R26+S26+T26)</f>
        <v/>
      </c>
      <c r="V26" s="15">
        <f>IF(LEFT(K26,5)="Geler","❄ Gelée",IF(G26="",IF(D26&lt;=TODAY(),"⚠ Indice attendu","À venir"),IF(D26&lt;=TODAY(),"✔ Calculable","Indice connu – à venir")))</f>
        <v/>
      </c>
      <c r="W26" s="22" t="n"/>
      <c r="X26" s="11" t="n"/>
      <c r="Y26" s="12" t="n"/>
      <c r="Z26" s="12" t="n"/>
      <c r="AA26" s="11" t="n"/>
      <c r="AB26" s="15">
        <f>A26&amp;"#"&amp;C26</f>
        <v/>
      </c>
      <c r="AC26" s="15">
        <f>IF(AND(D26&lt;=TODAY(),N26&lt;&gt;""),1,0)</f>
        <v/>
      </c>
    </row>
    <row r="27">
      <c r="A27" s="15" t="inlineStr">
        <is>
          <t>B04</t>
        </is>
      </c>
      <c r="B27" s="15">
        <f>INDEX(Baux!$B:$B,MATCH($A27,Baux!$A:$A,0))</f>
        <v/>
      </c>
      <c r="C27" s="15" t="n">
        <v>5</v>
      </c>
      <c r="D27" s="13">
        <f>EDATE(INDEX(Baux!$F:$F,MATCH($A27,Baux!$A:$A,0)),12*INDEX(Baux!$O:$O,MATCH($A27,Baux!$A:$A,0))*C27)</f>
        <v/>
      </c>
      <c r="E27" s="15">
        <f>INDEX(Baux!$M:$M,MATCH($A27,Baux!$A:$A,0))</f>
        <v/>
      </c>
      <c r="F27" s="15">
        <f>TEXT(VALUE(LEFT(INDEX(Baux!$N:$N,MATCH($A27,Baux!$A:$A,0)),4))+C27*INDEX(Baux!$O:$O,MATCH($A27,Baux!$A:$A,0)),"0")&amp;RIGHT(INDEX(Baux!$N:$N,MATCH($A27,Baux!$A:$A,0)),3)</f>
        <v/>
      </c>
      <c r="G27" s="18">
        <f>IF(SUMIFS(Indices!$C:$C,Indices!$A:$A,E27,Indices!$B:$B,F27)=0,"",SUMIFS(Indices!$C:$C,Indices!$A:$A,E27,Indices!$B:$B,F27))</f>
        <v/>
      </c>
      <c r="H27" s="15">
        <f>IF(INDEX(Baux!$P:$P,MATCH($A27,Baux!$A:$A,0))="Base fixe",INDEX(Baux!$N:$N,MATCH($A27,Baux!$A:$A,0)),IF(K26="Geler – rattrapage possible",H26,F26))</f>
        <v/>
      </c>
      <c r="I27" s="18">
        <f>IF(SUMIFS(Indices!$C:$C,Indices!$A:$A,E27,Indices!$B:$B,H27)=0,"",SUMIFS(Indices!$C:$C,Indices!$A:$A,E27,Indices!$B:$B,H27))</f>
        <v/>
      </c>
      <c r="J27" s="19">
        <f>IF(OR(G27="",I27=""),"",G27/I27)</f>
        <v/>
      </c>
      <c r="K27" s="11" t="n"/>
      <c r="L27" s="20">
        <f>IF(INDEX(Baux!$P:$P,MATCH($A27,Baux!$A:$A,0))="Base fixe",INDEX(Baux!$I:$I,MATCH($A27,Baux!$A:$A,0)),N26)</f>
        <v/>
      </c>
      <c r="M27" s="20">
        <f>IF(OR(J27="",L27=""),"",ROUND(L27*J27,2))</f>
        <v/>
      </c>
      <c r="N27" s="20">
        <f>IF(LEFT(K27,5)="Geler",O27,IF(M27="","",IF(INDEX(Baux!$Q:$Q,MATCH($A27,Baux!$A:$A,0))="",M27,MIN(M27,ROUND(L27*(1+INDEX(Baux!$Q:$Q,MATCH($A27,Baux!$A:$A,0))/100)^IF(INDEX(Baux!$P:$P,MATCH($A27,Baux!$A:$A,0))="Base fixe",C27*INDEX(Baux!$O:$O,MATCH($A27,Baux!$A:$A,0)),VALUE(LEFT(F27,4))-VALUE(LEFT(H27,4))),2)))))</f>
        <v/>
      </c>
      <c r="O27" s="20">
        <f>N26</f>
        <v/>
      </c>
      <c r="P27" s="21">
        <f>IF(OR(N27="",O27=""),"",N27/O27-1)</f>
        <v/>
      </c>
      <c r="Q27" s="20">
        <f>IF(N27="","",N27/12)</f>
        <v/>
      </c>
      <c r="R27" s="20">
        <f>IF(N27="","",N27/IF(INDEX(Baux!$L:$L,MATCH($A27,Baux!$A:$A,0))="Mensuelle",12,IF(INDEX(Baux!$L:$L,MATCH($A27,Baux!$A:$A,0))="Trimestrielle",4,IF(INDEX(Baux!$L:$L,MATCH($A27,Baux!$A:$A,0))="Semestrielle",2,1))))</f>
        <v/>
      </c>
      <c r="S27" s="20">
        <f>IF(INDEX(Baux!$J:$J,MATCH($A27,Baux!$A:$A,0))="",0,INDEX(Baux!$J:$J,MATCH($A27,Baux!$A:$A,0)))/IF(INDEX(Baux!$L:$L,MATCH($A27,Baux!$A:$A,0))="Mensuelle",12,IF(INDEX(Baux!$L:$L,MATCH($A27,Baux!$A:$A,0))="Trimestrielle",4,IF(INDEX(Baux!$L:$L,MATCH($A27,Baux!$A:$A,0))="Semestrielle",2,1)))</f>
        <v/>
      </c>
      <c r="T27" s="20">
        <f>IF(R27="","",(R27+S27)*INDEX(Baux!$K:$K,MATCH($A27,Baux!$A:$A,0))/100)</f>
        <v/>
      </c>
      <c r="U27" s="20">
        <f>IF(R27="","",R27+S27+T27)</f>
        <v/>
      </c>
      <c r="V27" s="15">
        <f>IF(LEFT(K27,5)="Geler","❄ Gelée",IF(G27="",IF(D27&lt;=TODAY(),"⚠ Indice attendu","À venir"),IF(D27&lt;=TODAY(),"✔ Calculable","Indice connu – à venir")))</f>
        <v/>
      </c>
      <c r="W27" s="22" t="n"/>
      <c r="X27" s="11" t="n"/>
      <c r="Y27" s="12" t="n"/>
      <c r="Z27" s="12" t="n"/>
      <c r="AA27" s="11" t="n"/>
      <c r="AB27" s="15">
        <f>A27&amp;"#"&amp;C27</f>
        <v/>
      </c>
      <c r="AC27" s="15">
        <f>IF(AND(D27&lt;=TODAY(),N27&lt;&gt;""),1,0)</f>
        <v/>
      </c>
    </row>
    <row r="28">
      <c r="A28" s="15" t="inlineStr">
        <is>
          <t>B04</t>
        </is>
      </c>
      <c r="B28" s="15">
        <f>INDEX(Baux!$B:$B,MATCH($A28,Baux!$A:$A,0))</f>
        <v/>
      </c>
      <c r="C28" s="15" t="n">
        <v>6</v>
      </c>
      <c r="D28" s="13">
        <f>EDATE(INDEX(Baux!$F:$F,MATCH($A28,Baux!$A:$A,0)),12*INDEX(Baux!$O:$O,MATCH($A28,Baux!$A:$A,0))*C28)</f>
        <v/>
      </c>
      <c r="E28" s="15">
        <f>INDEX(Baux!$M:$M,MATCH($A28,Baux!$A:$A,0))</f>
        <v/>
      </c>
      <c r="F28" s="15">
        <f>TEXT(VALUE(LEFT(INDEX(Baux!$N:$N,MATCH($A28,Baux!$A:$A,0)),4))+C28*INDEX(Baux!$O:$O,MATCH($A28,Baux!$A:$A,0)),"0")&amp;RIGHT(INDEX(Baux!$N:$N,MATCH($A28,Baux!$A:$A,0)),3)</f>
        <v/>
      </c>
      <c r="G28" s="18">
        <f>IF(SUMIFS(Indices!$C:$C,Indices!$A:$A,E28,Indices!$B:$B,F28)=0,"",SUMIFS(Indices!$C:$C,Indices!$A:$A,E28,Indices!$B:$B,F28))</f>
        <v/>
      </c>
      <c r="H28" s="15">
        <f>IF(INDEX(Baux!$P:$P,MATCH($A28,Baux!$A:$A,0))="Base fixe",INDEX(Baux!$N:$N,MATCH($A28,Baux!$A:$A,0)),IF(K27="Geler – rattrapage possible",H27,F27))</f>
        <v/>
      </c>
      <c r="I28" s="18">
        <f>IF(SUMIFS(Indices!$C:$C,Indices!$A:$A,E28,Indices!$B:$B,H28)=0,"",SUMIFS(Indices!$C:$C,Indices!$A:$A,E28,Indices!$B:$B,H28))</f>
        <v/>
      </c>
      <c r="J28" s="19">
        <f>IF(OR(G28="",I28=""),"",G28/I28)</f>
        <v/>
      </c>
      <c r="K28" s="11" t="n"/>
      <c r="L28" s="20">
        <f>IF(INDEX(Baux!$P:$P,MATCH($A28,Baux!$A:$A,0))="Base fixe",INDEX(Baux!$I:$I,MATCH($A28,Baux!$A:$A,0)),N27)</f>
        <v/>
      </c>
      <c r="M28" s="20">
        <f>IF(OR(J28="",L28=""),"",ROUND(L28*J28,2))</f>
        <v/>
      </c>
      <c r="N28" s="20">
        <f>IF(LEFT(K28,5)="Geler",O28,IF(M28="","",IF(INDEX(Baux!$Q:$Q,MATCH($A28,Baux!$A:$A,0))="",M28,MIN(M28,ROUND(L28*(1+INDEX(Baux!$Q:$Q,MATCH($A28,Baux!$A:$A,0))/100)^IF(INDEX(Baux!$P:$P,MATCH($A28,Baux!$A:$A,0))="Base fixe",C28*INDEX(Baux!$O:$O,MATCH($A28,Baux!$A:$A,0)),VALUE(LEFT(F28,4))-VALUE(LEFT(H28,4))),2)))))</f>
        <v/>
      </c>
      <c r="O28" s="20">
        <f>N27</f>
        <v/>
      </c>
      <c r="P28" s="21">
        <f>IF(OR(N28="",O28=""),"",N28/O28-1)</f>
        <v/>
      </c>
      <c r="Q28" s="20">
        <f>IF(N28="","",N28/12)</f>
        <v/>
      </c>
      <c r="R28" s="20">
        <f>IF(N28="","",N28/IF(INDEX(Baux!$L:$L,MATCH($A28,Baux!$A:$A,0))="Mensuelle",12,IF(INDEX(Baux!$L:$L,MATCH($A28,Baux!$A:$A,0))="Trimestrielle",4,IF(INDEX(Baux!$L:$L,MATCH($A28,Baux!$A:$A,0))="Semestrielle",2,1))))</f>
        <v/>
      </c>
      <c r="S28" s="20">
        <f>IF(INDEX(Baux!$J:$J,MATCH($A28,Baux!$A:$A,0))="",0,INDEX(Baux!$J:$J,MATCH($A28,Baux!$A:$A,0)))/IF(INDEX(Baux!$L:$L,MATCH($A28,Baux!$A:$A,0))="Mensuelle",12,IF(INDEX(Baux!$L:$L,MATCH($A28,Baux!$A:$A,0))="Trimestrielle",4,IF(INDEX(Baux!$L:$L,MATCH($A28,Baux!$A:$A,0))="Semestrielle",2,1)))</f>
        <v/>
      </c>
      <c r="T28" s="20">
        <f>IF(R28="","",(R28+S28)*INDEX(Baux!$K:$K,MATCH($A28,Baux!$A:$A,0))/100)</f>
        <v/>
      </c>
      <c r="U28" s="20">
        <f>IF(R28="","",R28+S28+T28)</f>
        <v/>
      </c>
      <c r="V28" s="15">
        <f>IF(LEFT(K28,5)="Geler","❄ Gelée",IF(G28="",IF(D28&lt;=TODAY(),"⚠ Indice attendu","À venir"),IF(D28&lt;=TODAY(),"✔ Calculable","Indice connu – à venir")))</f>
        <v/>
      </c>
      <c r="W28" s="22" t="n"/>
      <c r="X28" s="11" t="n"/>
      <c r="Y28" s="12" t="n"/>
      <c r="Z28" s="12" t="n"/>
      <c r="AA28" s="11" t="n"/>
      <c r="AB28" s="15">
        <f>A28&amp;"#"&amp;C28</f>
        <v/>
      </c>
      <c r="AC28" s="15">
        <f>IF(AND(D28&lt;=TODAY(),N28&lt;&gt;""),1,0)</f>
        <v/>
      </c>
    </row>
    <row r="29">
      <c r="A29" s="15" t="inlineStr">
        <is>
          <t>B04</t>
        </is>
      </c>
      <c r="B29" s="15">
        <f>INDEX(Baux!$B:$B,MATCH($A29,Baux!$A:$A,0))</f>
        <v/>
      </c>
      <c r="C29" s="15" t="n">
        <v>7</v>
      </c>
      <c r="D29" s="13">
        <f>EDATE(INDEX(Baux!$F:$F,MATCH($A29,Baux!$A:$A,0)),12*INDEX(Baux!$O:$O,MATCH($A29,Baux!$A:$A,0))*C29)</f>
        <v/>
      </c>
      <c r="E29" s="15">
        <f>INDEX(Baux!$M:$M,MATCH($A29,Baux!$A:$A,0))</f>
        <v/>
      </c>
      <c r="F29" s="15">
        <f>TEXT(VALUE(LEFT(INDEX(Baux!$N:$N,MATCH($A29,Baux!$A:$A,0)),4))+C29*INDEX(Baux!$O:$O,MATCH($A29,Baux!$A:$A,0)),"0")&amp;RIGHT(INDEX(Baux!$N:$N,MATCH($A29,Baux!$A:$A,0)),3)</f>
        <v/>
      </c>
      <c r="G29" s="18">
        <f>IF(SUMIFS(Indices!$C:$C,Indices!$A:$A,E29,Indices!$B:$B,F29)=0,"",SUMIFS(Indices!$C:$C,Indices!$A:$A,E29,Indices!$B:$B,F29))</f>
        <v/>
      </c>
      <c r="H29" s="15">
        <f>IF(INDEX(Baux!$P:$P,MATCH($A29,Baux!$A:$A,0))="Base fixe",INDEX(Baux!$N:$N,MATCH($A29,Baux!$A:$A,0)),IF(K28="Geler – rattrapage possible",H28,F28))</f>
        <v/>
      </c>
      <c r="I29" s="18">
        <f>IF(SUMIFS(Indices!$C:$C,Indices!$A:$A,E29,Indices!$B:$B,H29)=0,"",SUMIFS(Indices!$C:$C,Indices!$A:$A,E29,Indices!$B:$B,H29))</f>
        <v/>
      </c>
      <c r="J29" s="19">
        <f>IF(OR(G29="",I29=""),"",G29/I29)</f>
        <v/>
      </c>
      <c r="K29" s="11" t="n"/>
      <c r="L29" s="20">
        <f>IF(INDEX(Baux!$P:$P,MATCH($A29,Baux!$A:$A,0))="Base fixe",INDEX(Baux!$I:$I,MATCH($A29,Baux!$A:$A,0)),N28)</f>
        <v/>
      </c>
      <c r="M29" s="20">
        <f>IF(OR(J29="",L29=""),"",ROUND(L29*J29,2))</f>
        <v/>
      </c>
      <c r="N29" s="20">
        <f>IF(LEFT(K29,5)="Geler",O29,IF(M29="","",IF(INDEX(Baux!$Q:$Q,MATCH($A29,Baux!$A:$A,0))="",M29,MIN(M29,ROUND(L29*(1+INDEX(Baux!$Q:$Q,MATCH($A29,Baux!$A:$A,0))/100)^IF(INDEX(Baux!$P:$P,MATCH($A29,Baux!$A:$A,0))="Base fixe",C29*INDEX(Baux!$O:$O,MATCH($A29,Baux!$A:$A,0)),VALUE(LEFT(F29,4))-VALUE(LEFT(H29,4))),2)))))</f>
        <v/>
      </c>
      <c r="O29" s="20">
        <f>N28</f>
        <v/>
      </c>
      <c r="P29" s="21">
        <f>IF(OR(N29="",O29=""),"",N29/O29-1)</f>
        <v/>
      </c>
      <c r="Q29" s="20">
        <f>IF(N29="","",N29/12)</f>
        <v/>
      </c>
      <c r="R29" s="20">
        <f>IF(N29="","",N29/IF(INDEX(Baux!$L:$L,MATCH($A29,Baux!$A:$A,0))="Mensuelle",12,IF(INDEX(Baux!$L:$L,MATCH($A29,Baux!$A:$A,0))="Trimestrielle",4,IF(INDEX(Baux!$L:$L,MATCH($A29,Baux!$A:$A,0))="Semestrielle",2,1))))</f>
        <v/>
      </c>
      <c r="S29" s="20">
        <f>IF(INDEX(Baux!$J:$J,MATCH($A29,Baux!$A:$A,0))="",0,INDEX(Baux!$J:$J,MATCH($A29,Baux!$A:$A,0)))/IF(INDEX(Baux!$L:$L,MATCH($A29,Baux!$A:$A,0))="Mensuelle",12,IF(INDEX(Baux!$L:$L,MATCH($A29,Baux!$A:$A,0))="Trimestrielle",4,IF(INDEX(Baux!$L:$L,MATCH($A29,Baux!$A:$A,0))="Semestrielle",2,1)))</f>
        <v/>
      </c>
      <c r="T29" s="20">
        <f>IF(R29="","",(R29+S29)*INDEX(Baux!$K:$K,MATCH($A29,Baux!$A:$A,0))/100)</f>
        <v/>
      </c>
      <c r="U29" s="20">
        <f>IF(R29="","",R29+S29+T29)</f>
        <v/>
      </c>
      <c r="V29" s="15">
        <f>IF(LEFT(K29,5)="Geler","❄ Gelée",IF(G29="",IF(D29&lt;=TODAY(),"⚠ Indice attendu","À venir"),IF(D29&lt;=TODAY(),"✔ Calculable","Indice connu – à venir")))</f>
        <v/>
      </c>
      <c r="W29" s="22" t="n"/>
      <c r="X29" s="11" t="n"/>
      <c r="Y29" s="12" t="n"/>
      <c r="Z29" s="12" t="n"/>
      <c r="AA29" s="11" t="n"/>
      <c r="AB29" s="15">
        <f>A29&amp;"#"&amp;C29</f>
        <v/>
      </c>
      <c r="AC29" s="15">
        <f>IF(AND(D29&lt;=TODAY(),N29&lt;&gt;""),1,0)</f>
        <v/>
      </c>
    </row>
    <row r="30">
      <c r="A30" s="15" t="inlineStr">
        <is>
          <t>B04</t>
        </is>
      </c>
      <c r="B30" s="15">
        <f>INDEX(Baux!$B:$B,MATCH($A30,Baux!$A:$A,0))</f>
        <v/>
      </c>
      <c r="C30" s="15" t="n">
        <v>8</v>
      </c>
      <c r="D30" s="13">
        <f>EDATE(INDEX(Baux!$F:$F,MATCH($A30,Baux!$A:$A,0)),12*INDEX(Baux!$O:$O,MATCH($A30,Baux!$A:$A,0))*C30)</f>
        <v/>
      </c>
      <c r="E30" s="15">
        <f>INDEX(Baux!$M:$M,MATCH($A30,Baux!$A:$A,0))</f>
        <v/>
      </c>
      <c r="F30" s="15">
        <f>TEXT(VALUE(LEFT(INDEX(Baux!$N:$N,MATCH($A30,Baux!$A:$A,0)),4))+C30*INDEX(Baux!$O:$O,MATCH($A30,Baux!$A:$A,0)),"0")&amp;RIGHT(INDEX(Baux!$N:$N,MATCH($A30,Baux!$A:$A,0)),3)</f>
        <v/>
      </c>
      <c r="G30" s="18">
        <f>IF(SUMIFS(Indices!$C:$C,Indices!$A:$A,E30,Indices!$B:$B,F30)=0,"",SUMIFS(Indices!$C:$C,Indices!$A:$A,E30,Indices!$B:$B,F30))</f>
        <v/>
      </c>
      <c r="H30" s="15">
        <f>IF(INDEX(Baux!$P:$P,MATCH($A30,Baux!$A:$A,0))="Base fixe",INDEX(Baux!$N:$N,MATCH($A30,Baux!$A:$A,0)),IF(K29="Geler – rattrapage possible",H29,F29))</f>
        <v/>
      </c>
      <c r="I30" s="18">
        <f>IF(SUMIFS(Indices!$C:$C,Indices!$A:$A,E30,Indices!$B:$B,H30)=0,"",SUMIFS(Indices!$C:$C,Indices!$A:$A,E30,Indices!$B:$B,H30))</f>
        <v/>
      </c>
      <c r="J30" s="19">
        <f>IF(OR(G30="",I30=""),"",G30/I30)</f>
        <v/>
      </c>
      <c r="K30" s="11" t="n"/>
      <c r="L30" s="20">
        <f>IF(INDEX(Baux!$P:$P,MATCH($A30,Baux!$A:$A,0))="Base fixe",INDEX(Baux!$I:$I,MATCH($A30,Baux!$A:$A,0)),N29)</f>
        <v/>
      </c>
      <c r="M30" s="20">
        <f>IF(OR(J30="",L30=""),"",ROUND(L30*J30,2))</f>
        <v/>
      </c>
      <c r="N30" s="20">
        <f>IF(LEFT(K30,5)="Geler",O30,IF(M30="","",IF(INDEX(Baux!$Q:$Q,MATCH($A30,Baux!$A:$A,0))="",M30,MIN(M30,ROUND(L30*(1+INDEX(Baux!$Q:$Q,MATCH($A30,Baux!$A:$A,0))/100)^IF(INDEX(Baux!$P:$P,MATCH($A30,Baux!$A:$A,0))="Base fixe",C30*INDEX(Baux!$O:$O,MATCH($A30,Baux!$A:$A,0)),VALUE(LEFT(F30,4))-VALUE(LEFT(H30,4))),2)))))</f>
        <v/>
      </c>
      <c r="O30" s="20">
        <f>N29</f>
        <v/>
      </c>
      <c r="P30" s="21">
        <f>IF(OR(N30="",O30=""),"",N30/O30-1)</f>
        <v/>
      </c>
      <c r="Q30" s="20">
        <f>IF(N30="","",N30/12)</f>
        <v/>
      </c>
      <c r="R30" s="20">
        <f>IF(N30="","",N30/IF(INDEX(Baux!$L:$L,MATCH($A30,Baux!$A:$A,0))="Mensuelle",12,IF(INDEX(Baux!$L:$L,MATCH($A30,Baux!$A:$A,0))="Trimestrielle",4,IF(INDEX(Baux!$L:$L,MATCH($A30,Baux!$A:$A,0))="Semestrielle",2,1))))</f>
        <v/>
      </c>
      <c r="S30" s="20">
        <f>IF(INDEX(Baux!$J:$J,MATCH($A30,Baux!$A:$A,0))="",0,INDEX(Baux!$J:$J,MATCH($A30,Baux!$A:$A,0)))/IF(INDEX(Baux!$L:$L,MATCH($A30,Baux!$A:$A,0))="Mensuelle",12,IF(INDEX(Baux!$L:$L,MATCH($A30,Baux!$A:$A,0))="Trimestrielle",4,IF(INDEX(Baux!$L:$L,MATCH($A30,Baux!$A:$A,0))="Semestrielle",2,1)))</f>
        <v/>
      </c>
      <c r="T30" s="20">
        <f>IF(R30="","",(R30+S30)*INDEX(Baux!$K:$K,MATCH($A30,Baux!$A:$A,0))/100)</f>
        <v/>
      </c>
      <c r="U30" s="20">
        <f>IF(R30="","",R30+S30+T30)</f>
        <v/>
      </c>
      <c r="V30" s="15">
        <f>IF(LEFT(K30,5)="Geler","❄ Gelée",IF(G30="",IF(D30&lt;=TODAY(),"⚠ Indice attendu","À venir"),IF(D30&lt;=TODAY(),"✔ Calculable","Indice connu – à venir")))</f>
        <v/>
      </c>
      <c r="W30" s="22" t="n"/>
      <c r="X30" s="11" t="n"/>
      <c r="Y30" s="12" t="n"/>
      <c r="Z30" s="12" t="n"/>
      <c r="AA30" s="11" t="n"/>
      <c r="AB30" s="15">
        <f>A30&amp;"#"&amp;C30</f>
        <v/>
      </c>
      <c r="AC30" s="15">
        <f>IF(AND(D30&lt;=TODAY(),N30&lt;&gt;""),1,0)</f>
        <v/>
      </c>
    </row>
    <row r="31">
      <c r="A31" s="15" t="inlineStr">
        <is>
          <t>B04</t>
        </is>
      </c>
      <c r="B31" s="15">
        <f>INDEX(Baux!$B:$B,MATCH($A31,Baux!$A:$A,0))</f>
        <v/>
      </c>
      <c r="C31" s="15" t="n">
        <v>9</v>
      </c>
      <c r="D31" s="13">
        <f>EDATE(INDEX(Baux!$F:$F,MATCH($A31,Baux!$A:$A,0)),12*INDEX(Baux!$O:$O,MATCH($A31,Baux!$A:$A,0))*C31)</f>
        <v/>
      </c>
      <c r="E31" s="15">
        <f>INDEX(Baux!$M:$M,MATCH($A31,Baux!$A:$A,0))</f>
        <v/>
      </c>
      <c r="F31" s="15">
        <f>TEXT(VALUE(LEFT(INDEX(Baux!$N:$N,MATCH($A31,Baux!$A:$A,0)),4))+C31*INDEX(Baux!$O:$O,MATCH($A31,Baux!$A:$A,0)),"0")&amp;RIGHT(INDEX(Baux!$N:$N,MATCH($A31,Baux!$A:$A,0)),3)</f>
        <v/>
      </c>
      <c r="G31" s="18">
        <f>IF(SUMIFS(Indices!$C:$C,Indices!$A:$A,E31,Indices!$B:$B,F31)=0,"",SUMIFS(Indices!$C:$C,Indices!$A:$A,E31,Indices!$B:$B,F31))</f>
        <v/>
      </c>
      <c r="H31" s="15">
        <f>IF(INDEX(Baux!$P:$P,MATCH($A31,Baux!$A:$A,0))="Base fixe",INDEX(Baux!$N:$N,MATCH($A31,Baux!$A:$A,0)),IF(K30="Geler – rattrapage possible",H30,F30))</f>
        <v/>
      </c>
      <c r="I31" s="18">
        <f>IF(SUMIFS(Indices!$C:$C,Indices!$A:$A,E31,Indices!$B:$B,H31)=0,"",SUMIFS(Indices!$C:$C,Indices!$A:$A,E31,Indices!$B:$B,H31))</f>
        <v/>
      </c>
      <c r="J31" s="19">
        <f>IF(OR(G31="",I31=""),"",G31/I31)</f>
        <v/>
      </c>
      <c r="K31" s="11" t="n"/>
      <c r="L31" s="20">
        <f>IF(INDEX(Baux!$P:$P,MATCH($A31,Baux!$A:$A,0))="Base fixe",INDEX(Baux!$I:$I,MATCH($A31,Baux!$A:$A,0)),N30)</f>
        <v/>
      </c>
      <c r="M31" s="20">
        <f>IF(OR(J31="",L31=""),"",ROUND(L31*J31,2))</f>
        <v/>
      </c>
      <c r="N31" s="20">
        <f>IF(LEFT(K31,5)="Geler",O31,IF(M31="","",IF(INDEX(Baux!$Q:$Q,MATCH($A31,Baux!$A:$A,0))="",M31,MIN(M31,ROUND(L31*(1+INDEX(Baux!$Q:$Q,MATCH($A31,Baux!$A:$A,0))/100)^IF(INDEX(Baux!$P:$P,MATCH($A31,Baux!$A:$A,0))="Base fixe",C31*INDEX(Baux!$O:$O,MATCH($A31,Baux!$A:$A,0)),VALUE(LEFT(F31,4))-VALUE(LEFT(H31,4))),2)))))</f>
        <v/>
      </c>
      <c r="O31" s="20">
        <f>N30</f>
        <v/>
      </c>
      <c r="P31" s="21">
        <f>IF(OR(N31="",O31=""),"",N31/O31-1)</f>
        <v/>
      </c>
      <c r="Q31" s="20">
        <f>IF(N31="","",N31/12)</f>
        <v/>
      </c>
      <c r="R31" s="20">
        <f>IF(N31="","",N31/IF(INDEX(Baux!$L:$L,MATCH($A31,Baux!$A:$A,0))="Mensuelle",12,IF(INDEX(Baux!$L:$L,MATCH($A31,Baux!$A:$A,0))="Trimestrielle",4,IF(INDEX(Baux!$L:$L,MATCH($A31,Baux!$A:$A,0))="Semestrielle",2,1))))</f>
        <v/>
      </c>
      <c r="S31" s="20">
        <f>IF(INDEX(Baux!$J:$J,MATCH($A31,Baux!$A:$A,0))="",0,INDEX(Baux!$J:$J,MATCH($A31,Baux!$A:$A,0)))/IF(INDEX(Baux!$L:$L,MATCH($A31,Baux!$A:$A,0))="Mensuelle",12,IF(INDEX(Baux!$L:$L,MATCH($A31,Baux!$A:$A,0))="Trimestrielle",4,IF(INDEX(Baux!$L:$L,MATCH($A31,Baux!$A:$A,0))="Semestrielle",2,1)))</f>
        <v/>
      </c>
      <c r="T31" s="20">
        <f>IF(R31="","",(R31+S31)*INDEX(Baux!$K:$K,MATCH($A31,Baux!$A:$A,0))/100)</f>
        <v/>
      </c>
      <c r="U31" s="20">
        <f>IF(R31="","",R31+S31+T31)</f>
        <v/>
      </c>
      <c r="V31" s="15">
        <f>IF(LEFT(K31,5)="Geler","❄ Gelée",IF(G31="",IF(D31&lt;=TODAY(),"⚠ Indice attendu","À venir"),IF(D31&lt;=TODAY(),"✔ Calculable","Indice connu – à venir")))</f>
        <v/>
      </c>
      <c r="W31" s="22" t="n"/>
      <c r="X31" s="11" t="n"/>
      <c r="Y31" s="12" t="n"/>
      <c r="Z31" s="12" t="n"/>
      <c r="AA31" s="11" t="n"/>
      <c r="AB31" s="15">
        <f>A31&amp;"#"&amp;C31</f>
        <v/>
      </c>
      <c r="AC31" s="15">
        <f>IF(AND(D31&lt;=TODAY(),N31&lt;&gt;""),1,0)</f>
        <v/>
      </c>
    </row>
  </sheetData>
  <autoFilter ref="A1:AC31"/>
  <conditionalFormatting sqref="V2:V531">
    <cfRule type="expression" priority="1" dxfId="1">
      <formula>LEFT(V2,1)="❄"</formula>
    </cfRule>
    <cfRule type="expression" priority="2" dxfId="2">
      <formula>LEFT(V2,1)="⚠"</formula>
    </cfRule>
    <cfRule type="expression" priority="3" dxfId="3">
      <formula>AND(LEFT(V2,1)="✔",X2&lt;&gt;"Oui")</formula>
    </cfRule>
    <cfRule type="expression" priority="4" dxfId="4">
      <formula>AND(LEFT(V2,1)="✔",X2="Oui")</formula>
    </cfRule>
  </conditionalFormatting>
  <dataValidations count="2">
    <dataValidation sqref="X2:X531" showDropDown="0" showInputMessage="0" showErrorMessage="0" allowBlank="1" type="list">
      <formula1>"Oui,Non"</formula1>
    </dataValidation>
    <dataValidation sqref="K2:K531" showDropDown="0" showInputMessage="1" showErrorMessage="0" allowBlank="1" promptTitle="Décision du bailleur" prompt="Vide ou Appliquer = révision appliquée. Geler = loyer inchangé ; « rattrapage possible » repart de l'indice de la dernière révision appliquée." type="list">
      <formula1>"Appliquer,Geler – sans rattrapage,Geler – rattrapage possible"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7" customWidth="1" min="4" max="4"/>
    <col width="14" customWidth="1" min="5" max="5"/>
    <col width="12" customWidth="1" min="6" max="6"/>
    <col width="15" customWidth="1" min="7" max="7"/>
    <col width="13" customWidth="1" min="8" max="8"/>
    <col width="13" customWidth="1" min="9" max="9"/>
    <col width="11" customWidth="1" min="10" max="10"/>
    <col width="10" customWidth="1" min="11" max="11"/>
    <col width="14" customWidth="1" min="12" max="12"/>
    <col width="9" customWidth="1" min="13" max="13"/>
    <col width="34" customWidth="1" min="14" max="14"/>
    <col width="40" customWidth="1" min="15" max="15"/>
  </cols>
  <sheetData>
    <row r="1" ht="42" customHeight="1">
      <c r="A1" s="10" t="inlineStr">
        <is>
          <t>ID bail</t>
        </is>
      </c>
      <c r="B1" s="10" t="inlineStr">
        <is>
          <t>Local</t>
        </is>
      </c>
      <c r="C1" s="10" t="inlineStr">
        <is>
          <t>Locataire</t>
        </is>
      </c>
      <c r="D1" s="10" t="inlineStr">
        <is>
          <t>Indice</t>
        </is>
      </c>
      <c r="E1" s="10" t="inlineStr">
        <is>
          <t>Loyer initial annuel HT</t>
        </is>
      </c>
      <c r="F1" s="10" t="inlineStr">
        <is>
          <t>N° dernière révision effective</t>
        </is>
      </c>
      <c r="G1" s="10" t="inlineStr">
        <is>
          <t>Loyer actuel (annuel HT)</t>
        </is>
      </c>
      <c r="H1" s="10" t="inlineStr">
        <is>
          <t>Loyer actuel mensuel HT</t>
        </is>
      </c>
      <c r="I1" s="10" t="inlineStr">
        <is>
          <t>Prochaine révision</t>
        </is>
      </c>
      <c r="J1" s="10" t="inlineStr">
        <is>
          <t>Trimestre attendu</t>
        </is>
      </c>
      <c r="K1" s="10" t="inlineStr">
        <is>
          <t>Indice publié ?</t>
        </is>
      </c>
      <c r="L1" s="10" t="inlineStr">
        <is>
          <t>Révisions calculables non appliquées</t>
        </is>
      </c>
      <c r="M1" s="10" t="inlineStr">
        <is>
          <t>Révisions gelées</t>
        </is>
      </c>
      <c r="N1" s="10" t="inlineStr">
        <is>
          <t>Action</t>
        </is>
      </c>
      <c r="O1" s="10" t="inlineStr">
        <is>
          <t>Consigne prochaine révision</t>
        </is>
      </c>
    </row>
    <row r="2">
      <c r="A2" s="15" t="inlineStr">
        <is>
          <t>B01</t>
        </is>
      </c>
      <c r="B2" s="15">
        <f>INDEX(Baux!$B:$B,MATCH($A2,Baux!$A:$A,0))</f>
        <v/>
      </c>
      <c r="C2" s="15">
        <f>INDEX(Baux!$C:$C,MATCH($A2,Baux!$A:$A,0))</f>
        <v/>
      </c>
      <c r="D2" s="15">
        <f>INDEX(Baux!$M:$M,MATCH($A2,Baux!$A:$A,0))</f>
        <v/>
      </c>
      <c r="E2" s="20">
        <f>INDEX(Baux!$I:$I,MATCH($A2,Baux!$A:$A,0))</f>
        <v/>
      </c>
      <c r="F2" s="15">
        <f>_xlfn.MAXIFS(Révisions!$C:$C,Révisions!$A:$A,A2,Révisions!$AC:$AC,1)</f>
        <v/>
      </c>
      <c r="G2" s="20">
        <f>IF(F2=0,E2,SUMIFS(Révisions!$N:$N,Révisions!$A:$A,A2,Révisions!$C:$C,F2))</f>
        <v/>
      </c>
      <c r="H2" s="20">
        <f>G2/12</f>
        <v/>
      </c>
      <c r="I2" s="13">
        <f>IF(_xlfn.MINIFS(Révisions!$D:$D,Révisions!$A:$A,A2,Révisions!$D:$D,"&gt;"&amp;TODAY())=0,"—",_xlfn.MINIFS(Révisions!$D:$D,Révisions!$A:$A,A2,Révisions!$D:$D,"&gt;"&amp;TODAY()))</f>
        <v/>
      </c>
      <c r="J2" s="15">
        <f>IFERROR(INDEX(Révisions!$F:$F,MATCH(A2&amp;"#"&amp;(F2+1),Révisions!$AB:$AB,0)),"—")</f>
        <v/>
      </c>
      <c r="K2" s="15">
        <f>IF(J2="—","—",IF(SUMIFS(Indices!$C:$C,Indices!$A:$A,D2,Indices!$B:$B,J2)&gt;0,"Oui","Non"))</f>
        <v/>
      </c>
      <c r="L2" s="15">
        <f>COUNTIFS(Révisions!$A:$A,A2,Révisions!$V:$V,"✔ Calculable",Révisions!$X:$X,"&lt;&gt;Oui")</f>
        <v/>
      </c>
      <c r="M2" s="15">
        <f>COUNTIFS(Révisions!$A:$A,A2,Révisions!$V:$V,"❄ Gelée")</f>
        <v/>
      </c>
      <c r="N2" s="15">
        <f>IF(L2&gt;0,"⚠ Facturer la révision ("&amp;L2&amp;" en attente)",IF(AND(I2&lt;&gt;"—",I2-TODAY()&lt;=60),IF(K2="Oui","Révision dans "&amp;INT(I2-TODAY())&amp;" j – indice publié","Révision dans "&amp;INT(I2-TODAY())&amp;" j – indice non publié"),"RAS"))</f>
        <v/>
      </c>
      <c r="O2" s="23">
        <f>IFERROR(INDEX(Révisions!$W:$W,MATCH(A2&amp;"#"&amp;(F2+1),Révisions!$AB:$AB,0))&amp;"","")</f>
        <v/>
      </c>
    </row>
    <row r="3">
      <c r="A3" s="15" t="inlineStr">
        <is>
          <t>B02</t>
        </is>
      </c>
      <c r="B3" s="15">
        <f>INDEX(Baux!$B:$B,MATCH($A3,Baux!$A:$A,0))</f>
        <v/>
      </c>
      <c r="C3" s="15">
        <f>INDEX(Baux!$C:$C,MATCH($A3,Baux!$A:$A,0))</f>
        <v/>
      </c>
      <c r="D3" s="15">
        <f>INDEX(Baux!$M:$M,MATCH($A3,Baux!$A:$A,0))</f>
        <v/>
      </c>
      <c r="E3" s="20">
        <f>INDEX(Baux!$I:$I,MATCH($A3,Baux!$A:$A,0))</f>
        <v/>
      </c>
      <c r="F3" s="15">
        <f>_xlfn.MAXIFS(Révisions!$C:$C,Révisions!$A:$A,A3,Révisions!$AC:$AC,1)</f>
        <v/>
      </c>
      <c r="G3" s="20">
        <f>IF(F3=0,E3,SUMIFS(Révisions!$N:$N,Révisions!$A:$A,A3,Révisions!$C:$C,F3))</f>
        <v/>
      </c>
      <c r="H3" s="20">
        <f>G3/12</f>
        <v/>
      </c>
      <c r="I3" s="13">
        <f>IF(_xlfn.MINIFS(Révisions!$D:$D,Révisions!$A:$A,A3,Révisions!$D:$D,"&gt;"&amp;TODAY())=0,"—",_xlfn.MINIFS(Révisions!$D:$D,Révisions!$A:$A,A3,Révisions!$D:$D,"&gt;"&amp;TODAY()))</f>
        <v/>
      </c>
      <c r="J3" s="15">
        <f>IFERROR(INDEX(Révisions!$F:$F,MATCH(A3&amp;"#"&amp;(F3+1),Révisions!$AB:$AB,0)),"—")</f>
        <v/>
      </c>
      <c r="K3" s="15">
        <f>IF(J3="—","—",IF(SUMIFS(Indices!$C:$C,Indices!$A:$A,D3,Indices!$B:$B,J3)&gt;0,"Oui","Non"))</f>
        <v/>
      </c>
      <c r="L3" s="15">
        <f>COUNTIFS(Révisions!$A:$A,A3,Révisions!$V:$V,"✔ Calculable",Révisions!$X:$X,"&lt;&gt;Oui")</f>
        <v/>
      </c>
      <c r="M3" s="15">
        <f>COUNTIFS(Révisions!$A:$A,A3,Révisions!$V:$V,"❄ Gelée")</f>
        <v/>
      </c>
      <c r="N3" s="15">
        <f>IF(L3&gt;0,"⚠ Facturer la révision ("&amp;L3&amp;" en attente)",IF(AND(I3&lt;&gt;"—",I3-TODAY()&lt;=60),IF(K3="Oui","Révision dans "&amp;INT(I3-TODAY())&amp;" j – indice publié","Révision dans "&amp;INT(I3-TODAY())&amp;" j – indice non publié"),"RAS"))</f>
        <v/>
      </c>
      <c r="O3" s="23">
        <f>IFERROR(INDEX(Révisions!$W:$W,MATCH(A3&amp;"#"&amp;(F3+1),Révisions!$AB:$AB,0))&amp;"","")</f>
        <v/>
      </c>
    </row>
    <row r="4">
      <c r="A4" s="15" t="inlineStr">
        <is>
          <t>B03</t>
        </is>
      </c>
      <c r="B4" s="15">
        <f>INDEX(Baux!$B:$B,MATCH($A4,Baux!$A:$A,0))</f>
        <v/>
      </c>
      <c r="C4" s="15">
        <f>INDEX(Baux!$C:$C,MATCH($A4,Baux!$A:$A,0))</f>
        <v/>
      </c>
      <c r="D4" s="15">
        <f>INDEX(Baux!$M:$M,MATCH($A4,Baux!$A:$A,0))</f>
        <v/>
      </c>
      <c r="E4" s="20">
        <f>INDEX(Baux!$I:$I,MATCH($A4,Baux!$A:$A,0))</f>
        <v/>
      </c>
      <c r="F4" s="15">
        <f>_xlfn.MAXIFS(Révisions!$C:$C,Révisions!$A:$A,A4,Révisions!$AC:$AC,1)</f>
        <v/>
      </c>
      <c r="G4" s="20">
        <f>IF(F4=0,E4,SUMIFS(Révisions!$N:$N,Révisions!$A:$A,A4,Révisions!$C:$C,F4))</f>
        <v/>
      </c>
      <c r="H4" s="20">
        <f>G4/12</f>
        <v/>
      </c>
      <c r="I4" s="13">
        <f>IF(_xlfn.MINIFS(Révisions!$D:$D,Révisions!$A:$A,A4,Révisions!$D:$D,"&gt;"&amp;TODAY())=0,"—",_xlfn.MINIFS(Révisions!$D:$D,Révisions!$A:$A,A4,Révisions!$D:$D,"&gt;"&amp;TODAY()))</f>
        <v/>
      </c>
      <c r="J4" s="15">
        <f>IFERROR(INDEX(Révisions!$F:$F,MATCH(A4&amp;"#"&amp;(F4+1),Révisions!$AB:$AB,0)),"—")</f>
        <v/>
      </c>
      <c r="K4" s="15">
        <f>IF(J4="—","—",IF(SUMIFS(Indices!$C:$C,Indices!$A:$A,D4,Indices!$B:$B,J4)&gt;0,"Oui","Non"))</f>
        <v/>
      </c>
      <c r="L4" s="15">
        <f>COUNTIFS(Révisions!$A:$A,A4,Révisions!$V:$V,"✔ Calculable",Révisions!$X:$X,"&lt;&gt;Oui")</f>
        <v/>
      </c>
      <c r="M4" s="15">
        <f>COUNTIFS(Révisions!$A:$A,A4,Révisions!$V:$V,"❄ Gelée")</f>
        <v/>
      </c>
      <c r="N4" s="15">
        <f>IF(L4&gt;0,"⚠ Facturer la révision ("&amp;L4&amp;" en attente)",IF(AND(I4&lt;&gt;"—",I4-TODAY()&lt;=60),IF(K4="Oui","Révision dans "&amp;INT(I4-TODAY())&amp;" j – indice publié","Révision dans "&amp;INT(I4-TODAY())&amp;" j – indice non publié"),"RAS"))</f>
        <v/>
      </c>
      <c r="O4" s="23">
        <f>IFERROR(INDEX(Révisions!$W:$W,MATCH(A4&amp;"#"&amp;(F4+1),Révisions!$AB:$AB,0))&amp;"","")</f>
        <v/>
      </c>
    </row>
    <row r="5">
      <c r="A5" s="15" t="inlineStr">
        <is>
          <t>B04</t>
        </is>
      </c>
      <c r="B5" s="15">
        <f>INDEX(Baux!$B:$B,MATCH($A5,Baux!$A:$A,0))</f>
        <v/>
      </c>
      <c r="C5" s="15">
        <f>INDEX(Baux!$C:$C,MATCH($A5,Baux!$A:$A,0))</f>
        <v/>
      </c>
      <c r="D5" s="15">
        <f>INDEX(Baux!$M:$M,MATCH($A5,Baux!$A:$A,0))</f>
        <v/>
      </c>
      <c r="E5" s="20">
        <f>INDEX(Baux!$I:$I,MATCH($A5,Baux!$A:$A,0))</f>
        <v/>
      </c>
      <c r="F5" s="15">
        <f>_xlfn.MAXIFS(Révisions!$C:$C,Révisions!$A:$A,A5,Révisions!$AC:$AC,1)</f>
        <v/>
      </c>
      <c r="G5" s="20">
        <f>IF(F5=0,E5,SUMIFS(Révisions!$N:$N,Révisions!$A:$A,A5,Révisions!$C:$C,F5))</f>
        <v/>
      </c>
      <c r="H5" s="20">
        <f>G5/12</f>
        <v/>
      </c>
      <c r="I5" s="13">
        <f>IF(_xlfn.MINIFS(Révisions!$D:$D,Révisions!$A:$A,A5,Révisions!$D:$D,"&gt;"&amp;TODAY())=0,"—",_xlfn.MINIFS(Révisions!$D:$D,Révisions!$A:$A,A5,Révisions!$D:$D,"&gt;"&amp;TODAY()))</f>
        <v/>
      </c>
      <c r="J5" s="15">
        <f>IFERROR(INDEX(Révisions!$F:$F,MATCH(A5&amp;"#"&amp;(F5+1),Révisions!$AB:$AB,0)),"—")</f>
        <v/>
      </c>
      <c r="K5" s="15">
        <f>IF(J5="—","—",IF(SUMIFS(Indices!$C:$C,Indices!$A:$A,D5,Indices!$B:$B,J5)&gt;0,"Oui","Non"))</f>
        <v/>
      </c>
      <c r="L5" s="15">
        <f>COUNTIFS(Révisions!$A:$A,A5,Révisions!$V:$V,"✔ Calculable",Révisions!$X:$X,"&lt;&gt;Oui")</f>
        <v/>
      </c>
      <c r="M5" s="15">
        <f>COUNTIFS(Révisions!$A:$A,A5,Révisions!$V:$V,"❄ Gelée")</f>
        <v/>
      </c>
      <c r="N5" s="15">
        <f>IF(L5&gt;0,"⚠ Facturer la révision ("&amp;L5&amp;" en attente)",IF(AND(I5&lt;&gt;"—",I5-TODAY()&lt;=60),IF(K5="Oui","Révision dans "&amp;INT(I5-TODAY())&amp;" j – indice publié","Révision dans "&amp;INT(I5-TODAY())&amp;" j – indice non publié"),"RAS"))</f>
        <v/>
      </c>
      <c r="O5" s="23">
        <f>IFERROR(INDEX(Révisions!$W:$W,MATCH(A5&amp;"#"&amp;(F5+1),Révisions!$AB:$AB,0))&amp;"","")</f>
        <v/>
      </c>
    </row>
  </sheetData>
  <conditionalFormatting sqref="N2:N5">
    <cfRule type="expression" priority="1" dxfId="2">
      <formula>LEFT(N2,1)="⚠"</formula>
    </cfRule>
    <cfRule type="expression" priority="2" dxfId="5">
      <formula>LEFT(N2,8)="Révision"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34" customWidth="1" min="5" max="5"/>
    <col width="12" customWidth="1" min="6" max="6"/>
    <col width="12" customWidth="1" min="7" max="7"/>
    <col width="14" customWidth="1" min="8" max="8"/>
    <col width="13" customWidth="1" min="9" max="9"/>
    <col width="8" customWidth="1" min="10" max="10"/>
    <col width="12" customWidth="1" min="11" max="11"/>
    <col width="14" customWidth="1" min="12" max="12"/>
    <col width="90" customWidth="1" min="13" max="13"/>
  </cols>
  <sheetData>
    <row r="1" ht="42" customHeight="1">
      <c r="A1" s="10" t="inlineStr">
        <is>
          <t>ID bail</t>
        </is>
      </c>
      <c r="B1" s="10" t="inlineStr">
        <is>
          <t>Locataire</t>
        </is>
      </c>
      <c r="C1" s="10" t="inlineStr">
        <is>
          <t>customer_id</t>
        </is>
      </c>
      <c r="D1" s="10" t="inlineStr">
        <is>
          <t>product_id</t>
        </is>
      </c>
      <c r="E1" s="10" t="inlineStr">
        <is>
          <t>Libellé de ligne</t>
        </is>
      </c>
      <c r="F1" s="10" t="inlineStr">
        <is>
          <t>Périodicité</t>
        </is>
      </c>
      <c r="G1" s="10" t="inlineStr">
        <is>
          <t>recurrence.type</t>
        </is>
      </c>
      <c r="H1" s="10" t="inlineStr">
        <is>
          <t>Prix unitaire HT / échéance</t>
        </is>
      </c>
      <c r="I1" s="10" t="inlineStr">
        <is>
          <t>Charges HT / échéance</t>
        </is>
      </c>
      <c r="J1" s="10" t="inlineStr">
        <is>
          <t>TVA (%)</t>
        </is>
      </c>
      <c r="K1" s="10" t="inlineStr">
        <is>
          <t>vat_rate (code Pennylane)</t>
        </is>
      </c>
      <c r="L1" s="10" t="inlineStr">
        <is>
          <t>Date de début (1er du mois suivant)</t>
        </is>
      </c>
      <c r="M1" s="10" t="inlineStr">
        <is>
          <t>Aperçu du corps JSON (POST /billing_subscriptions)</t>
        </is>
      </c>
    </row>
    <row r="2">
      <c r="A2" s="15" t="inlineStr">
        <is>
          <t>B01</t>
        </is>
      </c>
      <c r="B2" s="15">
        <f>INDEX(Baux!$C:$C,MATCH($A2,Baux!$A:$A,0))</f>
        <v/>
      </c>
      <c r="C2" s="15">
        <f>IF(INDEX(Baux!$R:$R,MATCH($A2,Baux!$A:$A,0))="","À RENSEIGNER",INDEX(Baux!$R:$R,MATCH($A2,Baux!$A:$A,0)))</f>
        <v/>
      </c>
      <c r="D2" s="15">
        <f>IF(INDEX(Baux!$S:$S,MATCH($A2,Baux!$A:$A,0))="","",INDEX(Baux!$S:$S,MATCH($A2,Baux!$A:$A,0)))</f>
        <v/>
      </c>
      <c r="E2" s="15">
        <f>"Loyer "&amp;INDEX(Baux!$B:$B,MATCH($A2,Baux!$A:$A,0))&amp;" – échéance "&amp;LOWER(F2)</f>
        <v/>
      </c>
      <c r="F2" s="15">
        <f>INDEX(Baux!$L:$L,MATCH($A2,Baux!$A:$A,0))</f>
        <v/>
      </c>
      <c r="G2" s="15">
        <f>IF(F2="Mensuelle","monthly",IF(F2="Trimestrielle","quarterly",IF(F2="Semestrielle","semiannual","yearly")))</f>
        <v/>
      </c>
      <c r="H2" s="20">
        <f>ROUND(INDEX(Alertes!$G:$G,MATCH(A2,Alertes!$A:$A,0))/IF(F2="Mensuelle",12,IF(F2="Trimestrielle",4,IF(F2="Semestrielle",2,1))),2)</f>
        <v/>
      </c>
      <c r="I2" s="20">
        <f>ROUND(IF(INDEX(Baux!$J:$J,MATCH($A2,Baux!$A:$A,0))="",0,INDEX(Baux!$J:$J,MATCH($A2,Baux!$A:$A,0)))/IF(F2="Mensuelle",12,IF(F2="Trimestrielle",4,IF(F2="Semestrielle",2,1))),2)</f>
        <v/>
      </c>
      <c r="J2" s="15">
        <f>INDEX(Baux!$K:$K,MATCH($A2,Baux!$A:$A,0))</f>
        <v/>
      </c>
      <c r="K2" s="15">
        <f>IF(J2=20,"FR_200",IF(J2=10,"FR_100",IF(J2=5.5,"FR_55",IF(J2=2.1,"FR_21","exempt"))))</f>
        <v/>
      </c>
      <c r="L2" s="13">
        <f>DATE(YEAR(TODAY()),MONTH(TODAY())+1,1)</f>
        <v/>
      </c>
      <c r="M2" s="24">
        <f>"{""customer_id"": "&amp;C2&amp;", ""start"": """&amp;YEAR(L2)&amp;"-"&amp;TEXT(MONTH(L2),"00")&amp;"-"&amp;TEXT(DAY(L2),"00")&amp;""", ""currency"": ""EUR"", ""recurrence"": {""type"": """&amp;G2&amp;""", ""day_of_month"": 1}, ""invoice_lines"": [{""label"": """&amp;E2&amp;""", ""quantity"": 1, ""raw_currency_unit_price"": "&amp;SUBSTITUTE(TEXT(H2,"0.00"),",",".")&amp;", ""vat_rate"": """&amp;K2&amp;""""&amp;IF(D2&lt;&gt;"",", ""product_id"": "&amp;D2,"")&amp;"}"&amp;IF(I2&gt;0,", {""label"": ""Provision sur charges"", ""quantity"": 1, ""raw_currency_unit_price"": "&amp;SUBSTITUTE(TEXT(I2,"0.00"),",",".")&amp;", ""vat_rate"": """&amp;K2&amp;"""}","")&amp;"]}"</f>
        <v/>
      </c>
    </row>
    <row r="3">
      <c r="A3" s="15" t="inlineStr">
        <is>
          <t>B02</t>
        </is>
      </c>
      <c r="B3" s="15">
        <f>INDEX(Baux!$C:$C,MATCH($A3,Baux!$A:$A,0))</f>
        <v/>
      </c>
      <c r="C3" s="15">
        <f>IF(INDEX(Baux!$R:$R,MATCH($A3,Baux!$A:$A,0))="","À RENSEIGNER",INDEX(Baux!$R:$R,MATCH($A3,Baux!$A:$A,0)))</f>
        <v/>
      </c>
      <c r="D3" s="15">
        <f>IF(INDEX(Baux!$S:$S,MATCH($A3,Baux!$A:$A,0))="","",INDEX(Baux!$S:$S,MATCH($A3,Baux!$A:$A,0)))</f>
        <v/>
      </c>
      <c r="E3" s="15">
        <f>"Loyer "&amp;INDEX(Baux!$B:$B,MATCH($A3,Baux!$A:$A,0))&amp;" – échéance "&amp;LOWER(F3)</f>
        <v/>
      </c>
      <c r="F3" s="15">
        <f>INDEX(Baux!$L:$L,MATCH($A3,Baux!$A:$A,0))</f>
        <v/>
      </c>
      <c r="G3" s="15">
        <f>IF(F3="Mensuelle","monthly",IF(F3="Trimestrielle","quarterly",IF(F3="Semestrielle","semiannual","yearly")))</f>
        <v/>
      </c>
      <c r="H3" s="20">
        <f>ROUND(INDEX(Alertes!$G:$G,MATCH(A3,Alertes!$A:$A,0))/IF(F3="Mensuelle",12,IF(F3="Trimestrielle",4,IF(F3="Semestrielle",2,1))),2)</f>
        <v/>
      </c>
      <c r="I3" s="20">
        <f>ROUND(IF(INDEX(Baux!$J:$J,MATCH($A3,Baux!$A:$A,0))="",0,INDEX(Baux!$J:$J,MATCH($A3,Baux!$A:$A,0)))/IF(F3="Mensuelle",12,IF(F3="Trimestrielle",4,IF(F3="Semestrielle",2,1))),2)</f>
        <v/>
      </c>
      <c r="J3" s="15">
        <f>INDEX(Baux!$K:$K,MATCH($A3,Baux!$A:$A,0))</f>
        <v/>
      </c>
      <c r="K3" s="15">
        <f>IF(J3=20,"FR_200",IF(J3=10,"FR_100",IF(J3=5.5,"FR_55",IF(J3=2.1,"FR_21","exempt"))))</f>
        <v/>
      </c>
      <c r="L3" s="13">
        <f>DATE(YEAR(TODAY()),MONTH(TODAY())+1,1)</f>
        <v/>
      </c>
      <c r="M3" s="24">
        <f>"{""customer_id"": "&amp;C3&amp;", ""start"": """&amp;YEAR(L3)&amp;"-"&amp;TEXT(MONTH(L3),"00")&amp;"-"&amp;TEXT(DAY(L3),"00")&amp;""", ""currency"": ""EUR"", ""recurrence"": {""type"": """&amp;G3&amp;""", ""day_of_month"": 1}, ""invoice_lines"": [{""label"": """&amp;E3&amp;""", ""quantity"": 1, ""raw_currency_unit_price"": "&amp;SUBSTITUTE(TEXT(H3,"0.00"),",",".")&amp;", ""vat_rate"": """&amp;K3&amp;""""&amp;IF(D3&lt;&gt;"",", ""product_id"": "&amp;D3,"")&amp;"}"&amp;IF(I3&gt;0,", {""label"": ""Provision sur charges"", ""quantity"": 1, ""raw_currency_unit_price"": "&amp;SUBSTITUTE(TEXT(I3,"0.00"),",",".")&amp;", ""vat_rate"": """&amp;K3&amp;"""}","")&amp;"]}"</f>
        <v/>
      </c>
    </row>
    <row r="4">
      <c r="A4" s="15" t="inlineStr">
        <is>
          <t>B03</t>
        </is>
      </c>
      <c r="B4" s="15">
        <f>INDEX(Baux!$C:$C,MATCH($A4,Baux!$A:$A,0))</f>
        <v/>
      </c>
      <c r="C4" s="15">
        <f>IF(INDEX(Baux!$R:$R,MATCH($A4,Baux!$A:$A,0))="","À RENSEIGNER",INDEX(Baux!$R:$R,MATCH($A4,Baux!$A:$A,0)))</f>
        <v/>
      </c>
      <c r="D4" s="15">
        <f>IF(INDEX(Baux!$S:$S,MATCH($A4,Baux!$A:$A,0))="","",INDEX(Baux!$S:$S,MATCH($A4,Baux!$A:$A,0)))</f>
        <v/>
      </c>
      <c r="E4" s="15">
        <f>"Loyer "&amp;INDEX(Baux!$B:$B,MATCH($A4,Baux!$A:$A,0))&amp;" – échéance "&amp;LOWER(F4)</f>
        <v/>
      </c>
      <c r="F4" s="15">
        <f>INDEX(Baux!$L:$L,MATCH($A4,Baux!$A:$A,0))</f>
        <v/>
      </c>
      <c r="G4" s="15">
        <f>IF(F4="Mensuelle","monthly",IF(F4="Trimestrielle","quarterly",IF(F4="Semestrielle","semiannual","yearly")))</f>
        <v/>
      </c>
      <c r="H4" s="20">
        <f>ROUND(INDEX(Alertes!$G:$G,MATCH(A4,Alertes!$A:$A,0))/IF(F4="Mensuelle",12,IF(F4="Trimestrielle",4,IF(F4="Semestrielle",2,1))),2)</f>
        <v/>
      </c>
      <c r="I4" s="20">
        <f>ROUND(IF(INDEX(Baux!$J:$J,MATCH($A4,Baux!$A:$A,0))="",0,INDEX(Baux!$J:$J,MATCH($A4,Baux!$A:$A,0)))/IF(F4="Mensuelle",12,IF(F4="Trimestrielle",4,IF(F4="Semestrielle",2,1))),2)</f>
        <v/>
      </c>
      <c r="J4" s="15">
        <f>INDEX(Baux!$K:$K,MATCH($A4,Baux!$A:$A,0))</f>
        <v/>
      </c>
      <c r="K4" s="15">
        <f>IF(J4=20,"FR_200",IF(J4=10,"FR_100",IF(J4=5.5,"FR_55",IF(J4=2.1,"FR_21","exempt"))))</f>
        <v/>
      </c>
      <c r="L4" s="13">
        <f>DATE(YEAR(TODAY()),MONTH(TODAY())+1,1)</f>
        <v/>
      </c>
      <c r="M4" s="24">
        <f>"{""customer_id"": "&amp;C4&amp;", ""start"": """&amp;YEAR(L4)&amp;"-"&amp;TEXT(MONTH(L4),"00")&amp;"-"&amp;TEXT(DAY(L4),"00")&amp;""", ""currency"": ""EUR"", ""recurrence"": {""type"": """&amp;G4&amp;""", ""day_of_month"": 1}, ""invoice_lines"": [{""label"": """&amp;E4&amp;""", ""quantity"": 1, ""raw_currency_unit_price"": "&amp;SUBSTITUTE(TEXT(H4,"0.00"),",",".")&amp;", ""vat_rate"": """&amp;K4&amp;""""&amp;IF(D4&lt;&gt;"",", ""product_id"": "&amp;D4,"")&amp;"}"&amp;IF(I4&gt;0,", {""label"": ""Provision sur charges"", ""quantity"": 1, ""raw_currency_unit_price"": "&amp;SUBSTITUTE(TEXT(I4,"0.00"),",",".")&amp;", ""vat_rate"": """&amp;K4&amp;"""}","")&amp;"]}"</f>
        <v/>
      </c>
    </row>
    <row r="5">
      <c r="A5" s="15" t="inlineStr">
        <is>
          <t>B04</t>
        </is>
      </c>
      <c r="B5" s="15">
        <f>INDEX(Baux!$C:$C,MATCH($A5,Baux!$A:$A,0))</f>
        <v/>
      </c>
      <c r="C5" s="15">
        <f>IF(INDEX(Baux!$R:$R,MATCH($A5,Baux!$A:$A,0))="","À RENSEIGNER",INDEX(Baux!$R:$R,MATCH($A5,Baux!$A:$A,0)))</f>
        <v/>
      </c>
      <c r="D5" s="15">
        <f>IF(INDEX(Baux!$S:$S,MATCH($A5,Baux!$A:$A,0))="","",INDEX(Baux!$S:$S,MATCH($A5,Baux!$A:$A,0)))</f>
        <v/>
      </c>
      <c r="E5" s="15">
        <f>"Loyer "&amp;INDEX(Baux!$B:$B,MATCH($A5,Baux!$A:$A,0))&amp;" – échéance "&amp;LOWER(F5)</f>
        <v/>
      </c>
      <c r="F5" s="15">
        <f>INDEX(Baux!$L:$L,MATCH($A5,Baux!$A:$A,0))</f>
        <v/>
      </c>
      <c r="G5" s="15">
        <f>IF(F5="Mensuelle","monthly",IF(F5="Trimestrielle","quarterly",IF(F5="Semestrielle","semiannual","yearly")))</f>
        <v/>
      </c>
      <c r="H5" s="20">
        <f>ROUND(INDEX(Alertes!$G:$G,MATCH(A5,Alertes!$A:$A,0))/IF(F5="Mensuelle",12,IF(F5="Trimestrielle",4,IF(F5="Semestrielle",2,1))),2)</f>
        <v/>
      </c>
      <c r="I5" s="20">
        <f>ROUND(IF(INDEX(Baux!$J:$J,MATCH($A5,Baux!$A:$A,0))="",0,INDEX(Baux!$J:$J,MATCH($A5,Baux!$A:$A,0)))/IF(F5="Mensuelle",12,IF(F5="Trimestrielle",4,IF(F5="Semestrielle",2,1))),2)</f>
        <v/>
      </c>
      <c r="J5" s="15">
        <f>INDEX(Baux!$K:$K,MATCH($A5,Baux!$A:$A,0))</f>
        <v/>
      </c>
      <c r="K5" s="15">
        <f>IF(J5=20,"FR_200",IF(J5=10,"FR_100",IF(J5=5.5,"FR_55",IF(J5=2.1,"FR_21","exempt"))))</f>
        <v/>
      </c>
      <c r="L5" s="13">
        <f>DATE(YEAR(TODAY()),MONTH(TODAY())+1,1)</f>
        <v/>
      </c>
      <c r="M5" s="24">
        <f>"{""customer_id"": "&amp;C5&amp;", ""start"": """&amp;YEAR(L5)&amp;"-"&amp;TEXT(MONTH(L5),"00")&amp;"-"&amp;TEXT(DAY(L5),"00")&amp;""", ""currency"": ""EUR"", ""recurrence"": {""type"": """&amp;G5&amp;""", ""day_of_month"": 1}, ""invoice_lines"": [{""label"": """&amp;E5&amp;""", ""quantity"": 1, ""raw_currency_unit_price"": "&amp;SUBSTITUTE(TEXT(H5,"0.00"),",",".")&amp;", ""vat_rate"": """&amp;K5&amp;""""&amp;IF(D5&lt;&gt;"",", ""product_id"": "&amp;D5,"")&amp;"}"&amp;IF(I5&gt;0,", {""label"": ""Provision sur charges"", ""quantity"": 1, ""raw_currency_unit_price"": "&amp;SUBSTITUTE(TEXT(I5,"0.00"),",",".")&amp;", ""vat_rate"": """&amp;K5&amp;"""}","")&amp;"]}"</f>
        <v/>
      </c>
    </row>
    <row r="7">
      <c r="A7" s="2" t="inlineStr">
        <is>
          <t>Schéma indicatif : les noms de champs (recurrence, invoice_lines, raw_currency_unit_price, vat_rate) sont à valider contre https://pennylane.readme.io/reference/postbillingsubscriptions avant tout envoi. Le mapping est modifiable dans config/pennylane_mapping.json.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2026-09-09T20:59:29Z</dcterms:created>
  <dcterms:modified xsi:type="dcterms:W3CDTF">2026-09-09T20:59:29Z</dcterms:modified>
</cp:coreProperties>
</file>