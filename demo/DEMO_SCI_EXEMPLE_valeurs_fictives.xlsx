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Société" sheetId="2" state="visible" r:id="rId2"/>
    <sheet name="Baux" sheetId="3" state="visible" r:id="rId3"/>
    <sheet name="Indices" sheetId="4" state="visible" r:id="rId4"/>
    <sheet name="Révisions" sheetId="5" state="visible" r:id="rId5"/>
    <sheet name="Alertes" sheetId="6" state="visible" r:id="rId6"/>
    <sheet name="Pennylane" sheetId="7" state="visible" r:id="rId7"/>
    <sheet name="Indices_long" sheetId="8" state="hidden" r:id="rId8"/>
  </sheets>
  <definedNames>
    <definedName name="_xlnm._FilterDatabase" localSheetId="2" hidden="1">'Baux'!$A$1:$V$41</definedName>
    <definedName name="_xlnm._FilterDatabase" localSheetId="4" hidden="1">'Révisions'!$A$1:$AD$481</definedName>
    <definedName name="_xlnm._FilterDatabase" localSheetId="5" hidden="1">'Alertes'!$A$1:$O$41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\ &quot;€&quot;"/>
    <numFmt numFmtId="167" formatCode="0.000000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7F7F7F"/>
    </font>
    <font>
      <b val="1"/>
      <color rgb="00C00000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0" fillId="4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 wrapText="1"/>
    </xf>
    <xf numFmtId="0" fontId="0" fillId="4" borderId="1" pivotButton="0" quotePrefix="0" xfId="0"/>
    <xf numFmtId="165" fontId="0" fillId="4" borderId="1" pivotButton="0" quotePrefix="0" xfId="0"/>
    <xf numFmtId="165" fontId="0" fillId="0" borderId="1" pivotButton="0" quotePrefix="0" xfId="0"/>
    <xf numFmtId="166" fontId="0" fillId="4" borderId="1" pivotButton="0" quotePrefix="0" xfId="0"/>
    <xf numFmtId="0" fontId="0" fillId="0" borderId="1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/>
    </xf>
    <xf numFmtId="2" fontId="0" fillId="4" borderId="1" pivotButton="0" quotePrefix="0" xfId="0"/>
    <xf numFmtId="1" fontId="0" fillId="4" borderId="1" pivotButton="0" quotePrefix="0" xfId="0"/>
    <xf numFmtId="2" fontId="0" fillId="2" borderId="1" pivotButton="0" quotePrefix="0" xfId="0"/>
    <xf numFmtId="1" fontId="0" fillId="2" borderId="1" pivotButton="0" quotePrefix="0" xfId="0"/>
    <xf numFmtId="2" fontId="0" fillId="0" borderId="1" pivotButton="0" quotePrefix="0" xfId="0"/>
    <xf numFmtId="167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C00000"/>
      </font>
    </dxf>
    <dxf>
      <font>
        <b val="1"/>
        <color rgb="00C00000"/>
      </font>
      <fill>
        <patternFill patternType="solid">
          <fgColor rgb="00FFC7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b val="1"/>
        <color rgb="001F4E79"/>
      </font>
      <fill>
        <patternFill patternType="solid">
          <fgColor rgb="00DDEBF7"/>
        </patternFill>
      </fill>
    </dxf>
    <dxf>
      <font>
        <color rgb="00BFBFBF"/>
      </font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2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>
      <c r="B2" s="1" t="inlineStr">
        <is>
          <t>Suivi des réindexations de loyers – SCI EXEMPLE (DÉMO)</t>
        </is>
      </c>
    </row>
    <row r="3">
      <c r="B3" s="2" t="inlineStr">
        <is>
          <t>Modèle v0.2.0 généré le 09/09/2026 – capacité 40 baux × 12 révisions</t>
        </is>
      </c>
    </row>
    <row r="5">
      <c r="B5" s="3" t="inlineStr">
        <is>
          <t>⚠ CLASSEUR DE DÉMONSTRATION : indices et baux FICTIFS. Ne pas utiliser pour un calcul réel.</t>
        </is>
      </c>
      <c r="C5" s="4" t="n"/>
      <c r="D5" s="4" t="n"/>
      <c r="E5" s="4" t="n"/>
      <c r="F5" s="4" t="n"/>
    </row>
    <row r="7">
      <c r="B7" s="5" t="inlineStr">
        <is>
          <t>Derniers indices saisis (feuille Indices)</t>
        </is>
      </c>
    </row>
    <row r="8">
      <c r="B8" s="6" t="inlineStr">
        <is>
          <t>Série</t>
        </is>
      </c>
      <c r="C8" s="6" t="inlineStr">
        <is>
          <t>Dernier trimestre</t>
        </is>
      </c>
      <c r="D8" s="6" t="inlineStr">
        <is>
          <t>Valeur</t>
        </is>
      </c>
      <c r="E8" s="6" t="inlineStr">
        <is>
          <t>Variation annuelle</t>
        </is>
      </c>
    </row>
    <row r="9">
      <c r="B9" t="inlineStr">
        <is>
          <t>ILC – Indice des loyers commerciaux (ILC) - Base 100 au 1er trimestre 2008</t>
        </is>
      </c>
      <c r="C9">
        <f>IF(_xlfn.MAXIFS(Indices_long!$D:$D,Indices_long!$A:$A,"ILC")=0,"aucune valeur",INT((_xlfn.MAXIFS(Indices_long!$D:$D,Indices_long!$A:$A,"ILC")-1)/4)&amp;"-T"&amp;(_xlfn.MAXIFS(Indices_long!$D:$D,Indices_long!$A:$A,"ILC")-INT((_xlfn.MAXIFS(Indices_long!$D:$D,Indices_long!$A:$A,"ILC")-1)/4)*4))</f>
        <v/>
      </c>
      <c r="D9" s="7">
        <f>IF(_xlfn.MAXIFS(Indices_long!$D:$D,Indices_long!$A:$A,"ILC")=0,"",SUMIFS(Indices_long!$C:$C,Indices_long!$A:$A,"ILC",Indices_long!$D:$D,_xlfn.MAXIFS(Indices_long!$D:$D,Indices_long!$A:$A,"ILC")))</f>
        <v/>
      </c>
      <c r="E9" s="8">
        <f>IFERROR(D9/SUMIFS(Indices_long!$C:$C,Indices_long!$A:$A,"ILC",Indices_long!$D:$D,_xlfn.MAXIFS(Indices_long!$D:$D,Indices_long!$A:$A,"ILC")-4)-1,"")</f>
        <v/>
      </c>
    </row>
    <row r="10">
      <c r="B10" t="inlineStr">
        <is>
          <t>ILAT – Indice des loyers des activités tertiaires (ILAT) - Base 100 au 1er trimestre 2010</t>
        </is>
      </c>
      <c r="C10">
        <f>IF(_xlfn.MAXIFS(Indices_long!$D:$D,Indices_long!$A:$A,"ILAT")=0,"aucune valeur",INT((_xlfn.MAXIFS(Indices_long!$D:$D,Indices_long!$A:$A,"ILAT")-1)/4)&amp;"-T"&amp;(_xlfn.MAXIFS(Indices_long!$D:$D,Indices_long!$A:$A,"ILAT")-INT((_xlfn.MAXIFS(Indices_long!$D:$D,Indices_long!$A:$A,"ILAT")-1)/4)*4))</f>
        <v/>
      </c>
      <c r="D10" s="7">
        <f>IF(_xlfn.MAXIFS(Indices_long!$D:$D,Indices_long!$A:$A,"ILAT")=0,"",SUMIFS(Indices_long!$C:$C,Indices_long!$A:$A,"ILAT",Indices_long!$D:$D,_xlfn.MAXIFS(Indices_long!$D:$D,Indices_long!$A:$A,"ILAT")))</f>
        <v/>
      </c>
      <c r="E10" s="8">
        <f>IFERROR(D10/SUMIFS(Indices_long!$C:$C,Indices_long!$A:$A,"ILAT",Indices_long!$D:$D,_xlfn.MAXIFS(Indices_long!$D:$D,Indices_long!$A:$A,"ILAT")-4)-1,"")</f>
        <v/>
      </c>
    </row>
    <row r="11">
      <c r="B11" t="inlineStr">
        <is>
          <t>ICC – Indice du coût de la construction des immeubles à usage d'habitation (ICC) - Base 100 au 4e trimestre 1953</t>
        </is>
      </c>
      <c r="C11">
        <f>IF(_xlfn.MAXIFS(Indices_long!$D:$D,Indices_long!$A:$A,"ICC")=0,"aucune valeur",INT((_xlfn.MAXIFS(Indices_long!$D:$D,Indices_long!$A:$A,"ICC")-1)/4)&amp;"-T"&amp;(_xlfn.MAXIFS(Indices_long!$D:$D,Indices_long!$A:$A,"ICC")-INT((_xlfn.MAXIFS(Indices_long!$D:$D,Indices_long!$A:$A,"ICC")-1)/4)*4))</f>
        <v/>
      </c>
      <c r="D11" s="7">
        <f>IF(_xlfn.MAXIFS(Indices_long!$D:$D,Indices_long!$A:$A,"ICC")=0,"",SUMIFS(Indices_long!$C:$C,Indices_long!$A:$A,"ICC",Indices_long!$D:$D,_xlfn.MAXIFS(Indices_long!$D:$D,Indices_long!$A:$A,"ICC")))</f>
        <v/>
      </c>
      <c r="E11" s="8">
        <f>IFERROR(D11/SUMIFS(Indices_long!$C:$C,Indices_long!$A:$A,"ICC",Indices_long!$D:$D,_xlfn.MAXIFS(Indices_long!$D:$D,Indices_long!$A:$A,"ICC")-4)-1,"")</f>
        <v/>
      </c>
    </row>
    <row r="12">
      <c r="B12" t="inlineStr">
        <is>
          <t>IRL – Indice de référence des loyers (IRL) - Base 100 au 4e trimestre 1998</t>
        </is>
      </c>
      <c r="C12">
        <f>IF(_xlfn.MAXIFS(Indices_long!$D:$D,Indices_long!$A:$A,"IRL")=0,"aucune valeur",INT((_xlfn.MAXIFS(Indices_long!$D:$D,Indices_long!$A:$A,"IRL")-1)/4)&amp;"-T"&amp;(_xlfn.MAXIFS(Indices_long!$D:$D,Indices_long!$A:$A,"IRL")-INT((_xlfn.MAXIFS(Indices_long!$D:$D,Indices_long!$A:$A,"IRL")-1)/4)*4))</f>
        <v/>
      </c>
      <c r="D12" s="7">
        <f>IF(_xlfn.MAXIFS(Indices_long!$D:$D,Indices_long!$A:$A,"IRL")=0,"",SUMIFS(Indices_long!$C:$C,Indices_long!$A:$A,"IRL",Indices_long!$D:$D,_xlfn.MAXIFS(Indices_long!$D:$D,Indices_long!$A:$A,"IRL")))</f>
        <v/>
      </c>
      <c r="E12" s="8">
        <f>IFERROR(D12/SUMIFS(Indices_long!$C:$C,Indices_long!$A:$A,"IRL",Indices_long!$D:$D,_xlfn.MAXIFS(Indices_long!$D:$D,Indices_long!$A:$A,"IRL")-4)-1,"")</f>
        <v/>
      </c>
    </row>
    <row r="14">
      <c r="B14" s="5" t="inlineStr">
        <is>
          <t>Mode d'emploi</t>
        </is>
      </c>
    </row>
    <row r="15">
      <c r="B15" t="inlineStr">
        <is>
          <t>1. Feuille « Indices » : saisir les valeurs publiées par l'INSEE dans la grille (une ligne par année, une colonne par trimestre, un bloc par série). Rien d'autre à faire : tout le classeur se recalcule.</t>
        </is>
      </c>
    </row>
    <row r="16">
      <c r="B16" t="inlineStr">
        <is>
          <t>2. Feuille « Baux » : un local / bail par ligne, dans l'ordre d'arrivée (ne pas trier, ne pas insérer de ligne : les décisions de la feuille Révisions sont attachées à la position). Cellules jaunes = saisie. La colonne Contrôles doit afficher OK.</t>
        </is>
      </c>
    </row>
    <row r="17">
      <c r="B17" t="inlineStr">
        <is>
          <t>3. Feuille « Révisions » : les échéances du bail apparaissent dès la saisie. Statut ✔ Calculable = révision échue et indice connu : facturer, puis renseigner « Appliqué ? » et la date.</t>
        </is>
      </c>
    </row>
    <row r="18">
      <c r="B18" t="inlineStr">
        <is>
          <t xml:space="preserve">   Colonne « Décision » : vide ou Appliquer = révision appliquée ; « Geler – sans rattrapage » = le client renonce à la variation de l'année ; « Geler – rattrapage possible » = loyer inchangé mais la révision suivante repart de l'indice de la dernière révision appliquée.</t>
        </is>
      </c>
    </row>
    <row r="19">
      <c r="B19" t="inlineStr">
        <is>
          <t xml:space="preserve">   Colonne « Consigne (à faire) » : instruction libre du dossier (ex. « gel décidé le 12/03, courrier à envoyer, ne pas facturer »), reprise dans la feuille Alertes.</t>
        </is>
      </c>
    </row>
    <row r="20">
      <c r="B20" t="inlineStr">
        <is>
          <t>4. Feuille « Alertes » : pilotage par bail (loyer actuel, prochaine révision, indice publié ou non, action).</t>
        </is>
      </c>
    </row>
    <row r="21">
      <c r="B21" t="inlineStr">
        <is>
          <t>5. Feuille « Pennylane » : corps des abonnements de facturation, prêt pour l'automatisation ultérieure. Les réglages communs sont dans la feuille Société.</t>
        </is>
      </c>
    </row>
    <row r="22">
      <c r="B22" t="inlineStr">
        <is>
          <t>Trimestres : notation AAAA-Tn (2024-T2 = 2e trimestre 2024). Convention par défaut du trimestre de base : dernier indice publié à la prise d'effet (T-2) ; à caler sur la clause du bail.</t>
        </is>
      </c>
    </row>
    <row r="23">
      <c r="B23" t="inlineStr">
        <is>
          <t>Filtrer la feuille Révisions sur Actif = 1 pour masquer les échéances hors bail ; les lignes sans bail restent vides en bas de feuille.</t>
        </is>
      </c>
    </row>
    <row r="25">
      <c r="B25" s="5" t="inlineStr">
        <is>
          <t>Points de vigilance juridiques (à confirmer par le juriste du dossier)</t>
        </is>
      </c>
    </row>
    <row r="26">
      <c r="B26" t="inlineStr">
        <is>
          <t>• Depuis la loi Pinel (n° 2014-626 du 18 juin 2014), l'ILC et l'ILAT sont les indices de référence des baux commerciaux (art. L145-34 et L145-38 C. com.) ; l'ICC subsiste dans les clauses des baux antérieurs.</t>
        </is>
      </c>
    </row>
    <row r="27">
      <c r="B27" t="inlineStr">
        <is>
          <t>• Plafonnement légal de la variation de l'ILC à 3,5 % pour les PME (loi n° 2022-1158 du 16 août 2022, art. 14, puis prolongation) : période et champ à vérifier bail par bail ; utiliser la colonne « Plafond annuel (%) ».</t>
        </is>
      </c>
    </row>
    <row r="28">
      <c r="B28" t="inlineStr">
        <is>
          <t>• Une clause d'indexation ne jouant qu'à la hausse est réputée non écrite (art. L112-1 C. mon. fin. et jurisprudence Cass. 3e civ.) : le classeur applique la baisse si l'indice recule.</t>
        </is>
      </c>
    </row>
    <row r="29">
      <c r="B29" t="inlineStr">
        <is>
          <t>• Révision légale triennale (L145-38), déplafonnement et lissage : hors périmètre ; le classeur traite la clause d'échelle mobile contractuelle.</t>
        </is>
      </c>
    </row>
    <row r="30">
      <c r="B30" t="inlineStr">
        <is>
          <t>• Le renoncement du bailleur à une indexation (gel) est un acte de gestion à documenter (consigne, courrier) ; sa portée juridique n'est pas tranchée par l'outil.</t>
        </is>
      </c>
    </row>
    <row r="32">
      <c r="B32" s="2" t="inlineStr">
        <is>
          <t>Légende : fond jaune = saisie ; autres cellules = formules. Ne pas insérer ni supprimer de colonnes.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50" customWidth="1" min="2" max="2"/>
  </cols>
  <sheetData>
    <row r="1">
      <c r="A1" s="5" t="inlineStr">
        <is>
          <t>Raison sociale</t>
        </is>
      </c>
      <c r="B1" s="9" t="inlineStr">
        <is>
          <t>SCI EXEMPLE (DÉMO)</t>
        </is>
      </c>
    </row>
    <row r="2">
      <c r="A2" s="5" t="inlineStr">
        <is>
          <t>SIREN</t>
        </is>
      </c>
      <c r="B2" s="9" t="inlineStr">
        <is>
          <t>000000000</t>
        </is>
      </c>
    </row>
    <row r="3">
      <c r="A3" s="5" t="inlineStr">
        <is>
          <t>Forme</t>
        </is>
      </c>
      <c r="B3" s="9" t="inlineStr">
        <is>
          <t>SCI</t>
        </is>
      </c>
    </row>
    <row r="4">
      <c r="A4" s="5" t="inlineStr">
        <is>
          <t>Régime TVA des loyers</t>
        </is>
      </c>
      <c r="B4" s="9" t="inlineStr">
        <is>
          <t>Loyers soumis à TVA sur option (20 %)</t>
        </is>
      </c>
    </row>
    <row r="5">
      <c r="A5" s="5" t="inlineStr">
        <is>
          <t>Identifiant société Pennylane</t>
        </is>
      </c>
      <c r="B5" s="9" t="inlineStr"/>
    </row>
    <row r="6">
      <c r="A6" s="5" t="inlineStr">
        <is>
          <t>Contact cabinet</t>
        </is>
      </c>
      <c r="B6" s="9" t="inlineStr">
        <is>
          <t>cabinet – démonstration</t>
        </is>
      </c>
    </row>
    <row r="7">
      <c r="A7" s="5" t="inlineStr">
        <is>
          <t>Adresse du bailleur (courriers)</t>
        </is>
      </c>
      <c r="B7" s="9" t="inlineStr">
        <is>
          <t>1 place de la Bourse
75002 Paris</t>
        </is>
      </c>
    </row>
    <row r="8">
      <c r="A8" s="5" t="inlineStr">
        <is>
          <t>Signataire des courriers</t>
        </is>
      </c>
      <c r="B8" s="9" t="inlineStr">
        <is>
          <t>Mme Claire Exemple</t>
        </is>
      </c>
    </row>
    <row r="9">
      <c r="A9" s="5" t="inlineStr">
        <is>
          <t>Qualité du signataire</t>
        </is>
      </c>
      <c r="B9" s="9" t="inlineStr">
        <is>
          <t>Gérante</t>
        </is>
      </c>
    </row>
    <row r="10">
      <c r="A10" s="5" t="inlineStr">
        <is>
          <t>Ville de signature</t>
        </is>
      </c>
      <c r="B10" s="9" t="inlineStr">
        <is>
          <t>Paris</t>
        </is>
      </c>
    </row>
    <row r="11">
      <c r="A11" s="5" t="inlineStr">
        <is>
          <t>Pennylane – mode des factures</t>
        </is>
      </c>
      <c r="B11" s="9" t="inlineStr">
        <is>
          <t>awaiting_validation</t>
        </is>
      </c>
    </row>
    <row r="12">
      <c r="A12" s="5" t="inlineStr">
        <is>
          <t>Pennylane – conditions de paiement</t>
        </is>
      </c>
      <c r="B12" s="9" t="inlineStr">
        <is>
          <t>upon_receipt</t>
        </is>
      </c>
    </row>
    <row r="13">
      <c r="A13" s="5" t="inlineStr">
        <is>
          <t>Pennylane – moyen de paiement</t>
        </is>
      </c>
      <c r="B13" s="9" t="inlineStr">
        <is>
          <t>offline</t>
        </is>
      </c>
    </row>
    <row r="14">
      <c r="A14" s="5" t="inlineStr">
        <is>
          <t>Date de génération</t>
        </is>
      </c>
      <c r="B14" s="10" t="n">
        <v>46274</v>
      </c>
    </row>
    <row r="15">
      <c r="A15" s="5" t="inlineStr">
        <is>
          <t>Mode démonstration</t>
        </is>
      </c>
      <c r="B15" s="11" t="inlineStr">
        <is>
          <t>OUI</t>
        </is>
      </c>
    </row>
    <row r="16">
      <c r="A16" s="5" t="inlineStr">
        <is>
          <t>Capacité – baux</t>
        </is>
      </c>
      <c r="B16" s="11" t="n">
        <v>40</v>
      </c>
    </row>
    <row r="17">
      <c r="A17" s="5" t="inlineStr">
        <is>
          <t>Capacité – révisions par bail</t>
        </is>
      </c>
      <c r="B17" s="11" t="n">
        <v>12</v>
      </c>
    </row>
    <row r="18">
      <c r="A18" s="5" t="inlineStr">
        <is>
          <t>Version du modèle</t>
        </is>
      </c>
      <c r="B18" s="11" t="inlineStr">
        <is>
          <t>0.2.0</t>
        </is>
      </c>
    </row>
  </sheetData>
  <dataValidations count="3">
    <dataValidation sqref="B11" showDropDown="0" showInputMessage="0" showErrorMessage="0" allowBlank="0" type="list">
      <formula1>"awaiting_validation,finalized"</formula1>
    </dataValidation>
    <dataValidation sqref="B12" showDropDown="0" showInputMessage="0" showErrorMessage="0" allowBlank="0" type="list">
      <formula1>"upon_receipt,7_days,15_days,30_days,30_days_end_of_month,45_days,45_days_end_of_month,60_days"</formula1>
    </dataValidation>
    <dataValidation sqref="B13" showDropDown="0" showInputMessage="0" showErrorMessage="0" allowBlank="0" type="list">
      <formula1>"offline,gocardless_direct_debit,pro_account_sepa_core"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30" customWidth="1" min="4" max="4"/>
    <col width="13" customWidth="1" min="5" max="5"/>
    <col width="13" customWidth="1" min="6" max="6"/>
    <col width="8" customWidth="1" min="7" max="7"/>
    <col width="13" customWidth="1" min="8" max="8"/>
    <col width="15" customWidth="1" min="9" max="9"/>
    <col width="13" customWidth="1" min="10" max="10"/>
    <col width="7" customWidth="1" min="11" max="11"/>
    <col width="15" customWidth="1" min="12" max="12"/>
    <col width="7" customWidth="1" min="13" max="13"/>
    <col width="12" customWidth="1" min="14" max="14"/>
    <col width="11" customWidth="1" min="15" max="15"/>
    <col width="11" customWidth="1" min="16" max="16"/>
    <col width="12" customWidth="1" min="17" max="17"/>
    <col width="13" customWidth="1" min="18" max="18"/>
    <col width="13" customWidth="1" min="19" max="19"/>
    <col width="13" customWidth="1" min="20" max="20"/>
    <col width="30" customWidth="1" min="21" max="21"/>
    <col width="44" customWidth="1" min="22" max="22"/>
  </cols>
  <sheetData>
    <row r="1" ht="42" customHeight="1">
      <c r="A1" s="12" t="inlineStr">
        <is>
          <t>ID bail</t>
        </is>
      </c>
      <c r="B1" s="12" t="inlineStr">
        <is>
          <t>Local (désignation / adresse)</t>
        </is>
      </c>
      <c r="C1" s="12" t="inlineStr">
        <is>
          <t>Locataire</t>
        </is>
      </c>
      <c r="D1" s="12" t="inlineStr">
        <is>
          <t>Adresse du locataire (courrier)</t>
        </is>
      </c>
      <c r="E1" s="12" t="inlineStr">
        <is>
          <t>Type de bail</t>
        </is>
      </c>
      <c r="F1" s="12" t="inlineStr">
        <is>
          <t>Date de prise d'effet</t>
        </is>
      </c>
      <c r="G1" s="12" t="inlineStr">
        <is>
          <t>Durée (ans)</t>
        </is>
      </c>
      <c r="H1" s="12" t="inlineStr">
        <is>
          <t>Date de fin</t>
        </is>
      </c>
      <c r="I1" s="12" t="inlineStr">
        <is>
          <t>Loyer initial annuel HT</t>
        </is>
      </c>
      <c r="J1" s="12" t="inlineStr">
        <is>
          <t>Charges annuelles HT</t>
        </is>
      </c>
      <c r="K1" s="12" t="inlineStr">
        <is>
          <t>TVA (%)</t>
        </is>
      </c>
      <c r="L1" s="12" t="inlineStr">
        <is>
          <t>Périodicité de facturation</t>
        </is>
      </c>
      <c r="M1" s="12" t="inlineStr">
        <is>
          <t>Indice</t>
        </is>
      </c>
      <c r="N1" s="12" t="inlineStr">
        <is>
          <t>Trimestre indice de base</t>
        </is>
      </c>
      <c r="O1" s="12" t="inlineStr">
        <is>
          <t>Périodicité de révision (ans)</t>
        </is>
      </c>
      <c r="P1" s="12" t="inlineStr">
        <is>
          <t>Méthode</t>
        </is>
      </c>
      <c r="Q1" s="12" t="inlineStr">
        <is>
          <t>Plafond annuel (%) – optionnel</t>
        </is>
      </c>
      <c r="R1" s="12" t="inlineStr">
        <is>
          <t>Pennylane customer_id</t>
        </is>
      </c>
      <c r="S1" s="12" t="inlineStr">
        <is>
          <t>Pennylane product_id</t>
        </is>
      </c>
      <c r="T1" s="12" t="inlineStr">
        <is>
          <t>Pennylane subscription_id</t>
        </is>
      </c>
      <c r="U1" s="12" t="inlineStr">
        <is>
          <t>Notes</t>
        </is>
      </c>
      <c r="V1" s="12" t="inlineStr">
        <is>
          <t>Contrôles</t>
        </is>
      </c>
    </row>
    <row r="2">
      <c r="A2" s="13" t="inlineStr">
        <is>
          <t>B01</t>
        </is>
      </c>
      <c r="B2" s="13" t="inlineStr">
        <is>
          <t>Boutique 12 rue de la Paix</t>
        </is>
      </c>
      <c r="C2" s="13" t="inlineStr">
        <is>
          <t>Boulangerie Dupont SAS</t>
        </is>
      </c>
      <c r="D2" s="13" t="inlineStr">
        <is>
          <t>12 rue de la Paix
75002 Paris</t>
        </is>
      </c>
      <c r="E2" s="13" t="inlineStr">
        <is>
          <t>Commercial</t>
        </is>
      </c>
      <c r="F2" s="14" t="n">
        <v>44287</v>
      </c>
      <c r="G2" s="13" t="n">
        <v>9</v>
      </c>
      <c r="H2" s="15">
        <f>IF(OR(F2="",G2=""),"",EDATE(F2,12*G2))</f>
        <v/>
      </c>
      <c r="I2" s="16" t="n">
        <v>24000</v>
      </c>
      <c r="J2" s="16" t="n">
        <v>2400</v>
      </c>
      <c r="K2" s="13" t="n">
        <v>20</v>
      </c>
      <c r="L2" s="13" t="inlineStr">
        <is>
          <t>Mensuelle</t>
        </is>
      </c>
      <c r="M2" s="13" t="inlineStr">
        <is>
          <t>ILC</t>
        </is>
      </c>
      <c r="N2" s="13" t="inlineStr">
        <is>
          <t>2020-T4</t>
        </is>
      </c>
      <c r="O2" s="13" t="n">
        <v>1</v>
      </c>
      <c r="P2" s="13" t="inlineStr">
        <is>
          <t>Chaînée</t>
        </is>
      </c>
      <c r="Q2" s="13" t="n"/>
      <c r="R2" s="13" t="inlineStr">
        <is>
          <t>100001</t>
        </is>
      </c>
      <c r="S2" s="13" t="n"/>
      <c r="T2" s="13" t="n"/>
      <c r="U2" s="13" t="inlineStr">
        <is>
          <t>Clause d'échelle mobile annuelle, ILC même trimestre</t>
        </is>
      </c>
      <c r="V2" s="17">
        <f>IF(A2="","",IF(AND(F2&lt;&gt;"",ISNUMBER(I2),M2&lt;&gt;"",LEN(N2)=7,SUMIFS(Indices_long!$C:$C,Indices_long!$A:$A,M2,Indices_long!$B:$B,N2)&gt;0,COUNTIF($A$2:$A$41,A2)=1,OR(Q2="",ISNUMBER(Q2))),"OK",TRIM(IF(F2="","Date d'effet manquante. ","")&amp;IF(NOT(ISNUMBER(I2)),"Loyer initial manquant. ","")&amp;IF(M2="","Indice manquant. ","")&amp;IF(LEN(N2)&lt;&gt;7,"Trimestre de base au format AAAA-Tn. ","")&amp;IF(AND(LEN(N2)=7,M2&lt;&gt;"",NOT(SUMIFS(Indices_long!$C:$C,Indices_long!$A:$A,M2,Indices_long!$B:$B,N2)&gt;0)),"Indice de base "&amp;N2&amp;" non saisi dans Indices. ","")&amp;IF(COUNTIF($A$2:$A$41,A2)&gt;1,"ID bail en doublon. ","")&amp;IF(AND(Q2&lt;&gt;"",NOT(ISNUMBER(Q2))),"Plafond non numérique. ",""))))</f>
        <v/>
      </c>
    </row>
    <row r="3">
      <c r="A3" s="13" t="inlineStr">
        <is>
          <t>B02</t>
        </is>
      </c>
      <c r="B3" s="13" t="inlineStr">
        <is>
          <t>Bureaux 2e étage – 8 av. Foch</t>
        </is>
      </c>
      <c r="C3" s="13" t="inlineStr">
        <is>
          <t>Cabinet Martin (SELARL)</t>
        </is>
      </c>
      <c r="D3" s="13" t="n"/>
      <c r="E3" s="13" t="inlineStr">
        <is>
          <t>Commercial</t>
        </is>
      </c>
      <c r="F3" s="14" t="n">
        <v>44835</v>
      </c>
      <c r="G3" s="13" t="n">
        <v>9</v>
      </c>
      <c r="H3" s="15">
        <f>IF(OR(F3="",G3=""),"",EDATE(F3,12*G3))</f>
        <v/>
      </c>
      <c r="I3" s="16" t="n">
        <v>36000</v>
      </c>
      <c r="J3" s="16" t="n">
        <v>0</v>
      </c>
      <c r="K3" s="13" t="n">
        <v>20</v>
      </c>
      <c r="L3" s="13" t="inlineStr">
        <is>
          <t>Trimestrielle</t>
        </is>
      </c>
      <c r="M3" s="13" t="inlineStr">
        <is>
          <t>ILAT</t>
        </is>
      </c>
      <c r="N3" s="13" t="inlineStr">
        <is>
          <t>2022-T2</t>
        </is>
      </c>
      <c r="O3" s="13" t="n">
        <v>3</v>
      </c>
      <c r="P3" s="13" t="inlineStr">
        <is>
          <t>Base fixe</t>
        </is>
      </c>
      <c r="Q3" s="13" t="n"/>
      <c r="R3" s="13" t="inlineStr">
        <is>
          <t>100002</t>
        </is>
      </c>
      <c r="S3" s="13" t="n"/>
      <c r="T3" s="13" t="n"/>
      <c r="U3" s="13" t="inlineStr">
        <is>
          <t>Révision triennale indexée ILAT, indice de base fixe</t>
        </is>
      </c>
      <c r="V3" s="17">
        <f>IF(A3="","",IF(AND(F3&lt;&gt;"",ISNUMBER(I3),M3&lt;&gt;"",LEN(N3)=7,SUMIFS(Indices_long!$C:$C,Indices_long!$A:$A,M3,Indices_long!$B:$B,N3)&gt;0,COUNTIF($A$2:$A$41,A3)=1,OR(Q3="",ISNUMBER(Q3))),"OK",TRIM(IF(F3="","Date d'effet manquante. ","")&amp;IF(NOT(ISNUMBER(I3)),"Loyer initial manquant. ","")&amp;IF(M3="","Indice manquant. ","")&amp;IF(LEN(N3)&lt;&gt;7,"Trimestre de base au format AAAA-Tn. ","")&amp;IF(AND(LEN(N3)=7,M3&lt;&gt;"",NOT(SUMIFS(Indices_long!$C:$C,Indices_long!$A:$A,M3,Indices_long!$B:$B,N3)&gt;0)),"Indice de base "&amp;N3&amp;" non saisi dans Indices. ","")&amp;IF(COUNTIF($A$2:$A$41,A3)&gt;1,"ID bail en doublon. ","")&amp;IF(AND(Q3&lt;&gt;"",NOT(ISNUMBER(Q3))),"Plafond non numérique. ",""))))</f>
        <v/>
      </c>
    </row>
    <row r="4">
      <c r="A4" s="13" t="inlineStr">
        <is>
          <t>B03</t>
        </is>
      </c>
      <c r="B4" s="13" t="inlineStr">
        <is>
          <t>Entrepôt ZA des Landes</t>
        </is>
      </c>
      <c r="C4" s="13" t="inlineStr">
        <is>
          <t>Logistix SARL</t>
        </is>
      </c>
      <c r="D4" s="13" t="n"/>
      <c r="E4" s="13" t="inlineStr">
        <is>
          <t>Commercial</t>
        </is>
      </c>
      <c r="F4" s="14" t="n">
        <v>43480</v>
      </c>
      <c r="G4" s="13" t="n">
        <v>9</v>
      </c>
      <c r="H4" s="15">
        <f>IF(OR(F4="",G4=""),"",EDATE(F4,12*G4))</f>
        <v/>
      </c>
      <c r="I4" s="16" t="n">
        <v>60000</v>
      </c>
      <c r="J4" s="16" t="n">
        <v>6000</v>
      </c>
      <c r="K4" s="13" t="n">
        <v>20</v>
      </c>
      <c r="L4" s="13" t="inlineStr">
        <is>
          <t>Trimestrielle</t>
        </is>
      </c>
      <c r="M4" s="13" t="inlineStr">
        <is>
          <t>ICC</t>
        </is>
      </c>
      <c r="N4" s="13" t="inlineStr">
        <is>
          <t>2018-T3</t>
        </is>
      </c>
      <c r="O4" s="13" t="n">
        <v>1</v>
      </c>
      <c r="P4" s="13" t="inlineStr">
        <is>
          <t>Chaînée</t>
        </is>
      </c>
      <c r="Q4" s="13" t="n">
        <v>3.5</v>
      </c>
      <c r="R4" s="13" t="n"/>
      <c r="S4" s="13" t="n"/>
      <c r="T4" s="13" t="n"/>
      <c r="U4" s="13" t="inlineStr">
        <is>
          <t>Bail antérieur à 2014 renouvelé, clause ICC ; plafond contractuel 3,5 %</t>
        </is>
      </c>
      <c r="V4" s="17">
        <f>IF(A4="","",IF(AND(F4&lt;&gt;"",ISNUMBER(I4),M4&lt;&gt;"",LEN(N4)=7,SUMIFS(Indices_long!$C:$C,Indices_long!$A:$A,M4,Indices_long!$B:$B,N4)&gt;0,COUNTIF($A$2:$A$41,A4)=1,OR(Q4="",ISNUMBER(Q4))),"OK",TRIM(IF(F4="","Date d'effet manquante. ","")&amp;IF(NOT(ISNUMBER(I4)),"Loyer initial manquant. ","")&amp;IF(M4="","Indice manquant. ","")&amp;IF(LEN(N4)&lt;&gt;7,"Trimestre de base au format AAAA-Tn. ","")&amp;IF(AND(LEN(N4)=7,M4&lt;&gt;"",NOT(SUMIFS(Indices_long!$C:$C,Indices_long!$A:$A,M4,Indices_long!$B:$B,N4)&gt;0)),"Indice de base "&amp;N4&amp;" non saisi dans Indices. ","")&amp;IF(COUNTIF($A$2:$A$41,A4)&gt;1,"ID bail en doublon. ","")&amp;IF(AND(Q4&lt;&gt;"",NOT(ISNUMBER(Q4))),"Plafond non numérique. ",""))))</f>
        <v/>
      </c>
    </row>
    <row r="5">
      <c r="A5" s="13" t="inlineStr">
        <is>
          <t>B04</t>
        </is>
      </c>
      <c r="B5" s="13" t="inlineStr">
        <is>
          <t>Local 45 bd Haussmann</t>
        </is>
      </c>
      <c r="C5" s="13" t="inlineStr">
        <is>
          <t>Nouveau preneur (à compléter)</t>
        </is>
      </c>
      <c r="D5" s="13" t="n"/>
      <c r="E5" s="13" t="inlineStr">
        <is>
          <t>Commercial</t>
        </is>
      </c>
      <c r="F5" s="14" t="n">
        <v>45839</v>
      </c>
      <c r="G5" s="13" t="n">
        <v>9</v>
      </c>
      <c r="H5" s="15">
        <f>IF(OR(F5="",G5=""),"",EDATE(F5,12*G5))</f>
        <v/>
      </c>
      <c r="I5" s="16" t="n">
        <v>18000</v>
      </c>
      <c r="J5" s="16" t="n">
        <v>0</v>
      </c>
      <c r="K5" s="13" t="n">
        <v>20</v>
      </c>
      <c r="L5" s="13" t="inlineStr">
        <is>
          <t>Mensuelle</t>
        </is>
      </c>
      <c r="M5" s="13" t="inlineStr">
        <is>
          <t>ILC</t>
        </is>
      </c>
      <c r="N5" s="13" t="inlineStr">
        <is>
          <t>2025-T1</t>
        </is>
      </c>
      <c r="O5" s="13" t="n">
        <v>1</v>
      </c>
      <c r="P5" s="13" t="inlineStr">
        <is>
          <t>Chaînée</t>
        </is>
      </c>
      <c r="Q5" s="13" t="n"/>
      <c r="R5" s="13" t="n"/>
      <c r="S5" s="13" t="n"/>
      <c r="T5" s="13" t="n"/>
      <c r="U5" s="13" t="inlineStr">
        <is>
          <t>customer_id Pennylane à créer</t>
        </is>
      </c>
      <c r="V5" s="17">
        <f>IF(A5="","",IF(AND(F5&lt;&gt;"",ISNUMBER(I5),M5&lt;&gt;"",LEN(N5)=7,SUMIFS(Indices_long!$C:$C,Indices_long!$A:$A,M5,Indices_long!$B:$B,N5)&gt;0,COUNTIF($A$2:$A$41,A5)=1,OR(Q5="",ISNUMBER(Q5))),"OK",TRIM(IF(F5="","Date d'effet manquante. ","")&amp;IF(NOT(ISNUMBER(I5)),"Loyer initial manquant. ","")&amp;IF(M5="","Indice manquant. ","")&amp;IF(LEN(N5)&lt;&gt;7,"Trimestre de base au format AAAA-Tn. ","")&amp;IF(AND(LEN(N5)=7,M5&lt;&gt;"",NOT(SUMIFS(Indices_long!$C:$C,Indices_long!$A:$A,M5,Indices_long!$B:$B,N5)&gt;0)),"Indice de base "&amp;N5&amp;" non saisi dans Indices. ","")&amp;IF(COUNTIF($A$2:$A$41,A5)&gt;1,"ID bail en doublon. ","")&amp;IF(AND(Q5&lt;&gt;"",NOT(ISNUMBER(Q5))),"Plafond non numérique. ",""))))</f>
        <v/>
      </c>
    </row>
    <row r="6">
      <c r="A6" s="13" t="n"/>
      <c r="B6" s="13" t="n"/>
      <c r="C6" s="13" t="n"/>
      <c r="D6" s="13" t="n"/>
      <c r="E6" s="13" t="n"/>
      <c r="F6" s="14" t="n"/>
      <c r="G6" s="13" t="n"/>
      <c r="H6" s="15">
        <f>IF(OR(F6="",G6=""),"",EDATE(F6,12*G6))</f>
        <v/>
      </c>
      <c r="I6" s="16" t="n"/>
      <c r="J6" s="16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7">
        <f>IF(A6="","",IF(AND(F6&lt;&gt;"",ISNUMBER(I6),M6&lt;&gt;"",LEN(N6)=7,SUMIFS(Indices_long!$C:$C,Indices_long!$A:$A,M6,Indices_long!$B:$B,N6)&gt;0,COUNTIF($A$2:$A$41,A6)=1,OR(Q6="",ISNUMBER(Q6))),"OK",TRIM(IF(F6="","Date d'effet manquante. ","")&amp;IF(NOT(ISNUMBER(I6)),"Loyer initial manquant. ","")&amp;IF(M6="","Indice manquant. ","")&amp;IF(LEN(N6)&lt;&gt;7,"Trimestre de base au format AAAA-Tn. ","")&amp;IF(AND(LEN(N6)=7,M6&lt;&gt;"",NOT(SUMIFS(Indices_long!$C:$C,Indices_long!$A:$A,M6,Indices_long!$B:$B,N6)&gt;0)),"Indice de base "&amp;N6&amp;" non saisi dans Indices. ","")&amp;IF(COUNTIF($A$2:$A$41,A6)&gt;1,"ID bail en doublon. ","")&amp;IF(AND(Q6&lt;&gt;"",NOT(ISNUMBER(Q6))),"Plafond non numérique. ",""))))</f>
        <v/>
      </c>
    </row>
    <row r="7">
      <c r="A7" s="13" t="n"/>
      <c r="B7" s="13" t="n"/>
      <c r="C7" s="13" t="n"/>
      <c r="D7" s="13" t="n"/>
      <c r="E7" s="13" t="n"/>
      <c r="F7" s="14" t="n"/>
      <c r="G7" s="13" t="n"/>
      <c r="H7" s="15">
        <f>IF(OR(F7="",G7=""),"",EDATE(F7,12*G7))</f>
        <v/>
      </c>
      <c r="I7" s="16" t="n"/>
      <c r="J7" s="16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7">
        <f>IF(A7="","",IF(AND(F7&lt;&gt;"",ISNUMBER(I7),M7&lt;&gt;"",LEN(N7)=7,SUMIFS(Indices_long!$C:$C,Indices_long!$A:$A,M7,Indices_long!$B:$B,N7)&gt;0,COUNTIF($A$2:$A$41,A7)=1,OR(Q7="",ISNUMBER(Q7))),"OK",TRIM(IF(F7="","Date d'effet manquante. ","")&amp;IF(NOT(ISNUMBER(I7)),"Loyer initial manquant. ","")&amp;IF(M7="","Indice manquant. ","")&amp;IF(LEN(N7)&lt;&gt;7,"Trimestre de base au format AAAA-Tn. ","")&amp;IF(AND(LEN(N7)=7,M7&lt;&gt;"",NOT(SUMIFS(Indices_long!$C:$C,Indices_long!$A:$A,M7,Indices_long!$B:$B,N7)&gt;0)),"Indice de base "&amp;N7&amp;" non saisi dans Indices. ","")&amp;IF(COUNTIF($A$2:$A$41,A7)&gt;1,"ID bail en doublon. ","")&amp;IF(AND(Q7&lt;&gt;"",NOT(ISNUMBER(Q7))),"Plafond non numérique. ",""))))</f>
        <v/>
      </c>
    </row>
    <row r="8">
      <c r="A8" s="13" t="n"/>
      <c r="B8" s="13" t="n"/>
      <c r="C8" s="13" t="n"/>
      <c r="D8" s="13" t="n"/>
      <c r="E8" s="13" t="n"/>
      <c r="F8" s="14" t="n"/>
      <c r="G8" s="13" t="n"/>
      <c r="H8" s="15">
        <f>IF(OR(F8="",G8=""),"",EDATE(F8,12*G8))</f>
        <v/>
      </c>
      <c r="I8" s="16" t="n"/>
      <c r="J8" s="16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7">
        <f>IF(A8="","",IF(AND(F8&lt;&gt;"",ISNUMBER(I8),M8&lt;&gt;"",LEN(N8)=7,SUMIFS(Indices_long!$C:$C,Indices_long!$A:$A,M8,Indices_long!$B:$B,N8)&gt;0,COUNTIF($A$2:$A$41,A8)=1,OR(Q8="",ISNUMBER(Q8))),"OK",TRIM(IF(F8="","Date d'effet manquante. ","")&amp;IF(NOT(ISNUMBER(I8)),"Loyer initial manquant. ","")&amp;IF(M8="","Indice manquant. ","")&amp;IF(LEN(N8)&lt;&gt;7,"Trimestre de base au format AAAA-Tn. ","")&amp;IF(AND(LEN(N8)=7,M8&lt;&gt;"",NOT(SUMIFS(Indices_long!$C:$C,Indices_long!$A:$A,M8,Indices_long!$B:$B,N8)&gt;0)),"Indice de base "&amp;N8&amp;" non saisi dans Indices. ","")&amp;IF(COUNTIF($A$2:$A$41,A8)&gt;1,"ID bail en doublon. ","")&amp;IF(AND(Q8&lt;&gt;"",NOT(ISNUMBER(Q8))),"Plafond non numérique. ",""))))</f>
        <v/>
      </c>
    </row>
    <row r="9">
      <c r="A9" s="13" t="n"/>
      <c r="B9" s="13" t="n"/>
      <c r="C9" s="13" t="n"/>
      <c r="D9" s="13" t="n"/>
      <c r="E9" s="13" t="n"/>
      <c r="F9" s="14" t="n"/>
      <c r="G9" s="13" t="n"/>
      <c r="H9" s="15">
        <f>IF(OR(F9="",G9=""),"",EDATE(F9,12*G9))</f>
        <v/>
      </c>
      <c r="I9" s="16" t="n"/>
      <c r="J9" s="16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7">
        <f>IF(A9="","",IF(AND(F9&lt;&gt;"",ISNUMBER(I9),M9&lt;&gt;"",LEN(N9)=7,SUMIFS(Indices_long!$C:$C,Indices_long!$A:$A,M9,Indices_long!$B:$B,N9)&gt;0,COUNTIF($A$2:$A$41,A9)=1,OR(Q9="",ISNUMBER(Q9))),"OK",TRIM(IF(F9="","Date d'effet manquante. ","")&amp;IF(NOT(ISNUMBER(I9)),"Loyer initial manquant. ","")&amp;IF(M9="","Indice manquant. ","")&amp;IF(LEN(N9)&lt;&gt;7,"Trimestre de base au format AAAA-Tn. ","")&amp;IF(AND(LEN(N9)=7,M9&lt;&gt;"",NOT(SUMIFS(Indices_long!$C:$C,Indices_long!$A:$A,M9,Indices_long!$B:$B,N9)&gt;0)),"Indice de base "&amp;N9&amp;" non saisi dans Indices. ","")&amp;IF(COUNTIF($A$2:$A$41,A9)&gt;1,"ID bail en doublon. ","")&amp;IF(AND(Q9&lt;&gt;"",NOT(ISNUMBER(Q9))),"Plafond non numérique. ",""))))</f>
        <v/>
      </c>
    </row>
    <row r="10">
      <c r="A10" s="13" t="n"/>
      <c r="B10" s="13" t="n"/>
      <c r="C10" s="13" t="n"/>
      <c r="D10" s="13" t="n"/>
      <c r="E10" s="13" t="n"/>
      <c r="F10" s="14" t="n"/>
      <c r="G10" s="13" t="n"/>
      <c r="H10" s="15">
        <f>IF(OR(F10="",G10=""),"",EDATE(F10,12*G10))</f>
        <v/>
      </c>
      <c r="I10" s="16" t="n"/>
      <c r="J10" s="16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7">
        <f>IF(A10="","",IF(AND(F10&lt;&gt;"",ISNUMBER(I10),M10&lt;&gt;"",LEN(N10)=7,SUMIFS(Indices_long!$C:$C,Indices_long!$A:$A,M10,Indices_long!$B:$B,N10)&gt;0,COUNTIF($A$2:$A$41,A10)=1,OR(Q10="",ISNUMBER(Q10))),"OK",TRIM(IF(F10="","Date d'effet manquante. ","")&amp;IF(NOT(ISNUMBER(I10)),"Loyer initial manquant. ","")&amp;IF(M10="","Indice manquant. ","")&amp;IF(LEN(N10)&lt;&gt;7,"Trimestre de base au format AAAA-Tn. ","")&amp;IF(AND(LEN(N10)=7,M10&lt;&gt;"",NOT(SUMIFS(Indices_long!$C:$C,Indices_long!$A:$A,M10,Indices_long!$B:$B,N10)&gt;0)),"Indice de base "&amp;N10&amp;" non saisi dans Indices. ","")&amp;IF(COUNTIF($A$2:$A$41,A10)&gt;1,"ID bail en doublon. ","")&amp;IF(AND(Q10&lt;&gt;"",NOT(ISNUMBER(Q10))),"Plafond non numérique. ",""))))</f>
        <v/>
      </c>
    </row>
    <row r="11">
      <c r="A11" s="13" t="n"/>
      <c r="B11" s="13" t="n"/>
      <c r="C11" s="13" t="n"/>
      <c r="D11" s="13" t="n"/>
      <c r="E11" s="13" t="n"/>
      <c r="F11" s="14" t="n"/>
      <c r="G11" s="13" t="n"/>
      <c r="H11" s="15">
        <f>IF(OR(F11="",G11=""),"",EDATE(F11,12*G11))</f>
        <v/>
      </c>
      <c r="I11" s="16" t="n"/>
      <c r="J11" s="16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7">
        <f>IF(A11="","",IF(AND(F11&lt;&gt;"",ISNUMBER(I11),M11&lt;&gt;"",LEN(N11)=7,SUMIFS(Indices_long!$C:$C,Indices_long!$A:$A,M11,Indices_long!$B:$B,N11)&gt;0,COUNTIF($A$2:$A$41,A11)=1,OR(Q11="",ISNUMBER(Q11))),"OK",TRIM(IF(F11="","Date d'effet manquante. ","")&amp;IF(NOT(ISNUMBER(I11)),"Loyer initial manquant. ","")&amp;IF(M11="","Indice manquant. ","")&amp;IF(LEN(N11)&lt;&gt;7,"Trimestre de base au format AAAA-Tn. ","")&amp;IF(AND(LEN(N11)=7,M11&lt;&gt;"",NOT(SUMIFS(Indices_long!$C:$C,Indices_long!$A:$A,M11,Indices_long!$B:$B,N11)&gt;0)),"Indice de base "&amp;N11&amp;" non saisi dans Indices. ","")&amp;IF(COUNTIF($A$2:$A$41,A11)&gt;1,"ID bail en doublon. ","")&amp;IF(AND(Q11&lt;&gt;"",NOT(ISNUMBER(Q11))),"Plafond non numérique. ",""))))</f>
        <v/>
      </c>
    </row>
    <row r="12">
      <c r="A12" s="13" t="n"/>
      <c r="B12" s="13" t="n"/>
      <c r="C12" s="13" t="n"/>
      <c r="D12" s="13" t="n"/>
      <c r="E12" s="13" t="n"/>
      <c r="F12" s="14" t="n"/>
      <c r="G12" s="13" t="n"/>
      <c r="H12" s="15">
        <f>IF(OR(F12="",G12=""),"",EDATE(F12,12*G12))</f>
        <v/>
      </c>
      <c r="I12" s="16" t="n"/>
      <c r="J12" s="16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7">
        <f>IF(A12="","",IF(AND(F12&lt;&gt;"",ISNUMBER(I12),M12&lt;&gt;"",LEN(N12)=7,SUMIFS(Indices_long!$C:$C,Indices_long!$A:$A,M12,Indices_long!$B:$B,N12)&gt;0,COUNTIF($A$2:$A$41,A12)=1,OR(Q12="",ISNUMBER(Q12))),"OK",TRIM(IF(F12="","Date d'effet manquante. ","")&amp;IF(NOT(ISNUMBER(I12)),"Loyer initial manquant. ","")&amp;IF(M12="","Indice manquant. ","")&amp;IF(LEN(N12)&lt;&gt;7,"Trimestre de base au format AAAA-Tn. ","")&amp;IF(AND(LEN(N12)=7,M12&lt;&gt;"",NOT(SUMIFS(Indices_long!$C:$C,Indices_long!$A:$A,M12,Indices_long!$B:$B,N12)&gt;0)),"Indice de base "&amp;N12&amp;" non saisi dans Indices. ","")&amp;IF(COUNTIF($A$2:$A$41,A12)&gt;1,"ID bail en doublon. ","")&amp;IF(AND(Q12&lt;&gt;"",NOT(ISNUMBER(Q12))),"Plafond non numérique. ",""))))</f>
        <v/>
      </c>
    </row>
    <row r="13">
      <c r="A13" s="13" t="n"/>
      <c r="B13" s="13" t="n"/>
      <c r="C13" s="13" t="n"/>
      <c r="D13" s="13" t="n"/>
      <c r="E13" s="13" t="n"/>
      <c r="F13" s="14" t="n"/>
      <c r="G13" s="13" t="n"/>
      <c r="H13" s="15">
        <f>IF(OR(F13="",G13=""),"",EDATE(F13,12*G13))</f>
        <v/>
      </c>
      <c r="I13" s="16" t="n"/>
      <c r="J13" s="16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7">
        <f>IF(A13="","",IF(AND(F13&lt;&gt;"",ISNUMBER(I13),M13&lt;&gt;"",LEN(N13)=7,SUMIFS(Indices_long!$C:$C,Indices_long!$A:$A,M13,Indices_long!$B:$B,N13)&gt;0,COUNTIF($A$2:$A$41,A13)=1,OR(Q13="",ISNUMBER(Q13))),"OK",TRIM(IF(F13="","Date d'effet manquante. ","")&amp;IF(NOT(ISNUMBER(I13)),"Loyer initial manquant. ","")&amp;IF(M13="","Indice manquant. ","")&amp;IF(LEN(N13)&lt;&gt;7,"Trimestre de base au format AAAA-Tn. ","")&amp;IF(AND(LEN(N13)=7,M13&lt;&gt;"",NOT(SUMIFS(Indices_long!$C:$C,Indices_long!$A:$A,M13,Indices_long!$B:$B,N13)&gt;0)),"Indice de base "&amp;N13&amp;" non saisi dans Indices. ","")&amp;IF(COUNTIF($A$2:$A$41,A13)&gt;1,"ID bail en doublon. ","")&amp;IF(AND(Q13&lt;&gt;"",NOT(ISNUMBER(Q13))),"Plafond non numérique. ",""))))</f>
        <v/>
      </c>
    </row>
    <row r="14">
      <c r="A14" s="13" t="n"/>
      <c r="B14" s="13" t="n"/>
      <c r="C14" s="13" t="n"/>
      <c r="D14" s="13" t="n"/>
      <c r="E14" s="13" t="n"/>
      <c r="F14" s="14" t="n"/>
      <c r="G14" s="13" t="n"/>
      <c r="H14" s="15">
        <f>IF(OR(F14="",G14=""),"",EDATE(F14,12*G14))</f>
        <v/>
      </c>
      <c r="I14" s="16" t="n"/>
      <c r="J14" s="16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7">
        <f>IF(A14="","",IF(AND(F14&lt;&gt;"",ISNUMBER(I14),M14&lt;&gt;"",LEN(N14)=7,SUMIFS(Indices_long!$C:$C,Indices_long!$A:$A,M14,Indices_long!$B:$B,N14)&gt;0,COUNTIF($A$2:$A$41,A14)=1,OR(Q14="",ISNUMBER(Q14))),"OK",TRIM(IF(F14="","Date d'effet manquante. ","")&amp;IF(NOT(ISNUMBER(I14)),"Loyer initial manquant. ","")&amp;IF(M14="","Indice manquant. ","")&amp;IF(LEN(N14)&lt;&gt;7,"Trimestre de base au format AAAA-Tn. ","")&amp;IF(AND(LEN(N14)=7,M14&lt;&gt;"",NOT(SUMIFS(Indices_long!$C:$C,Indices_long!$A:$A,M14,Indices_long!$B:$B,N14)&gt;0)),"Indice de base "&amp;N14&amp;" non saisi dans Indices. ","")&amp;IF(COUNTIF($A$2:$A$41,A14)&gt;1,"ID bail en doublon. ","")&amp;IF(AND(Q14&lt;&gt;"",NOT(ISNUMBER(Q14))),"Plafond non numérique. ",""))))</f>
        <v/>
      </c>
    </row>
    <row r="15">
      <c r="A15" s="13" t="n"/>
      <c r="B15" s="13" t="n"/>
      <c r="C15" s="13" t="n"/>
      <c r="D15" s="13" t="n"/>
      <c r="E15" s="13" t="n"/>
      <c r="F15" s="14" t="n"/>
      <c r="G15" s="13" t="n"/>
      <c r="H15" s="15">
        <f>IF(OR(F15="",G15=""),"",EDATE(F15,12*G15))</f>
        <v/>
      </c>
      <c r="I15" s="16" t="n"/>
      <c r="J15" s="16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7">
        <f>IF(A15="","",IF(AND(F15&lt;&gt;"",ISNUMBER(I15),M15&lt;&gt;"",LEN(N15)=7,SUMIFS(Indices_long!$C:$C,Indices_long!$A:$A,M15,Indices_long!$B:$B,N15)&gt;0,COUNTIF($A$2:$A$41,A15)=1,OR(Q15="",ISNUMBER(Q15))),"OK",TRIM(IF(F15="","Date d'effet manquante. ","")&amp;IF(NOT(ISNUMBER(I15)),"Loyer initial manquant. ","")&amp;IF(M15="","Indice manquant. ","")&amp;IF(LEN(N15)&lt;&gt;7,"Trimestre de base au format AAAA-Tn. ","")&amp;IF(AND(LEN(N15)=7,M15&lt;&gt;"",NOT(SUMIFS(Indices_long!$C:$C,Indices_long!$A:$A,M15,Indices_long!$B:$B,N15)&gt;0)),"Indice de base "&amp;N15&amp;" non saisi dans Indices. ","")&amp;IF(COUNTIF($A$2:$A$41,A15)&gt;1,"ID bail en doublon. ","")&amp;IF(AND(Q15&lt;&gt;"",NOT(ISNUMBER(Q15))),"Plafond non numérique. ",""))))</f>
        <v/>
      </c>
    </row>
    <row r="16">
      <c r="A16" s="13" t="n"/>
      <c r="B16" s="13" t="n"/>
      <c r="C16" s="13" t="n"/>
      <c r="D16" s="13" t="n"/>
      <c r="E16" s="13" t="n"/>
      <c r="F16" s="14" t="n"/>
      <c r="G16" s="13" t="n"/>
      <c r="H16" s="15">
        <f>IF(OR(F16="",G16=""),"",EDATE(F16,12*G16))</f>
        <v/>
      </c>
      <c r="I16" s="16" t="n"/>
      <c r="J16" s="16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7">
        <f>IF(A16="","",IF(AND(F16&lt;&gt;"",ISNUMBER(I16),M16&lt;&gt;"",LEN(N16)=7,SUMIFS(Indices_long!$C:$C,Indices_long!$A:$A,M16,Indices_long!$B:$B,N16)&gt;0,COUNTIF($A$2:$A$41,A16)=1,OR(Q16="",ISNUMBER(Q16))),"OK",TRIM(IF(F16="","Date d'effet manquante. ","")&amp;IF(NOT(ISNUMBER(I16)),"Loyer initial manquant. ","")&amp;IF(M16="","Indice manquant. ","")&amp;IF(LEN(N16)&lt;&gt;7,"Trimestre de base au format AAAA-Tn. ","")&amp;IF(AND(LEN(N16)=7,M16&lt;&gt;"",NOT(SUMIFS(Indices_long!$C:$C,Indices_long!$A:$A,M16,Indices_long!$B:$B,N16)&gt;0)),"Indice de base "&amp;N16&amp;" non saisi dans Indices. ","")&amp;IF(COUNTIF($A$2:$A$41,A16)&gt;1,"ID bail en doublon. ","")&amp;IF(AND(Q16&lt;&gt;"",NOT(ISNUMBER(Q16))),"Plafond non numérique. ",""))))</f>
        <v/>
      </c>
    </row>
    <row r="17">
      <c r="A17" s="13" t="n"/>
      <c r="B17" s="13" t="n"/>
      <c r="C17" s="13" t="n"/>
      <c r="D17" s="13" t="n"/>
      <c r="E17" s="13" t="n"/>
      <c r="F17" s="14" t="n"/>
      <c r="G17" s="13" t="n"/>
      <c r="H17" s="15">
        <f>IF(OR(F17="",G17=""),"",EDATE(F17,12*G17))</f>
        <v/>
      </c>
      <c r="I17" s="16" t="n"/>
      <c r="J17" s="16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7">
        <f>IF(A17="","",IF(AND(F17&lt;&gt;"",ISNUMBER(I17),M17&lt;&gt;"",LEN(N17)=7,SUMIFS(Indices_long!$C:$C,Indices_long!$A:$A,M17,Indices_long!$B:$B,N17)&gt;0,COUNTIF($A$2:$A$41,A17)=1,OR(Q17="",ISNUMBER(Q17))),"OK",TRIM(IF(F17="","Date d'effet manquante. ","")&amp;IF(NOT(ISNUMBER(I17)),"Loyer initial manquant. ","")&amp;IF(M17="","Indice manquant. ","")&amp;IF(LEN(N17)&lt;&gt;7,"Trimestre de base au format AAAA-Tn. ","")&amp;IF(AND(LEN(N17)=7,M17&lt;&gt;"",NOT(SUMIFS(Indices_long!$C:$C,Indices_long!$A:$A,M17,Indices_long!$B:$B,N17)&gt;0)),"Indice de base "&amp;N17&amp;" non saisi dans Indices. ","")&amp;IF(COUNTIF($A$2:$A$41,A17)&gt;1,"ID bail en doublon. ","")&amp;IF(AND(Q17&lt;&gt;"",NOT(ISNUMBER(Q17))),"Plafond non numérique. ",""))))</f>
        <v/>
      </c>
    </row>
    <row r="18">
      <c r="A18" s="13" t="n"/>
      <c r="B18" s="13" t="n"/>
      <c r="C18" s="13" t="n"/>
      <c r="D18" s="13" t="n"/>
      <c r="E18" s="13" t="n"/>
      <c r="F18" s="14" t="n"/>
      <c r="G18" s="13" t="n"/>
      <c r="H18" s="15">
        <f>IF(OR(F18="",G18=""),"",EDATE(F18,12*G18))</f>
        <v/>
      </c>
      <c r="I18" s="16" t="n"/>
      <c r="J18" s="16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7">
        <f>IF(A18="","",IF(AND(F18&lt;&gt;"",ISNUMBER(I18),M18&lt;&gt;"",LEN(N18)=7,SUMIFS(Indices_long!$C:$C,Indices_long!$A:$A,M18,Indices_long!$B:$B,N18)&gt;0,COUNTIF($A$2:$A$41,A18)=1,OR(Q18="",ISNUMBER(Q18))),"OK",TRIM(IF(F18="","Date d'effet manquante. ","")&amp;IF(NOT(ISNUMBER(I18)),"Loyer initial manquant. ","")&amp;IF(M18="","Indice manquant. ","")&amp;IF(LEN(N18)&lt;&gt;7,"Trimestre de base au format AAAA-Tn. ","")&amp;IF(AND(LEN(N18)=7,M18&lt;&gt;"",NOT(SUMIFS(Indices_long!$C:$C,Indices_long!$A:$A,M18,Indices_long!$B:$B,N18)&gt;0)),"Indice de base "&amp;N18&amp;" non saisi dans Indices. ","")&amp;IF(COUNTIF($A$2:$A$41,A18)&gt;1,"ID bail en doublon. ","")&amp;IF(AND(Q18&lt;&gt;"",NOT(ISNUMBER(Q18))),"Plafond non numérique. ",""))))</f>
        <v/>
      </c>
    </row>
    <row r="19">
      <c r="A19" s="13" t="n"/>
      <c r="B19" s="13" t="n"/>
      <c r="C19" s="13" t="n"/>
      <c r="D19" s="13" t="n"/>
      <c r="E19" s="13" t="n"/>
      <c r="F19" s="14" t="n"/>
      <c r="G19" s="13" t="n"/>
      <c r="H19" s="15">
        <f>IF(OR(F19="",G19=""),"",EDATE(F19,12*G19))</f>
        <v/>
      </c>
      <c r="I19" s="16" t="n"/>
      <c r="J19" s="16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7">
        <f>IF(A19="","",IF(AND(F19&lt;&gt;"",ISNUMBER(I19),M19&lt;&gt;"",LEN(N19)=7,SUMIFS(Indices_long!$C:$C,Indices_long!$A:$A,M19,Indices_long!$B:$B,N19)&gt;0,COUNTIF($A$2:$A$41,A19)=1,OR(Q19="",ISNUMBER(Q19))),"OK",TRIM(IF(F19="","Date d'effet manquante. ","")&amp;IF(NOT(ISNUMBER(I19)),"Loyer initial manquant. ","")&amp;IF(M19="","Indice manquant. ","")&amp;IF(LEN(N19)&lt;&gt;7,"Trimestre de base au format AAAA-Tn. ","")&amp;IF(AND(LEN(N19)=7,M19&lt;&gt;"",NOT(SUMIFS(Indices_long!$C:$C,Indices_long!$A:$A,M19,Indices_long!$B:$B,N19)&gt;0)),"Indice de base "&amp;N19&amp;" non saisi dans Indices. ","")&amp;IF(COUNTIF($A$2:$A$41,A19)&gt;1,"ID bail en doublon. ","")&amp;IF(AND(Q19&lt;&gt;"",NOT(ISNUMBER(Q19))),"Plafond non numérique. ",""))))</f>
        <v/>
      </c>
    </row>
    <row r="20">
      <c r="A20" s="13" t="n"/>
      <c r="B20" s="13" t="n"/>
      <c r="C20" s="13" t="n"/>
      <c r="D20" s="13" t="n"/>
      <c r="E20" s="13" t="n"/>
      <c r="F20" s="14" t="n"/>
      <c r="G20" s="13" t="n"/>
      <c r="H20" s="15">
        <f>IF(OR(F20="",G20=""),"",EDATE(F20,12*G20))</f>
        <v/>
      </c>
      <c r="I20" s="16" t="n"/>
      <c r="J20" s="16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7">
        <f>IF(A20="","",IF(AND(F20&lt;&gt;"",ISNUMBER(I20),M20&lt;&gt;"",LEN(N20)=7,SUMIFS(Indices_long!$C:$C,Indices_long!$A:$A,M20,Indices_long!$B:$B,N20)&gt;0,COUNTIF($A$2:$A$41,A20)=1,OR(Q20="",ISNUMBER(Q20))),"OK",TRIM(IF(F20="","Date d'effet manquante. ","")&amp;IF(NOT(ISNUMBER(I20)),"Loyer initial manquant. ","")&amp;IF(M20="","Indice manquant. ","")&amp;IF(LEN(N20)&lt;&gt;7,"Trimestre de base au format AAAA-Tn. ","")&amp;IF(AND(LEN(N20)=7,M20&lt;&gt;"",NOT(SUMIFS(Indices_long!$C:$C,Indices_long!$A:$A,M20,Indices_long!$B:$B,N20)&gt;0)),"Indice de base "&amp;N20&amp;" non saisi dans Indices. ","")&amp;IF(COUNTIF($A$2:$A$41,A20)&gt;1,"ID bail en doublon. ","")&amp;IF(AND(Q20&lt;&gt;"",NOT(ISNUMBER(Q20))),"Plafond non numérique. ",""))))</f>
        <v/>
      </c>
    </row>
    <row r="21">
      <c r="A21" s="13" t="n"/>
      <c r="B21" s="13" t="n"/>
      <c r="C21" s="13" t="n"/>
      <c r="D21" s="13" t="n"/>
      <c r="E21" s="13" t="n"/>
      <c r="F21" s="14" t="n"/>
      <c r="G21" s="13" t="n"/>
      <c r="H21" s="15">
        <f>IF(OR(F21="",G21=""),"",EDATE(F21,12*G21))</f>
        <v/>
      </c>
      <c r="I21" s="16" t="n"/>
      <c r="J21" s="16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7">
        <f>IF(A21="","",IF(AND(F21&lt;&gt;"",ISNUMBER(I21),M21&lt;&gt;"",LEN(N21)=7,SUMIFS(Indices_long!$C:$C,Indices_long!$A:$A,M21,Indices_long!$B:$B,N21)&gt;0,COUNTIF($A$2:$A$41,A21)=1,OR(Q21="",ISNUMBER(Q21))),"OK",TRIM(IF(F21="","Date d'effet manquante. ","")&amp;IF(NOT(ISNUMBER(I21)),"Loyer initial manquant. ","")&amp;IF(M21="","Indice manquant. ","")&amp;IF(LEN(N21)&lt;&gt;7,"Trimestre de base au format AAAA-Tn. ","")&amp;IF(AND(LEN(N21)=7,M21&lt;&gt;"",NOT(SUMIFS(Indices_long!$C:$C,Indices_long!$A:$A,M21,Indices_long!$B:$B,N21)&gt;0)),"Indice de base "&amp;N21&amp;" non saisi dans Indices. ","")&amp;IF(COUNTIF($A$2:$A$41,A21)&gt;1,"ID bail en doublon. ","")&amp;IF(AND(Q21&lt;&gt;"",NOT(ISNUMBER(Q21))),"Plafond non numérique. ",""))))</f>
        <v/>
      </c>
    </row>
    <row r="22">
      <c r="A22" s="13" t="n"/>
      <c r="B22" s="13" t="n"/>
      <c r="C22" s="13" t="n"/>
      <c r="D22" s="13" t="n"/>
      <c r="E22" s="13" t="n"/>
      <c r="F22" s="14" t="n"/>
      <c r="G22" s="13" t="n"/>
      <c r="H22" s="15">
        <f>IF(OR(F22="",G22=""),"",EDATE(F22,12*G22))</f>
        <v/>
      </c>
      <c r="I22" s="16" t="n"/>
      <c r="J22" s="16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7">
        <f>IF(A22="","",IF(AND(F22&lt;&gt;"",ISNUMBER(I22),M22&lt;&gt;"",LEN(N22)=7,SUMIFS(Indices_long!$C:$C,Indices_long!$A:$A,M22,Indices_long!$B:$B,N22)&gt;0,COUNTIF($A$2:$A$41,A22)=1,OR(Q22="",ISNUMBER(Q22))),"OK",TRIM(IF(F22="","Date d'effet manquante. ","")&amp;IF(NOT(ISNUMBER(I22)),"Loyer initial manquant. ","")&amp;IF(M22="","Indice manquant. ","")&amp;IF(LEN(N22)&lt;&gt;7,"Trimestre de base au format AAAA-Tn. ","")&amp;IF(AND(LEN(N22)=7,M22&lt;&gt;"",NOT(SUMIFS(Indices_long!$C:$C,Indices_long!$A:$A,M22,Indices_long!$B:$B,N22)&gt;0)),"Indice de base "&amp;N22&amp;" non saisi dans Indices. ","")&amp;IF(COUNTIF($A$2:$A$41,A22)&gt;1,"ID bail en doublon. ","")&amp;IF(AND(Q22&lt;&gt;"",NOT(ISNUMBER(Q22))),"Plafond non numérique. ",""))))</f>
        <v/>
      </c>
    </row>
    <row r="23">
      <c r="A23" s="13" t="n"/>
      <c r="B23" s="13" t="n"/>
      <c r="C23" s="13" t="n"/>
      <c r="D23" s="13" t="n"/>
      <c r="E23" s="13" t="n"/>
      <c r="F23" s="14" t="n"/>
      <c r="G23" s="13" t="n"/>
      <c r="H23" s="15">
        <f>IF(OR(F23="",G23=""),"",EDATE(F23,12*G23))</f>
        <v/>
      </c>
      <c r="I23" s="16" t="n"/>
      <c r="J23" s="16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7">
        <f>IF(A23="","",IF(AND(F23&lt;&gt;"",ISNUMBER(I23),M23&lt;&gt;"",LEN(N23)=7,SUMIFS(Indices_long!$C:$C,Indices_long!$A:$A,M23,Indices_long!$B:$B,N23)&gt;0,COUNTIF($A$2:$A$41,A23)=1,OR(Q23="",ISNUMBER(Q23))),"OK",TRIM(IF(F23="","Date d'effet manquante. ","")&amp;IF(NOT(ISNUMBER(I23)),"Loyer initial manquant. ","")&amp;IF(M23="","Indice manquant. ","")&amp;IF(LEN(N23)&lt;&gt;7,"Trimestre de base au format AAAA-Tn. ","")&amp;IF(AND(LEN(N23)=7,M23&lt;&gt;"",NOT(SUMIFS(Indices_long!$C:$C,Indices_long!$A:$A,M23,Indices_long!$B:$B,N23)&gt;0)),"Indice de base "&amp;N23&amp;" non saisi dans Indices. ","")&amp;IF(COUNTIF($A$2:$A$41,A23)&gt;1,"ID bail en doublon. ","")&amp;IF(AND(Q23&lt;&gt;"",NOT(ISNUMBER(Q23))),"Plafond non numérique. ",""))))</f>
        <v/>
      </c>
    </row>
    <row r="24">
      <c r="A24" s="13" t="n"/>
      <c r="B24" s="13" t="n"/>
      <c r="C24" s="13" t="n"/>
      <c r="D24" s="13" t="n"/>
      <c r="E24" s="13" t="n"/>
      <c r="F24" s="14" t="n"/>
      <c r="G24" s="13" t="n"/>
      <c r="H24" s="15">
        <f>IF(OR(F24="",G24=""),"",EDATE(F24,12*G24))</f>
        <v/>
      </c>
      <c r="I24" s="16" t="n"/>
      <c r="J24" s="16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7">
        <f>IF(A24="","",IF(AND(F24&lt;&gt;"",ISNUMBER(I24),M24&lt;&gt;"",LEN(N24)=7,SUMIFS(Indices_long!$C:$C,Indices_long!$A:$A,M24,Indices_long!$B:$B,N24)&gt;0,COUNTIF($A$2:$A$41,A24)=1,OR(Q24="",ISNUMBER(Q24))),"OK",TRIM(IF(F24="","Date d'effet manquante. ","")&amp;IF(NOT(ISNUMBER(I24)),"Loyer initial manquant. ","")&amp;IF(M24="","Indice manquant. ","")&amp;IF(LEN(N24)&lt;&gt;7,"Trimestre de base au format AAAA-Tn. ","")&amp;IF(AND(LEN(N24)=7,M24&lt;&gt;"",NOT(SUMIFS(Indices_long!$C:$C,Indices_long!$A:$A,M24,Indices_long!$B:$B,N24)&gt;0)),"Indice de base "&amp;N24&amp;" non saisi dans Indices. ","")&amp;IF(COUNTIF($A$2:$A$41,A24)&gt;1,"ID bail en doublon. ","")&amp;IF(AND(Q24&lt;&gt;"",NOT(ISNUMBER(Q24))),"Plafond non numérique. ",""))))</f>
        <v/>
      </c>
    </row>
    <row r="25">
      <c r="A25" s="13" t="n"/>
      <c r="B25" s="13" t="n"/>
      <c r="C25" s="13" t="n"/>
      <c r="D25" s="13" t="n"/>
      <c r="E25" s="13" t="n"/>
      <c r="F25" s="14" t="n"/>
      <c r="G25" s="13" t="n"/>
      <c r="H25" s="15">
        <f>IF(OR(F25="",G25=""),"",EDATE(F25,12*G25))</f>
        <v/>
      </c>
      <c r="I25" s="16" t="n"/>
      <c r="J25" s="16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7">
        <f>IF(A25="","",IF(AND(F25&lt;&gt;"",ISNUMBER(I25),M25&lt;&gt;"",LEN(N25)=7,SUMIFS(Indices_long!$C:$C,Indices_long!$A:$A,M25,Indices_long!$B:$B,N25)&gt;0,COUNTIF($A$2:$A$41,A25)=1,OR(Q25="",ISNUMBER(Q25))),"OK",TRIM(IF(F25="","Date d'effet manquante. ","")&amp;IF(NOT(ISNUMBER(I25)),"Loyer initial manquant. ","")&amp;IF(M25="","Indice manquant. ","")&amp;IF(LEN(N25)&lt;&gt;7,"Trimestre de base au format AAAA-Tn. ","")&amp;IF(AND(LEN(N25)=7,M25&lt;&gt;"",NOT(SUMIFS(Indices_long!$C:$C,Indices_long!$A:$A,M25,Indices_long!$B:$B,N25)&gt;0)),"Indice de base "&amp;N25&amp;" non saisi dans Indices. ","")&amp;IF(COUNTIF($A$2:$A$41,A25)&gt;1,"ID bail en doublon. ","")&amp;IF(AND(Q25&lt;&gt;"",NOT(ISNUMBER(Q25))),"Plafond non numérique. ",""))))</f>
        <v/>
      </c>
    </row>
    <row r="26">
      <c r="A26" s="13" t="n"/>
      <c r="B26" s="13" t="n"/>
      <c r="C26" s="13" t="n"/>
      <c r="D26" s="13" t="n"/>
      <c r="E26" s="13" t="n"/>
      <c r="F26" s="14" t="n"/>
      <c r="G26" s="13" t="n"/>
      <c r="H26" s="15">
        <f>IF(OR(F26="",G26=""),"",EDATE(F26,12*G26))</f>
        <v/>
      </c>
      <c r="I26" s="16" t="n"/>
      <c r="J26" s="16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7">
        <f>IF(A26="","",IF(AND(F26&lt;&gt;"",ISNUMBER(I26),M26&lt;&gt;"",LEN(N26)=7,SUMIFS(Indices_long!$C:$C,Indices_long!$A:$A,M26,Indices_long!$B:$B,N26)&gt;0,COUNTIF($A$2:$A$41,A26)=1,OR(Q26="",ISNUMBER(Q26))),"OK",TRIM(IF(F26="","Date d'effet manquante. ","")&amp;IF(NOT(ISNUMBER(I26)),"Loyer initial manquant. ","")&amp;IF(M26="","Indice manquant. ","")&amp;IF(LEN(N26)&lt;&gt;7,"Trimestre de base au format AAAA-Tn. ","")&amp;IF(AND(LEN(N26)=7,M26&lt;&gt;"",NOT(SUMIFS(Indices_long!$C:$C,Indices_long!$A:$A,M26,Indices_long!$B:$B,N26)&gt;0)),"Indice de base "&amp;N26&amp;" non saisi dans Indices. ","")&amp;IF(COUNTIF($A$2:$A$41,A26)&gt;1,"ID bail en doublon. ","")&amp;IF(AND(Q26&lt;&gt;"",NOT(ISNUMBER(Q26))),"Plafond non numérique. ",""))))</f>
        <v/>
      </c>
    </row>
    <row r="27">
      <c r="A27" s="13" t="n"/>
      <c r="B27" s="13" t="n"/>
      <c r="C27" s="13" t="n"/>
      <c r="D27" s="13" t="n"/>
      <c r="E27" s="13" t="n"/>
      <c r="F27" s="14" t="n"/>
      <c r="G27" s="13" t="n"/>
      <c r="H27" s="15">
        <f>IF(OR(F27="",G27=""),"",EDATE(F27,12*G27))</f>
        <v/>
      </c>
      <c r="I27" s="16" t="n"/>
      <c r="J27" s="16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7">
        <f>IF(A27="","",IF(AND(F27&lt;&gt;"",ISNUMBER(I27),M27&lt;&gt;"",LEN(N27)=7,SUMIFS(Indices_long!$C:$C,Indices_long!$A:$A,M27,Indices_long!$B:$B,N27)&gt;0,COUNTIF($A$2:$A$41,A27)=1,OR(Q27="",ISNUMBER(Q27))),"OK",TRIM(IF(F27="","Date d'effet manquante. ","")&amp;IF(NOT(ISNUMBER(I27)),"Loyer initial manquant. ","")&amp;IF(M27="","Indice manquant. ","")&amp;IF(LEN(N27)&lt;&gt;7,"Trimestre de base au format AAAA-Tn. ","")&amp;IF(AND(LEN(N27)=7,M27&lt;&gt;"",NOT(SUMIFS(Indices_long!$C:$C,Indices_long!$A:$A,M27,Indices_long!$B:$B,N27)&gt;0)),"Indice de base "&amp;N27&amp;" non saisi dans Indices. ","")&amp;IF(COUNTIF($A$2:$A$41,A27)&gt;1,"ID bail en doublon. ","")&amp;IF(AND(Q27&lt;&gt;"",NOT(ISNUMBER(Q27))),"Plafond non numérique. ",""))))</f>
        <v/>
      </c>
    </row>
    <row r="28">
      <c r="A28" s="13" t="n"/>
      <c r="B28" s="13" t="n"/>
      <c r="C28" s="13" t="n"/>
      <c r="D28" s="13" t="n"/>
      <c r="E28" s="13" t="n"/>
      <c r="F28" s="14" t="n"/>
      <c r="G28" s="13" t="n"/>
      <c r="H28" s="15">
        <f>IF(OR(F28="",G28=""),"",EDATE(F28,12*G28))</f>
        <v/>
      </c>
      <c r="I28" s="16" t="n"/>
      <c r="J28" s="16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7">
        <f>IF(A28="","",IF(AND(F28&lt;&gt;"",ISNUMBER(I28),M28&lt;&gt;"",LEN(N28)=7,SUMIFS(Indices_long!$C:$C,Indices_long!$A:$A,M28,Indices_long!$B:$B,N28)&gt;0,COUNTIF($A$2:$A$41,A28)=1,OR(Q28="",ISNUMBER(Q28))),"OK",TRIM(IF(F28="","Date d'effet manquante. ","")&amp;IF(NOT(ISNUMBER(I28)),"Loyer initial manquant. ","")&amp;IF(M28="","Indice manquant. ","")&amp;IF(LEN(N28)&lt;&gt;7,"Trimestre de base au format AAAA-Tn. ","")&amp;IF(AND(LEN(N28)=7,M28&lt;&gt;"",NOT(SUMIFS(Indices_long!$C:$C,Indices_long!$A:$A,M28,Indices_long!$B:$B,N28)&gt;0)),"Indice de base "&amp;N28&amp;" non saisi dans Indices. ","")&amp;IF(COUNTIF($A$2:$A$41,A28)&gt;1,"ID bail en doublon. ","")&amp;IF(AND(Q28&lt;&gt;"",NOT(ISNUMBER(Q28))),"Plafond non numérique. ",""))))</f>
        <v/>
      </c>
    </row>
    <row r="29">
      <c r="A29" s="13" t="n"/>
      <c r="B29" s="13" t="n"/>
      <c r="C29" s="13" t="n"/>
      <c r="D29" s="13" t="n"/>
      <c r="E29" s="13" t="n"/>
      <c r="F29" s="14" t="n"/>
      <c r="G29" s="13" t="n"/>
      <c r="H29" s="15">
        <f>IF(OR(F29="",G29=""),"",EDATE(F29,12*G29))</f>
        <v/>
      </c>
      <c r="I29" s="16" t="n"/>
      <c r="J29" s="16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7">
        <f>IF(A29="","",IF(AND(F29&lt;&gt;"",ISNUMBER(I29),M29&lt;&gt;"",LEN(N29)=7,SUMIFS(Indices_long!$C:$C,Indices_long!$A:$A,M29,Indices_long!$B:$B,N29)&gt;0,COUNTIF($A$2:$A$41,A29)=1,OR(Q29="",ISNUMBER(Q29))),"OK",TRIM(IF(F29="","Date d'effet manquante. ","")&amp;IF(NOT(ISNUMBER(I29)),"Loyer initial manquant. ","")&amp;IF(M29="","Indice manquant. ","")&amp;IF(LEN(N29)&lt;&gt;7,"Trimestre de base au format AAAA-Tn. ","")&amp;IF(AND(LEN(N29)=7,M29&lt;&gt;"",NOT(SUMIFS(Indices_long!$C:$C,Indices_long!$A:$A,M29,Indices_long!$B:$B,N29)&gt;0)),"Indice de base "&amp;N29&amp;" non saisi dans Indices. ","")&amp;IF(COUNTIF($A$2:$A$41,A29)&gt;1,"ID bail en doublon. ","")&amp;IF(AND(Q29&lt;&gt;"",NOT(ISNUMBER(Q29))),"Plafond non numérique. ",""))))</f>
        <v/>
      </c>
    </row>
    <row r="30">
      <c r="A30" s="13" t="n"/>
      <c r="B30" s="13" t="n"/>
      <c r="C30" s="13" t="n"/>
      <c r="D30" s="13" t="n"/>
      <c r="E30" s="13" t="n"/>
      <c r="F30" s="14" t="n"/>
      <c r="G30" s="13" t="n"/>
      <c r="H30" s="15">
        <f>IF(OR(F30="",G30=""),"",EDATE(F30,12*G30))</f>
        <v/>
      </c>
      <c r="I30" s="16" t="n"/>
      <c r="J30" s="16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7">
        <f>IF(A30="","",IF(AND(F30&lt;&gt;"",ISNUMBER(I30),M30&lt;&gt;"",LEN(N30)=7,SUMIFS(Indices_long!$C:$C,Indices_long!$A:$A,M30,Indices_long!$B:$B,N30)&gt;0,COUNTIF($A$2:$A$41,A30)=1,OR(Q30="",ISNUMBER(Q30))),"OK",TRIM(IF(F30="","Date d'effet manquante. ","")&amp;IF(NOT(ISNUMBER(I30)),"Loyer initial manquant. ","")&amp;IF(M30="","Indice manquant. ","")&amp;IF(LEN(N30)&lt;&gt;7,"Trimestre de base au format AAAA-Tn. ","")&amp;IF(AND(LEN(N30)=7,M30&lt;&gt;"",NOT(SUMIFS(Indices_long!$C:$C,Indices_long!$A:$A,M30,Indices_long!$B:$B,N30)&gt;0)),"Indice de base "&amp;N30&amp;" non saisi dans Indices. ","")&amp;IF(COUNTIF($A$2:$A$41,A30)&gt;1,"ID bail en doublon. ","")&amp;IF(AND(Q30&lt;&gt;"",NOT(ISNUMBER(Q30))),"Plafond non numérique. ",""))))</f>
        <v/>
      </c>
    </row>
    <row r="31">
      <c r="A31" s="13" t="n"/>
      <c r="B31" s="13" t="n"/>
      <c r="C31" s="13" t="n"/>
      <c r="D31" s="13" t="n"/>
      <c r="E31" s="13" t="n"/>
      <c r="F31" s="14" t="n"/>
      <c r="G31" s="13" t="n"/>
      <c r="H31" s="15">
        <f>IF(OR(F31="",G31=""),"",EDATE(F31,12*G31))</f>
        <v/>
      </c>
      <c r="I31" s="16" t="n"/>
      <c r="J31" s="16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7">
        <f>IF(A31="","",IF(AND(F31&lt;&gt;"",ISNUMBER(I31),M31&lt;&gt;"",LEN(N31)=7,SUMIFS(Indices_long!$C:$C,Indices_long!$A:$A,M31,Indices_long!$B:$B,N31)&gt;0,COUNTIF($A$2:$A$41,A31)=1,OR(Q31="",ISNUMBER(Q31))),"OK",TRIM(IF(F31="","Date d'effet manquante. ","")&amp;IF(NOT(ISNUMBER(I31)),"Loyer initial manquant. ","")&amp;IF(M31="","Indice manquant. ","")&amp;IF(LEN(N31)&lt;&gt;7,"Trimestre de base au format AAAA-Tn. ","")&amp;IF(AND(LEN(N31)=7,M31&lt;&gt;"",NOT(SUMIFS(Indices_long!$C:$C,Indices_long!$A:$A,M31,Indices_long!$B:$B,N31)&gt;0)),"Indice de base "&amp;N31&amp;" non saisi dans Indices. ","")&amp;IF(COUNTIF($A$2:$A$41,A31)&gt;1,"ID bail en doublon. ","")&amp;IF(AND(Q31&lt;&gt;"",NOT(ISNUMBER(Q31))),"Plafond non numérique. ",""))))</f>
        <v/>
      </c>
    </row>
    <row r="32">
      <c r="A32" s="13" t="n"/>
      <c r="B32" s="13" t="n"/>
      <c r="C32" s="13" t="n"/>
      <c r="D32" s="13" t="n"/>
      <c r="E32" s="13" t="n"/>
      <c r="F32" s="14" t="n"/>
      <c r="G32" s="13" t="n"/>
      <c r="H32" s="15">
        <f>IF(OR(F32="",G32=""),"",EDATE(F32,12*G32))</f>
        <v/>
      </c>
      <c r="I32" s="16" t="n"/>
      <c r="J32" s="16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7">
        <f>IF(A32="","",IF(AND(F32&lt;&gt;"",ISNUMBER(I32),M32&lt;&gt;"",LEN(N32)=7,SUMIFS(Indices_long!$C:$C,Indices_long!$A:$A,M32,Indices_long!$B:$B,N32)&gt;0,COUNTIF($A$2:$A$41,A32)=1,OR(Q32="",ISNUMBER(Q32))),"OK",TRIM(IF(F32="","Date d'effet manquante. ","")&amp;IF(NOT(ISNUMBER(I32)),"Loyer initial manquant. ","")&amp;IF(M32="","Indice manquant. ","")&amp;IF(LEN(N32)&lt;&gt;7,"Trimestre de base au format AAAA-Tn. ","")&amp;IF(AND(LEN(N32)=7,M32&lt;&gt;"",NOT(SUMIFS(Indices_long!$C:$C,Indices_long!$A:$A,M32,Indices_long!$B:$B,N32)&gt;0)),"Indice de base "&amp;N32&amp;" non saisi dans Indices. ","")&amp;IF(COUNTIF($A$2:$A$41,A32)&gt;1,"ID bail en doublon. ","")&amp;IF(AND(Q32&lt;&gt;"",NOT(ISNUMBER(Q32))),"Plafond non numérique. ",""))))</f>
        <v/>
      </c>
    </row>
    <row r="33">
      <c r="A33" s="13" t="n"/>
      <c r="B33" s="13" t="n"/>
      <c r="C33" s="13" t="n"/>
      <c r="D33" s="13" t="n"/>
      <c r="E33" s="13" t="n"/>
      <c r="F33" s="14" t="n"/>
      <c r="G33" s="13" t="n"/>
      <c r="H33" s="15">
        <f>IF(OR(F33="",G33=""),"",EDATE(F33,12*G33))</f>
        <v/>
      </c>
      <c r="I33" s="16" t="n"/>
      <c r="J33" s="16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7">
        <f>IF(A33="","",IF(AND(F33&lt;&gt;"",ISNUMBER(I33),M33&lt;&gt;"",LEN(N33)=7,SUMIFS(Indices_long!$C:$C,Indices_long!$A:$A,M33,Indices_long!$B:$B,N33)&gt;0,COUNTIF($A$2:$A$41,A33)=1,OR(Q33="",ISNUMBER(Q33))),"OK",TRIM(IF(F33="","Date d'effet manquante. ","")&amp;IF(NOT(ISNUMBER(I33)),"Loyer initial manquant. ","")&amp;IF(M33="","Indice manquant. ","")&amp;IF(LEN(N33)&lt;&gt;7,"Trimestre de base au format AAAA-Tn. ","")&amp;IF(AND(LEN(N33)=7,M33&lt;&gt;"",NOT(SUMIFS(Indices_long!$C:$C,Indices_long!$A:$A,M33,Indices_long!$B:$B,N33)&gt;0)),"Indice de base "&amp;N33&amp;" non saisi dans Indices. ","")&amp;IF(COUNTIF($A$2:$A$41,A33)&gt;1,"ID bail en doublon. ","")&amp;IF(AND(Q33&lt;&gt;"",NOT(ISNUMBER(Q33))),"Plafond non numérique. ",""))))</f>
        <v/>
      </c>
    </row>
    <row r="34">
      <c r="A34" s="13" t="n"/>
      <c r="B34" s="13" t="n"/>
      <c r="C34" s="13" t="n"/>
      <c r="D34" s="13" t="n"/>
      <c r="E34" s="13" t="n"/>
      <c r="F34" s="14" t="n"/>
      <c r="G34" s="13" t="n"/>
      <c r="H34" s="15">
        <f>IF(OR(F34="",G34=""),"",EDATE(F34,12*G34))</f>
        <v/>
      </c>
      <c r="I34" s="16" t="n"/>
      <c r="J34" s="16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7">
        <f>IF(A34="","",IF(AND(F34&lt;&gt;"",ISNUMBER(I34),M34&lt;&gt;"",LEN(N34)=7,SUMIFS(Indices_long!$C:$C,Indices_long!$A:$A,M34,Indices_long!$B:$B,N34)&gt;0,COUNTIF($A$2:$A$41,A34)=1,OR(Q34="",ISNUMBER(Q34))),"OK",TRIM(IF(F34="","Date d'effet manquante. ","")&amp;IF(NOT(ISNUMBER(I34)),"Loyer initial manquant. ","")&amp;IF(M34="","Indice manquant. ","")&amp;IF(LEN(N34)&lt;&gt;7,"Trimestre de base au format AAAA-Tn. ","")&amp;IF(AND(LEN(N34)=7,M34&lt;&gt;"",NOT(SUMIFS(Indices_long!$C:$C,Indices_long!$A:$A,M34,Indices_long!$B:$B,N34)&gt;0)),"Indice de base "&amp;N34&amp;" non saisi dans Indices. ","")&amp;IF(COUNTIF($A$2:$A$41,A34)&gt;1,"ID bail en doublon. ","")&amp;IF(AND(Q34&lt;&gt;"",NOT(ISNUMBER(Q34))),"Plafond non numérique. ",""))))</f>
        <v/>
      </c>
    </row>
    <row r="35">
      <c r="A35" s="13" t="n"/>
      <c r="B35" s="13" t="n"/>
      <c r="C35" s="13" t="n"/>
      <c r="D35" s="13" t="n"/>
      <c r="E35" s="13" t="n"/>
      <c r="F35" s="14" t="n"/>
      <c r="G35" s="13" t="n"/>
      <c r="H35" s="15">
        <f>IF(OR(F35="",G35=""),"",EDATE(F35,12*G35))</f>
        <v/>
      </c>
      <c r="I35" s="16" t="n"/>
      <c r="J35" s="16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7">
        <f>IF(A35="","",IF(AND(F35&lt;&gt;"",ISNUMBER(I35),M35&lt;&gt;"",LEN(N35)=7,SUMIFS(Indices_long!$C:$C,Indices_long!$A:$A,M35,Indices_long!$B:$B,N35)&gt;0,COUNTIF($A$2:$A$41,A35)=1,OR(Q35="",ISNUMBER(Q35))),"OK",TRIM(IF(F35="","Date d'effet manquante. ","")&amp;IF(NOT(ISNUMBER(I35)),"Loyer initial manquant. ","")&amp;IF(M35="","Indice manquant. ","")&amp;IF(LEN(N35)&lt;&gt;7,"Trimestre de base au format AAAA-Tn. ","")&amp;IF(AND(LEN(N35)=7,M35&lt;&gt;"",NOT(SUMIFS(Indices_long!$C:$C,Indices_long!$A:$A,M35,Indices_long!$B:$B,N35)&gt;0)),"Indice de base "&amp;N35&amp;" non saisi dans Indices. ","")&amp;IF(COUNTIF($A$2:$A$41,A35)&gt;1,"ID bail en doublon. ","")&amp;IF(AND(Q35&lt;&gt;"",NOT(ISNUMBER(Q35))),"Plafond non numérique. ",""))))</f>
        <v/>
      </c>
    </row>
    <row r="36">
      <c r="A36" s="13" t="n"/>
      <c r="B36" s="13" t="n"/>
      <c r="C36" s="13" t="n"/>
      <c r="D36" s="13" t="n"/>
      <c r="E36" s="13" t="n"/>
      <c r="F36" s="14" t="n"/>
      <c r="G36" s="13" t="n"/>
      <c r="H36" s="15">
        <f>IF(OR(F36="",G36=""),"",EDATE(F36,12*G36))</f>
        <v/>
      </c>
      <c r="I36" s="16" t="n"/>
      <c r="J36" s="16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7">
        <f>IF(A36="","",IF(AND(F36&lt;&gt;"",ISNUMBER(I36),M36&lt;&gt;"",LEN(N36)=7,SUMIFS(Indices_long!$C:$C,Indices_long!$A:$A,M36,Indices_long!$B:$B,N36)&gt;0,COUNTIF($A$2:$A$41,A36)=1,OR(Q36="",ISNUMBER(Q36))),"OK",TRIM(IF(F36="","Date d'effet manquante. ","")&amp;IF(NOT(ISNUMBER(I36)),"Loyer initial manquant. ","")&amp;IF(M36="","Indice manquant. ","")&amp;IF(LEN(N36)&lt;&gt;7,"Trimestre de base au format AAAA-Tn. ","")&amp;IF(AND(LEN(N36)=7,M36&lt;&gt;"",NOT(SUMIFS(Indices_long!$C:$C,Indices_long!$A:$A,M36,Indices_long!$B:$B,N36)&gt;0)),"Indice de base "&amp;N36&amp;" non saisi dans Indices. ","")&amp;IF(COUNTIF($A$2:$A$41,A36)&gt;1,"ID bail en doublon. ","")&amp;IF(AND(Q36&lt;&gt;"",NOT(ISNUMBER(Q36))),"Plafond non numérique. ",""))))</f>
        <v/>
      </c>
    </row>
    <row r="37">
      <c r="A37" s="13" t="n"/>
      <c r="B37" s="13" t="n"/>
      <c r="C37" s="13" t="n"/>
      <c r="D37" s="13" t="n"/>
      <c r="E37" s="13" t="n"/>
      <c r="F37" s="14" t="n"/>
      <c r="G37" s="13" t="n"/>
      <c r="H37" s="15">
        <f>IF(OR(F37="",G37=""),"",EDATE(F37,12*G37))</f>
        <v/>
      </c>
      <c r="I37" s="16" t="n"/>
      <c r="J37" s="16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7">
        <f>IF(A37="","",IF(AND(F37&lt;&gt;"",ISNUMBER(I37),M37&lt;&gt;"",LEN(N37)=7,SUMIFS(Indices_long!$C:$C,Indices_long!$A:$A,M37,Indices_long!$B:$B,N37)&gt;0,COUNTIF($A$2:$A$41,A37)=1,OR(Q37="",ISNUMBER(Q37))),"OK",TRIM(IF(F37="","Date d'effet manquante. ","")&amp;IF(NOT(ISNUMBER(I37)),"Loyer initial manquant. ","")&amp;IF(M37="","Indice manquant. ","")&amp;IF(LEN(N37)&lt;&gt;7,"Trimestre de base au format AAAA-Tn. ","")&amp;IF(AND(LEN(N37)=7,M37&lt;&gt;"",NOT(SUMIFS(Indices_long!$C:$C,Indices_long!$A:$A,M37,Indices_long!$B:$B,N37)&gt;0)),"Indice de base "&amp;N37&amp;" non saisi dans Indices. ","")&amp;IF(COUNTIF($A$2:$A$41,A37)&gt;1,"ID bail en doublon. ","")&amp;IF(AND(Q37&lt;&gt;"",NOT(ISNUMBER(Q37))),"Plafond non numérique. ",""))))</f>
        <v/>
      </c>
    </row>
    <row r="38">
      <c r="A38" s="13" t="n"/>
      <c r="B38" s="13" t="n"/>
      <c r="C38" s="13" t="n"/>
      <c r="D38" s="13" t="n"/>
      <c r="E38" s="13" t="n"/>
      <c r="F38" s="14" t="n"/>
      <c r="G38" s="13" t="n"/>
      <c r="H38" s="15">
        <f>IF(OR(F38="",G38=""),"",EDATE(F38,12*G38))</f>
        <v/>
      </c>
      <c r="I38" s="16" t="n"/>
      <c r="J38" s="16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7">
        <f>IF(A38="","",IF(AND(F38&lt;&gt;"",ISNUMBER(I38),M38&lt;&gt;"",LEN(N38)=7,SUMIFS(Indices_long!$C:$C,Indices_long!$A:$A,M38,Indices_long!$B:$B,N38)&gt;0,COUNTIF($A$2:$A$41,A38)=1,OR(Q38="",ISNUMBER(Q38))),"OK",TRIM(IF(F38="","Date d'effet manquante. ","")&amp;IF(NOT(ISNUMBER(I38)),"Loyer initial manquant. ","")&amp;IF(M38="","Indice manquant. ","")&amp;IF(LEN(N38)&lt;&gt;7,"Trimestre de base au format AAAA-Tn. ","")&amp;IF(AND(LEN(N38)=7,M38&lt;&gt;"",NOT(SUMIFS(Indices_long!$C:$C,Indices_long!$A:$A,M38,Indices_long!$B:$B,N38)&gt;0)),"Indice de base "&amp;N38&amp;" non saisi dans Indices. ","")&amp;IF(COUNTIF($A$2:$A$41,A38)&gt;1,"ID bail en doublon. ","")&amp;IF(AND(Q38&lt;&gt;"",NOT(ISNUMBER(Q38))),"Plafond non numérique. ",""))))</f>
        <v/>
      </c>
    </row>
    <row r="39">
      <c r="A39" s="13" t="n"/>
      <c r="B39" s="13" t="n"/>
      <c r="C39" s="13" t="n"/>
      <c r="D39" s="13" t="n"/>
      <c r="E39" s="13" t="n"/>
      <c r="F39" s="14" t="n"/>
      <c r="G39" s="13" t="n"/>
      <c r="H39" s="15">
        <f>IF(OR(F39="",G39=""),"",EDATE(F39,12*G39))</f>
        <v/>
      </c>
      <c r="I39" s="16" t="n"/>
      <c r="J39" s="16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7">
        <f>IF(A39="","",IF(AND(F39&lt;&gt;"",ISNUMBER(I39),M39&lt;&gt;"",LEN(N39)=7,SUMIFS(Indices_long!$C:$C,Indices_long!$A:$A,M39,Indices_long!$B:$B,N39)&gt;0,COUNTIF($A$2:$A$41,A39)=1,OR(Q39="",ISNUMBER(Q39))),"OK",TRIM(IF(F39="","Date d'effet manquante. ","")&amp;IF(NOT(ISNUMBER(I39)),"Loyer initial manquant. ","")&amp;IF(M39="","Indice manquant. ","")&amp;IF(LEN(N39)&lt;&gt;7,"Trimestre de base au format AAAA-Tn. ","")&amp;IF(AND(LEN(N39)=7,M39&lt;&gt;"",NOT(SUMIFS(Indices_long!$C:$C,Indices_long!$A:$A,M39,Indices_long!$B:$B,N39)&gt;0)),"Indice de base "&amp;N39&amp;" non saisi dans Indices. ","")&amp;IF(COUNTIF($A$2:$A$41,A39)&gt;1,"ID bail en doublon. ","")&amp;IF(AND(Q39&lt;&gt;"",NOT(ISNUMBER(Q39))),"Plafond non numérique. ",""))))</f>
        <v/>
      </c>
    </row>
    <row r="40">
      <c r="A40" s="13" t="n"/>
      <c r="B40" s="13" t="n"/>
      <c r="C40" s="13" t="n"/>
      <c r="D40" s="13" t="n"/>
      <c r="E40" s="13" t="n"/>
      <c r="F40" s="14" t="n"/>
      <c r="G40" s="13" t="n"/>
      <c r="H40" s="15">
        <f>IF(OR(F40="",G40=""),"",EDATE(F40,12*G40))</f>
        <v/>
      </c>
      <c r="I40" s="16" t="n"/>
      <c r="J40" s="16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7">
        <f>IF(A40="","",IF(AND(F40&lt;&gt;"",ISNUMBER(I40),M40&lt;&gt;"",LEN(N40)=7,SUMIFS(Indices_long!$C:$C,Indices_long!$A:$A,M40,Indices_long!$B:$B,N40)&gt;0,COUNTIF($A$2:$A$41,A40)=1,OR(Q40="",ISNUMBER(Q40))),"OK",TRIM(IF(F40="","Date d'effet manquante. ","")&amp;IF(NOT(ISNUMBER(I40)),"Loyer initial manquant. ","")&amp;IF(M40="","Indice manquant. ","")&amp;IF(LEN(N40)&lt;&gt;7,"Trimestre de base au format AAAA-Tn. ","")&amp;IF(AND(LEN(N40)=7,M40&lt;&gt;"",NOT(SUMIFS(Indices_long!$C:$C,Indices_long!$A:$A,M40,Indices_long!$B:$B,N40)&gt;0)),"Indice de base "&amp;N40&amp;" non saisi dans Indices. ","")&amp;IF(COUNTIF($A$2:$A$41,A40)&gt;1,"ID bail en doublon. ","")&amp;IF(AND(Q40&lt;&gt;"",NOT(ISNUMBER(Q40))),"Plafond non numérique. ",""))))</f>
        <v/>
      </c>
    </row>
    <row r="41">
      <c r="A41" s="13" t="n"/>
      <c r="B41" s="13" t="n"/>
      <c r="C41" s="13" t="n"/>
      <c r="D41" s="13" t="n"/>
      <c r="E41" s="13" t="n"/>
      <c r="F41" s="14" t="n"/>
      <c r="G41" s="13" t="n"/>
      <c r="H41" s="15">
        <f>IF(OR(F41="",G41=""),"",EDATE(F41,12*G41))</f>
        <v/>
      </c>
      <c r="I41" s="16" t="n"/>
      <c r="J41" s="16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7">
        <f>IF(A41="","",IF(AND(F41&lt;&gt;"",ISNUMBER(I41),M41&lt;&gt;"",LEN(N41)=7,SUMIFS(Indices_long!$C:$C,Indices_long!$A:$A,M41,Indices_long!$B:$B,N41)&gt;0,COUNTIF($A$2:$A$41,A41)=1,OR(Q41="",ISNUMBER(Q41))),"OK",TRIM(IF(F41="","Date d'effet manquante. ","")&amp;IF(NOT(ISNUMBER(I41)),"Loyer initial manquant. ","")&amp;IF(M41="","Indice manquant. ","")&amp;IF(LEN(N41)&lt;&gt;7,"Trimestre de base au format AAAA-Tn. ","")&amp;IF(AND(LEN(N41)=7,M41&lt;&gt;"",NOT(SUMIFS(Indices_long!$C:$C,Indices_long!$A:$A,M41,Indices_long!$B:$B,N41)&gt;0)),"Indice de base "&amp;N41&amp;" non saisi dans Indices. ","")&amp;IF(COUNTIF($A$2:$A$41,A41)&gt;1,"ID bail en doublon. ","")&amp;IF(AND(Q41&lt;&gt;"",NOT(ISNUMBER(Q41))),"Plafond non numérique. ",""))))</f>
        <v/>
      </c>
    </row>
  </sheetData>
  <autoFilter ref="A1:V41"/>
  <conditionalFormatting sqref="V2:V41">
    <cfRule type="expression" priority="1" dxfId="0">
      <formula>AND(V2&lt;&gt;"",V2&lt;&gt;"OK")</formula>
    </cfRule>
  </conditionalFormatting>
  <dataValidations count="6">
    <dataValidation sqref="E2:E41" showDropDown="0" showInputMessage="0" showErrorMessage="0" allowBlank="1" type="list">
      <formula1>"Commercial,Professionnel,Habitation,Dérogatoire,Autre"</formula1>
    </dataValidation>
    <dataValidation sqref="L2:L41" showDropDown="0" showInputMessage="0" showErrorMessage="0" allowBlank="1" type="list">
      <formula1>"Mensuelle,Trimestrielle,Semestrielle,Annuelle"</formula1>
    </dataValidation>
    <dataValidation sqref="M2:M41" showDropDown="0" showInputMessage="0" showErrorMessage="0" allowBlank="1" type="list">
      <formula1>"ILC,ILAT,ICC,IRL"</formula1>
    </dataValidation>
    <dataValidation sqref="P2:P41" showDropDown="0" showInputMessage="0" showErrorMessage="0" allowBlank="1" type="list">
      <formula1>"Chaînée,Base fixe"</formula1>
    </dataValidation>
    <dataValidation sqref="O2:O41" showDropDown="0" showInputMessage="0" showErrorMessage="0" allowBlank="1" type="list">
      <formula1>"1,2,3"</formula1>
    </dataValidation>
    <dataValidation sqref="F2:F41" showDropDown="0" showInputMessage="0" showErrorMessage="0" allowBlank="1" type="date" operator="greaterThan">
      <formula1>DATE(1990,1,1)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30" customHeight="1">
      <c r="A1" s="18" t="inlineStr">
        <is>
          <t>Année</t>
        </is>
      </c>
      <c r="B1" s="19" t="inlineStr">
        <is>
          <t>ILC – base 100 au T1 2008</t>
        </is>
      </c>
      <c r="F1" s="19" t="inlineStr">
        <is>
          <t>ILAT – base 100 au T1 2010</t>
        </is>
      </c>
      <c r="J1" s="19" t="inlineStr">
        <is>
          <t>ICC – base 100 au T4 1953</t>
        </is>
      </c>
      <c r="N1" s="19" t="inlineStr">
        <is>
          <t>IRL – base 100 au T4 1998</t>
        </is>
      </c>
    </row>
    <row r="2">
      <c r="A2" s="18" t="inlineStr"/>
      <c r="B2" s="20" t="inlineStr">
        <is>
          <t>T1</t>
        </is>
      </c>
      <c r="C2" s="20" t="inlineStr">
        <is>
          <t>T2</t>
        </is>
      </c>
      <c r="D2" s="20" t="inlineStr">
        <is>
          <t>T3</t>
        </is>
      </c>
      <c r="E2" s="20" t="inlineStr">
        <is>
          <t>T4</t>
        </is>
      </c>
      <c r="F2" s="20" t="inlineStr">
        <is>
          <t>T1</t>
        </is>
      </c>
      <c r="G2" s="20" t="inlineStr">
        <is>
          <t>T2</t>
        </is>
      </c>
      <c r="H2" s="20" t="inlineStr">
        <is>
          <t>T3</t>
        </is>
      </c>
      <c r="I2" s="20" t="inlineStr">
        <is>
          <t>T4</t>
        </is>
      </c>
      <c r="J2" s="20" t="inlineStr">
        <is>
          <t>T1</t>
        </is>
      </c>
      <c r="K2" s="20" t="inlineStr">
        <is>
          <t>T2</t>
        </is>
      </c>
      <c r="L2" s="20" t="inlineStr">
        <is>
          <t>T3</t>
        </is>
      </c>
      <c r="M2" s="20" t="inlineStr">
        <is>
          <t>T4</t>
        </is>
      </c>
      <c r="N2" s="20" t="inlineStr">
        <is>
          <t>T1</t>
        </is>
      </c>
      <c r="O2" s="20" t="inlineStr">
        <is>
          <t>T2</t>
        </is>
      </c>
      <c r="P2" s="20" t="inlineStr">
        <is>
          <t>T3</t>
        </is>
      </c>
      <c r="Q2" s="20" t="inlineStr">
        <is>
          <t>T4</t>
        </is>
      </c>
    </row>
    <row r="3">
      <c r="A3" s="5" t="n">
        <v>2000</v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2" t="n"/>
      <c r="K3" s="22" t="n"/>
      <c r="L3" s="22" t="n"/>
      <c r="M3" s="22" t="n"/>
      <c r="N3" s="21" t="n"/>
      <c r="O3" s="21" t="n"/>
      <c r="P3" s="21" t="n"/>
      <c r="Q3" s="21" t="n"/>
    </row>
    <row r="4">
      <c r="A4" s="5" t="n">
        <v>2001</v>
      </c>
      <c r="B4" s="21" t="n"/>
      <c r="C4" s="21" t="n"/>
      <c r="D4" s="21" t="n"/>
      <c r="E4" s="21" t="n"/>
      <c r="F4" s="21" t="n"/>
      <c r="G4" s="21" t="n"/>
      <c r="H4" s="21" t="n"/>
      <c r="I4" s="21" t="n"/>
      <c r="J4" s="22" t="n"/>
      <c r="K4" s="22" t="n"/>
      <c r="L4" s="22" t="n"/>
      <c r="M4" s="22" t="n"/>
      <c r="N4" s="21" t="n"/>
      <c r="O4" s="21" t="n"/>
      <c r="P4" s="21" t="n"/>
      <c r="Q4" s="21" t="n"/>
    </row>
    <row r="5">
      <c r="A5" s="5" t="n">
        <v>2002</v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2" t="n"/>
      <c r="K5" s="22" t="n"/>
      <c r="L5" s="22" t="n"/>
      <c r="M5" s="22" t="n"/>
      <c r="N5" s="21" t="n"/>
      <c r="O5" s="21" t="n"/>
      <c r="P5" s="21" t="n"/>
      <c r="Q5" s="21" t="n"/>
    </row>
    <row r="6">
      <c r="A6" s="5" t="n">
        <v>2003</v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2" t="n"/>
      <c r="K6" s="22" t="n"/>
      <c r="L6" s="22" t="n"/>
      <c r="M6" s="22" t="n"/>
      <c r="N6" s="21" t="n"/>
      <c r="O6" s="21" t="n"/>
      <c r="P6" s="21" t="n"/>
      <c r="Q6" s="21" t="n"/>
    </row>
    <row r="7">
      <c r="A7" s="5" t="n">
        <v>2004</v>
      </c>
      <c r="B7" s="21" t="n"/>
      <c r="C7" s="21" t="n"/>
      <c r="D7" s="21" t="n"/>
      <c r="E7" s="21" t="n"/>
      <c r="F7" s="21" t="n"/>
      <c r="G7" s="21" t="n"/>
      <c r="H7" s="21" t="n"/>
      <c r="I7" s="21" t="n"/>
      <c r="J7" s="22" t="n"/>
      <c r="K7" s="22" t="n"/>
      <c r="L7" s="22" t="n"/>
      <c r="M7" s="22" t="n"/>
      <c r="N7" s="21" t="n"/>
      <c r="O7" s="21" t="n"/>
      <c r="P7" s="21" t="n"/>
      <c r="Q7" s="21" t="n"/>
    </row>
    <row r="8">
      <c r="A8" s="5" t="n">
        <v>2005</v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2" t="n"/>
      <c r="K8" s="22" t="n"/>
      <c r="L8" s="22" t="n"/>
      <c r="M8" s="22" t="n"/>
      <c r="N8" s="21" t="n"/>
      <c r="O8" s="21" t="n"/>
      <c r="P8" s="21" t="n"/>
      <c r="Q8" s="21" t="n"/>
    </row>
    <row r="9">
      <c r="A9" s="5" t="n">
        <v>2006</v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22" t="n"/>
      <c r="L9" s="22" t="n"/>
      <c r="M9" s="22" t="n"/>
      <c r="N9" s="21" t="n"/>
      <c r="O9" s="21" t="n"/>
      <c r="P9" s="21" t="n"/>
      <c r="Q9" s="21" t="n"/>
    </row>
    <row r="10">
      <c r="A10" s="5" t="n">
        <v>2007</v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/>
      <c r="K10" s="22" t="n"/>
      <c r="L10" s="22" t="n"/>
      <c r="M10" s="22" t="n"/>
      <c r="N10" s="21" t="n"/>
      <c r="O10" s="21" t="n"/>
      <c r="P10" s="21" t="n"/>
      <c r="Q10" s="21" t="n"/>
    </row>
    <row r="11">
      <c r="A11" s="5" t="n">
        <v>2008</v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2" t="n"/>
      <c r="K11" s="22" t="n"/>
      <c r="L11" s="22" t="n"/>
      <c r="M11" s="22" t="n"/>
      <c r="N11" s="21" t="n"/>
      <c r="O11" s="21" t="n"/>
      <c r="P11" s="21" t="n"/>
      <c r="Q11" s="21" t="n"/>
    </row>
    <row r="12">
      <c r="A12" s="5" t="n">
        <v>2009</v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2" t="n"/>
      <c r="K12" s="22" t="n"/>
      <c r="L12" s="22" t="n"/>
      <c r="M12" s="22" t="n"/>
      <c r="N12" s="21" t="n"/>
      <c r="O12" s="21" t="n"/>
      <c r="P12" s="21" t="n"/>
      <c r="Q12" s="21" t="n"/>
    </row>
    <row r="13">
      <c r="A13" s="5" t="n">
        <v>2010</v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2" t="n"/>
      <c r="K13" s="22" t="n"/>
      <c r="L13" s="22" t="n"/>
      <c r="M13" s="22" t="n"/>
      <c r="N13" s="21" t="n"/>
      <c r="O13" s="21" t="n"/>
      <c r="P13" s="21" t="n"/>
      <c r="Q13" s="21" t="n"/>
    </row>
    <row r="14">
      <c r="A14" s="5" t="n">
        <v>2011</v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2" t="n"/>
      <c r="K14" s="22" t="n"/>
      <c r="L14" s="22" t="n"/>
      <c r="M14" s="22" t="n"/>
      <c r="N14" s="21" t="n"/>
      <c r="O14" s="21" t="n"/>
      <c r="P14" s="21" t="n"/>
      <c r="Q14" s="21" t="n"/>
    </row>
    <row r="15">
      <c r="A15" s="5" t="n">
        <v>2012</v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2" t="n"/>
      <c r="K15" s="22" t="n"/>
      <c r="L15" s="22" t="n"/>
      <c r="M15" s="22" t="n"/>
      <c r="N15" s="21" t="n"/>
      <c r="O15" s="21" t="n"/>
      <c r="P15" s="21" t="n"/>
      <c r="Q15" s="21" t="n"/>
    </row>
    <row r="16">
      <c r="A16" s="5" t="n">
        <v>2013</v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2" t="n"/>
      <c r="K16" s="22" t="n"/>
      <c r="L16" s="22" t="n"/>
      <c r="M16" s="22" t="n"/>
      <c r="N16" s="21" t="n"/>
      <c r="O16" s="21" t="n"/>
      <c r="P16" s="21" t="n"/>
      <c r="Q16" s="21" t="n"/>
    </row>
    <row r="17">
      <c r="A17" s="5" t="n">
        <v>2014</v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/>
      <c r="K17" s="22" t="n"/>
      <c r="L17" s="22" t="n"/>
      <c r="M17" s="22" t="n"/>
      <c r="N17" s="21" t="n"/>
      <c r="O17" s="21" t="n"/>
      <c r="P17" s="21" t="n"/>
      <c r="Q17" s="21" t="n"/>
    </row>
    <row r="18">
      <c r="A18" s="5" t="n">
        <v>2015</v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2" t="n"/>
      <c r="K18" s="22" t="n"/>
      <c r="L18" s="22" t="n"/>
      <c r="M18" s="22" t="n"/>
      <c r="N18" s="21" t="n"/>
      <c r="O18" s="21" t="n"/>
      <c r="P18" s="21" t="n"/>
      <c r="Q18" s="21" t="n"/>
    </row>
    <row r="19">
      <c r="A19" s="5" t="n">
        <v>2016</v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2" t="n"/>
      <c r="K19" s="22" t="n"/>
      <c r="L19" s="22" t="n"/>
      <c r="M19" s="22" t="n"/>
      <c r="N19" s="21" t="n"/>
      <c r="O19" s="21" t="n"/>
      <c r="P19" s="21" t="n"/>
      <c r="Q19" s="21" t="n"/>
    </row>
    <row r="20">
      <c r="A20" s="5" t="n">
        <v>2017</v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2" t="n"/>
      <c r="K20" s="22" t="n"/>
      <c r="L20" s="22" t="n"/>
      <c r="M20" s="22" t="n"/>
      <c r="N20" s="21" t="n"/>
      <c r="O20" s="21" t="n"/>
      <c r="P20" s="21" t="n"/>
      <c r="Q20" s="21" t="n"/>
    </row>
    <row r="21">
      <c r="A21" s="5" t="n">
        <v>2018</v>
      </c>
      <c r="B21" s="23" t="n">
        <v>110</v>
      </c>
      <c r="C21" s="23" t="n">
        <v>110.6</v>
      </c>
      <c r="D21" s="23" t="n">
        <v>111.2</v>
      </c>
      <c r="E21" s="23" t="n">
        <v>111.8</v>
      </c>
      <c r="F21" s="23" t="n">
        <v>108</v>
      </c>
      <c r="G21" s="23" t="n">
        <v>108.55</v>
      </c>
      <c r="H21" s="23" t="n">
        <v>109.1</v>
      </c>
      <c r="I21" s="23" t="n">
        <v>109.65</v>
      </c>
      <c r="J21" s="24" t="n">
        <v>1700</v>
      </c>
      <c r="K21" s="24" t="n">
        <v>1708</v>
      </c>
      <c r="L21" s="24" t="n">
        <v>1716</v>
      </c>
      <c r="M21" s="24" t="n">
        <v>1724</v>
      </c>
      <c r="N21" s="23" t="n">
        <v>128</v>
      </c>
      <c r="O21" s="23" t="n">
        <v>128.4</v>
      </c>
      <c r="P21" s="23" t="n">
        <v>128.8</v>
      </c>
      <c r="Q21" s="23" t="n">
        <v>129.2</v>
      </c>
    </row>
    <row r="22">
      <c r="A22" s="5" t="n">
        <v>2019</v>
      </c>
      <c r="B22" s="23" t="n">
        <v>112.4</v>
      </c>
      <c r="C22" s="23" t="n">
        <v>113</v>
      </c>
      <c r="D22" s="23" t="n">
        <v>113.6</v>
      </c>
      <c r="E22" s="23" t="n">
        <v>114.2</v>
      </c>
      <c r="F22" s="23" t="n">
        <v>110.2</v>
      </c>
      <c r="G22" s="23" t="n">
        <v>110.75</v>
      </c>
      <c r="H22" s="23" t="n">
        <v>111.3</v>
      </c>
      <c r="I22" s="23" t="n">
        <v>111.85</v>
      </c>
      <c r="J22" s="24" t="n">
        <v>1732</v>
      </c>
      <c r="K22" s="24" t="n">
        <v>1740</v>
      </c>
      <c r="L22" s="24" t="n">
        <v>1748</v>
      </c>
      <c r="M22" s="24" t="n">
        <v>1756</v>
      </c>
      <c r="N22" s="23" t="n">
        <v>129.6</v>
      </c>
      <c r="O22" s="23" t="n">
        <v>130</v>
      </c>
      <c r="P22" s="23" t="n">
        <v>130.4</v>
      </c>
      <c r="Q22" s="23" t="n">
        <v>130.8</v>
      </c>
    </row>
    <row r="23">
      <c r="A23" s="5" t="n">
        <v>2020</v>
      </c>
      <c r="B23" s="23" t="n">
        <v>114.8</v>
      </c>
      <c r="C23" s="23" t="n">
        <v>115.4</v>
      </c>
      <c r="D23" s="23" t="n">
        <v>116</v>
      </c>
      <c r="E23" s="23" t="n">
        <v>116.6</v>
      </c>
      <c r="F23" s="23" t="n">
        <v>112.4</v>
      </c>
      <c r="G23" s="23" t="n">
        <v>112.95</v>
      </c>
      <c r="H23" s="23" t="n">
        <v>113.5</v>
      </c>
      <c r="I23" s="23" t="n">
        <v>114.05</v>
      </c>
      <c r="J23" s="24" t="n">
        <v>1764</v>
      </c>
      <c r="K23" s="24" t="n">
        <v>1772</v>
      </c>
      <c r="L23" s="24" t="n">
        <v>1780</v>
      </c>
      <c r="M23" s="24" t="n">
        <v>1788</v>
      </c>
      <c r="N23" s="23" t="n">
        <v>131.2</v>
      </c>
      <c r="O23" s="23" t="n">
        <v>131.6</v>
      </c>
      <c r="P23" s="23" t="n">
        <v>132</v>
      </c>
      <c r="Q23" s="23" t="n">
        <v>132.4</v>
      </c>
    </row>
    <row r="24">
      <c r="A24" s="5" t="n">
        <v>2021</v>
      </c>
      <c r="B24" s="23" t="n">
        <v>117.2</v>
      </c>
      <c r="C24" s="23" t="n">
        <v>116.6</v>
      </c>
      <c r="D24" s="23" t="n">
        <v>116</v>
      </c>
      <c r="E24" s="23" t="n">
        <v>115.4</v>
      </c>
      <c r="F24" s="23" t="n">
        <v>114.6</v>
      </c>
      <c r="G24" s="23" t="n">
        <v>114.05</v>
      </c>
      <c r="H24" s="23" t="n">
        <v>113.5</v>
      </c>
      <c r="I24" s="23" t="n">
        <v>112.95</v>
      </c>
      <c r="J24" s="24" t="n">
        <v>1796</v>
      </c>
      <c r="K24" s="24" t="n">
        <v>1788</v>
      </c>
      <c r="L24" s="24" t="n">
        <v>1780</v>
      </c>
      <c r="M24" s="24" t="n">
        <v>1772</v>
      </c>
      <c r="N24" s="23" t="n">
        <v>132.8</v>
      </c>
      <c r="O24" s="23" t="n">
        <v>132.4</v>
      </c>
      <c r="P24" s="23" t="n">
        <v>132</v>
      </c>
      <c r="Q24" s="23" t="n">
        <v>131.6</v>
      </c>
    </row>
    <row r="25">
      <c r="A25" s="5" t="n">
        <v>2022</v>
      </c>
      <c r="B25" s="23" t="n">
        <v>114.8</v>
      </c>
      <c r="C25" s="23" t="n">
        <v>115.4</v>
      </c>
      <c r="D25" s="23" t="n">
        <v>116</v>
      </c>
      <c r="E25" s="23" t="n">
        <v>116.6</v>
      </c>
      <c r="F25" s="23" t="n">
        <v>112.4</v>
      </c>
      <c r="G25" s="23" t="n">
        <v>112.95</v>
      </c>
      <c r="H25" s="23" t="n">
        <v>113.5</v>
      </c>
      <c r="I25" s="23" t="n">
        <v>114.05</v>
      </c>
      <c r="J25" s="24" t="n">
        <v>1764</v>
      </c>
      <c r="K25" s="24" t="n">
        <v>1772</v>
      </c>
      <c r="L25" s="24" t="n">
        <v>1780</v>
      </c>
      <c r="M25" s="24" t="n">
        <v>1788</v>
      </c>
      <c r="N25" s="23" t="n">
        <v>131.2</v>
      </c>
      <c r="O25" s="23" t="n">
        <v>131.6</v>
      </c>
      <c r="P25" s="23" t="n">
        <v>132</v>
      </c>
      <c r="Q25" s="23" t="n">
        <v>132.4</v>
      </c>
    </row>
    <row r="26">
      <c r="A26" s="5" t="n">
        <v>2023</v>
      </c>
      <c r="B26" s="23" t="n">
        <v>117.2</v>
      </c>
      <c r="C26" s="23" t="n">
        <v>117.8</v>
      </c>
      <c r="D26" s="23" t="n">
        <v>118.4</v>
      </c>
      <c r="E26" s="23" t="n">
        <v>119</v>
      </c>
      <c r="F26" s="23" t="n">
        <v>114.6</v>
      </c>
      <c r="G26" s="23" t="n">
        <v>115.15</v>
      </c>
      <c r="H26" s="23" t="n">
        <v>115.7</v>
      </c>
      <c r="I26" s="23" t="n">
        <v>116.25</v>
      </c>
      <c r="J26" s="24" t="n">
        <v>1796</v>
      </c>
      <c r="K26" s="24" t="n">
        <v>1804</v>
      </c>
      <c r="L26" s="24" t="n">
        <v>1812</v>
      </c>
      <c r="M26" s="24" t="n">
        <v>1820</v>
      </c>
      <c r="N26" s="23" t="n">
        <v>132.8</v>
      </c>
      <c r="O26" s="23" t="n">
        <v>133.2</v>
      </c>
      <c r="P26" s="23" t="n">
        <v>133.6</v>
      </c>
      <c r="Q26" s="23" t="n">
        <v>134</v>
      </c>
    </row>
    <row r="27">
      <c r="A27" s="5" t="n">
        <v>2024</v>
      </c>
      <c r="B27" s="23" t="n">
        <v>119.6</v>
      </c>
      <c r="C27" s="23" t="n">
        <v>120.2</v>
      </c>
      <c r="D27" s="23" t="n">
        <v>120.8</v>
      </c>
      <c r="E27" s="23" t="n">
        <v>121.4</v>
      </c>
      <c r="F27" s="23" t="n">
        <v>116.8</v>
      </c>
      <c r="G27" s="23" t="n">
        <v>117.35</v>
      </c>
      <c r="H27" s="23" t="n">
        <v>117.9</v>
      </c>
      <c r="I27" s="23" t="n">
        <v>118.45</v>
      </c>
      <c r="J27" s="24" t="n">
        <v>1828</v>
      </c>
      <c r="K27" s="24" t="n">
        <v>1836</v>
      </c>
      <c r="L27" s="24" t="n">
        <v>1844</v>
      </c>
      <c r="M27" s="24" t="n">
        <v>1852</v>
      </c>
      <c r="N27" s="23" t="n">
        <v>134.4</v>
      </c>
      <c r="O27" s="23" t="n">
        <v>134.8</v>
      </c>
      <c r="P27" s="23" t="n">
        <v>135.2</v>
      </c>
      <c r="Q27" s="23" t="n">
        <v>135.6</v>
      </c>
    </row>
    <row r="28">
      <c r="A28" s="5" t="n">
        <v>2025</v>
      </c>
      <c r="B28" s="23" t="n">
        <v>122</v>
      </c>
      <c r="C28" s="23" t="n">
        <v>122.6</v>
      </c>
      <c r="D28" s="23" t="n">
        <v>123.2</v>
      </c>
      <c r="E28" s="23" t="n">
        <v>123.8</v>
      </c>
      <c r="F28" s="23" t="n">
        <v>119</v>
      </c>
      <c r="G28" s="23" t="n">
        <v>119.55</v>
      </c>
      <c r="H28" s="23" t="n">
        <v>120.1</v>
      </c>
      <c r="I28" s="23" t="n">
        <v>120.65</v>
      </c>
      <c r="J28" s="24" t="n">
        <v>1860</v>
      </c>
      <c r="K28" s="24" t="n">
        <v>1868</v>
      </c>
      <c r="L28" s="24" t="n">
        <v>1876</v>
      </c>
      <c r="M28" s="24" t="n">
        <v>1884</v>
      </c>
      <c r="N28" s="23" t="n">
        <v>136</v>
      </c>
      <c r="O28" s="23" t="n">
        <v>136.4</v>
      </c>
      <c r="P28" s="23" t="n">
        <v>136.8</v>
      </c>
      <c r="Q28" s="23" t="n">
        <v>137.2</v>
      </c>
    </row>
    <row r="29">
      <c r="A29" s="5" t="n">
        <v>2026</v>
      </c>
      <c r="B29" s="23" t="n">
        <v>124.4</v>
      </c>
      <c r="C29" s="21" t="n"/>
      <c r="D29" s="21" t="n"/>
      <c r="E29" s="21" t="n"/>
      <c r="F29" s="23" t="n">
        <v>121.2</v>
      </c>
      <c r="G29" s="21" t="n"/>
      <c r="H29" s="21" t="n"/>
      <c r="I29" s="21" t="n"/>
      <c r="J29" s="24" t="n">
        <v>1892</v>
      </c>
      <c r="K29" s="22" t="n"/>
      <c r="L29" s="22" t="n"/>
      <c r="M29" s="22" t="n"/>
      <c r="N29" s="23" t="n">
        <v>137.6</v>
      </c>
      <c r="O29" s="21" t="n"/>
      <c r="P29" s="21" t="n"/>
      <c r="Q29" s="21" t="n"/>
    </row>
    <row r="30">
      <c r="A30" s="5" t="n">
        <v>2027</v>
      </c>
      <c r="B30" s="21" t="n"/>
      <c r="C30" s="21" t="n"/>
      <c r="D30" s="21" t="n"/>
      <c r="E30" s="21" t="n"/>
      <c r="F30" s="21" t="n"/>
      <c r="G30" s="21" t="n"/>
      <c r="H30" s="21" t="n"/>
      <c r="I30" s="21" t="n"/>
      <c r="J30" s="22" t="n"/>
      <c r="K30" s="22" t="n"/>
      <c r="L30" s="22" t="n"/>
      <c r="M30" s="22" t="n"/>
      <c r="N30" s="21" t="n"/>
      <c r="O30" s="21" t="n"/>
      <c r="P30" s="21" t="n"/>
      <c r="Q30" s="21" t="n"/>
    </row>
    <row r="31">
      <c r="A31" s="5" t="n">
        <v>2028</v>
      </c>
      <c r="B31" s="21" t="n"/>
      <c r="C31" s="21" t="n"/>
      <c r="D31" s="21" t="n"/>
      <c r="E31" s="21" t="n"/>
      <c r="F31" s="21" t="n"/>
      <c r="G31" s="21" t="n"/>
      <c r="H31" s="21" t="n"/>
      <c r="I31" s="21" t="n"/>
      <c r="J31" s="22" t="n"/>
      <c r="K31" s="22" t="n"/>
      <c r="L31" s="22" t="n"/>
      <c r="M31" s="22" t="n"/>
      <c r="N31" s="21" t="n"/>
      <c r="O31" s="21" t="n"/>
      <c r="P31" s="21" t="n"/>
      <c r="Q31" s="21" t="n"/>
    </row>
    <row r="32">
      <c r="A32" s="5" t="n">
        <v>2029</v>
      </c>
      <c r="B32" s="21" t="n"/>
      <c r="C32" s="21" t="n"/>
      <c r="D32" s="21" t="n"/>
      <c r="E32" s="21" t="n"/>
      <c r="F32" s="21" t="n"/>
      <c r="G32" s="21" t="n"/>
      <c r="H32" s="21" t="n"/>
      <c r="I32" s="21" t="n"/>
      <c r="J32" s="22" t="n"/>
      <c r="K32" s="22" t="n"/>
      <c r="L32" s="22" t="n"/>
      <c r="M32" s="22" t="n"/>
      <c r="N32" s="21" t="n"/>
      <c r="O32" s="21" t="n"/>
      <c r="P32" s="21" t="n"/>
      <c r="Q32" s="21" t="n"/>
    </row>
    <row r="33">
      <c r="A33" s="5" t="n">
        <v>2030</v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/>
      <c r="K33" s="22" t="n"/>
      <c r="L33" s="22" t="n"/>
      <c r="M33" s="22" t="n"/>
      <c r="N33" s="21" t="n"/>
      <c r="O33" s="21" t="n"/>
      <c r="P33" s="21" t="n"/>
      <c r="Q33" s="21" t="n"/>
    </row>
    <row r="34">
      <c r="A34" s="5" t="n">
        <v>2031</v>
      </c>
      <c r="B34" s="21" t="n"/>
      <c r="C34" s="21" t="n"/>
      <c r="D34" s="21" t="n"/>
      <c r="E34" s="21" t="n"/>
      <c r="F34" s="21" t="n"/>
      <c r="G34" s="21" t="n"/>
      <c r="H34" s="21" t="n"/>
      <c r="I34" s="21" t="n"/>
      <c r="J34" s="22" t="n"/>
      <c r="K34" s="22" t="n"/>
      <c r="L34" s="22" t="n"/>
      <c r="M34" s="22" t="n"/>
      <c r="N34" s="21" t="n"/>
      <c r="O34" s="21" t="n"/>
      <c r="P34" s="21" t="n"/>
      <c r="Q34" s="21" t="n"/>
    </row>
    <row r="35">
      <c r="A35" s="5" t="n">
        <v>2032</v>
      </c>
      <c r="B35" s="21" t="n"/>
      <c r="C35" s="21" t="n"/>
      <c r="D35" s="21" t="n"/>
      <c r="E35" s="21" t="n"/>
      <c r="F35" s="21" t="n"/>
      <c r="G35" s="21" t="n"/>
      <c r="H35" s="21" t="n"/>
      <c r="I35" s="21" t="n"/>
      <c r="J35" s="22" t="n"/>
      <c r="K35" s="22" t="n"/>
      <c r="L35" s="22" t="n"/>
      <c r="M35" s="22" t="n"/>
      <c r="N35" s="21" t="n"/>
      <c r="O35" s="21" t="n"/>
      <c r="P35" s="21" t="n"/>
      <c r="Q35" s="21" t="n"/>
    </row>
    <row r="36">
      <c r="A36" s="5" t="n">
        <v>2033</v>
      </c>
      <c r="B36" s="21" t="n"/>
      <c r="C36" s="21" t="n"/>
      <c r="D36" s="21" t="n"/>
      <c r="E36" s="21" t="n"/>
      <c r="F36" s="21" t="n"/>
      <c r="G36" s="21" t="n"/>
      <c r="H36" s="21" t="n"/>
      <c r="I36" s="21" t="n"/>
      <c r="J36" s="22" t="n"/>
      <c r="K36" s="22" t="n"/>
      <c r="L36" s="22" t="n"/>
      <c r="M36" s="22" t="n"/>
      <c r="N36" s="21" t="n"/>
      <c r="O36" s="21" t="n"/>
      <c r="P36" s="21" t="n"/>
      <c r="Q36" s="21" t="n"/>
    </row>
    <row r="37">
      <c r="A37" s="5" t="n">
        <v>2034</v>
      </c>
      <c r="B37" s="21" t="n"/>
      <c r="C37" s="21" t="n"/>
      <c r="D37" s="21" t="n"/>
      <c r="E37" s="21" t="n"/>
      <c r="F37" s="21" t="n"/>
      <c r="G37" s="21" t="n"/>
      <c r="H37" s="21" t="n"/>
      <c r="I37" s="21" t="n"/>
      <c r="J37" s="22" t="n"/>
      <c r="K37" s="22" t="n"/>
      <c r="L37" s="22" t="n"/>
      <c r="M37" s="22" t="n"/>
      <c r="N37" s="21" t="n"/>
      <c r="O37" s="21" t="n"/>
      <c r="P37" s="21" t="n"/>
      <c r="Q37" s="21" t="n"/>
    </row>
    <row r="38">
      <c r="A38" s="5" t="n">
        <v>2035</v>
      </c>
      <c r="B38" s="21" t="n"/>
      <c r="C38" s="21" t="n"/>
      <c r="D38" s="21" t="n"/>
      <c r="E38" s="21" t="n"/>
      <c r="F38" s="21" t="n"/>
      <c r="G38" s="21" t="n"/>
      <c r="H38" s="21" t="n"/>
      <c r="I38" s="21" t="n"/>
      <c r="J38" s="22" t="n"/>
      <c r="K38" s="22" t="n"/>
      <c r="L38" s="22" t="n"/>
      <c r="M38" s="22" t="n"/>
      <c r="N38" s="21" t="n"/>
      <c r="O38" s="21" t="n"/>
      <c r="P38" s="21" t="n"/>
      <c r="Q38" s="21" t="n"/>
    </row>
    <row r="40">
      <c r="A40" s="2" t="inlineStr">
        <is>
          <t>Saisir les valeurs telles que publiées par l'INSEE (insee.fr, séries 001532540 ILC · 001617112 ILAT · 000008630 ICC · 001515333 IRL). Colonne = trimestre auquel se rapporte l'indice. Une cellule vide = indice non publié : les révisions concernées restent « en attente ».</t>
        </is>
      </c>
    </row>
    <row r="41">
      <c r="A41" s="2" t="inlineStr">
        <is>
          <t>La commande  refresh  du script remplit cette grille depuis l'INSEE sans toucher au reste du classeur (les cellules en orange clair signalent une valeur fictive de démonstration).</t>
        </is>
      </c>
    </row>
  </sheetData>
  <mergeCells count="4">
    <mergeCell ref="J1:M1"/>
    <mergeCell ref="B1:E1"/>
    <mergeCell ref="N1:Q1"/>
    <mergeCell ref="F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" customWidth="1" min="3" max="3"/>
    <col width="12" customWidth="1" min="4" max="4"/>
    <col width="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24" customWidth="1" min="11" max="11"/>
    <col width="14" customWidth="1" min="12" max="12"/>
    <col width="13" customWidth="1" min="13" max="13"/>
    <col width="14" customWidth="1" min="14" max="14"/>
    <col width="14" customWidth="1" min="15" max="15"/>
    <col width="8" customWidth="1" min="16" max="16"/>
    <col width="12" customWidth="1" min="17" max="17"/>
    <col width="12" customWidth="1" min="18" max="18"/>
    <col width="12" customWidth="1" min="19" max="19"/>
    <col width="11" customWidth="1" min="20" max="20"/>
    <col width="12" customWidth="1" min="21" max="21"/>
    <col width="20" customWidth="1" min="22" max="22"/>
    <col width="40" customWidth="1" min="23" max="23"/>
    <col width="10" customWidth="1" min="24" max="24"/>
    <col width="12" customWidth="1" min="25" max="25"/>
    <col width="12" customWidth="1" min="26" max="26"/>
    <col width="28" customWidth="1" min="27" max="27"/>
    <col hidden="1" width="10" customWidth="1" min="28" max="28"/>
    <col hidden="1" width="6" customWidth="1" min="29" max="29"/>
    <col width="6" customWidth="1" min="30" max="30"/>
  </cols>
  <sheetData>
    <row r="1" ht="42" customHeight="1">
      <c r="A1" s="12" t="inlineStr">
        <is>
          <t>ID bail</t>
        </is>
      </c>
      <c r="B1" s="12" t="inlineStr">
        <is>
          <t>Local</t>
        </is>
      </c>
      <c r="C1" s="12" t="inlineStr">
        <is>
          <t>N°</t>
        </is>
      </c>
      <c r="D1" s="12" t="inlineStr">
        <is>
          <t>Date de révision</t>
        </is>
      </c>
      <c r="E1" s="12" t="inlineStr">
        <is>
          <t>Indice</t>
        </is>
      </c>
      <c r="F1" s="12" t="inlineStr">
        <is>
          <t>Trim. référence</t>
        </is>
      </c>
      <c r="G1" s="12" t="inlineStr">
        <is>
          <t>Valeur indice réf.</t>
        </is>
      </c>
      <c r="H1" s="12" t="inlineStr">
        <is>
          <t>Trim. précédent</t>
        </is>
      </c>
      <c r="I1" s="12" t="inlineStr">
        <is>
          <t>Valeur indice préc.</t>
        </is>
      </c>
      <c r="J1" s="12" t="inlineStr">
        <is>
          <t>Coefficient</t>
        </is>
      </c>
      <c r="K1" s="12" t="inlineStr">
        <is>
          <t>Décision</t>
        </is>
      </c>
      <c r="L1" s="12" t="inlineStr">
        <is>
          <t>Base de calcul (annuel HT)</t>
        </is>
      </c>
      <c r="M1" s="12" t="inlineStr">
        <is>
          <t>Loyer révisé brut</t>
        </is>
      </c>
      <c r="N1" s="12" t="inlineStr">
        <is>
          <t>Loyer retenu (annuel HT)</t>
        </is>
      </c>
      <c r="O1" s="12" t="inlineStr">
        <is>
          <t>Loyer précédent (annuel HT)</t>
        </is>
      </c>
      <c r="P1" s="12" t="inlineStr">
        <is>
          <t>Variation</t>
        </is>
      </c>
      <c r="Q1" s="12" t="inlineStr">
        <is>
          <t>Loyer mensuel HT</t>
        </is>
      </c>
      <c r="R1" s="12" t="inlineStr">
        <is>
          <t>Loyer / échéance HT</t>
        </is>
      </c>
      <c r="S1" s="12" t="inlineStr">
        <is>
          <t>Charges / échéance HT</t>
        </is>
      </c>
      <c r="T1" s="12" t="inlineStr">
        <is>
          <t>TVA / échéance</t>
        </is>
      </c>
      <c r="U1" s="12" t="inlineStr">
        <is>
          <t>Total TTC / échéance</t>
        </is>
      </c>
      <c r="V1" s="12" t="inlineStr">
        <is>
          <t>Statut</t>
        </is>
      </c>
      <c r="W1" s="12" t="inlineStr">
        <is>
          <t>Consigne (à faire)</t>
        </is>
      </c>
      <c r="X1" s="12" t="inlineStr">
        <is>
          <t>Appliqué ? (Oui/Non)</t>
        </is>
      </c>
      <c r="Y1" s="12" t="inlineStr">
        <is>
          <t>Date d'application</t>
        </is>
      </c>
      <c r="Z1" s="12" t="inlineStr">
        <is>
          <t>Courrier envoyé le</t>
        </is>
      </c>
      <c r="AA1" s="12" t="inlineStr">
        <is>
          <t>Commentaire</t>
        </is>
      </c>
      <c r="AB1" s="12" t="inlineStr">
        <is>
          <t>Clé</t>
        </is>
      </c>
      <c r="AC1" s="12" t="inlineStr">
        <is>
          <t>Effectif</t>
        </is>
      </c>
      <c r="AD1" s="12" t="inlineStr">
        <is>
          <t>Actif</t>
        </is>
      </c>
    </row>
    <row r="2">
      <c r="A2" s="17">
        <f>IF(Baux!$A$2="","",Baux!$A$2)</f>
        <v/>
      </c>
      <c r="B2" s="17">
        <f>IF(A2="","",Baux!$B$2)</f>
        <v/>
      </c>
      <c r="C2" s="17" t="n">
        <v>1</v>
      </c>
      <c r="D2" s="15">
        <f>IF(OR(A2="",Baux!$F$2="",Baux!$O$2=""),"",EDATE(Baux!$F$2,12*Baux!$O$2*C2))</f>
        <v/>
      </c>
      <c r="E2" s="17">
        <f>IF(AD2=0,"",Baux!$M$2)</f>
        <v/>
      </c>
      <c r="F2" s="17">
        <f>IF(AD2=0,"",IFERROR(TEXT(VALUE(LEFT(Baux!$N$2,4))+C2*Baux!$O$2,"0")&amp;RIGHT(Baux!$N$2,3),""))</f>
        <v/>
      </c>
      <c r="G2" s="25">
        <f>IF(AD2=0,"",IF(F2="","",IF(SUMIFS(Indices_long!$C:$C,Indices_long!$A:$A,E2,Indices_long!$B:$B,F2)=0,"",SUMIFS(Indices_long!$C:$C,Indices_long!$A:$A,E2,Indices_long!$B:$B,F2))))</f>
        <v/>
      </c>
      <c r="H2" s="17">
        <f>IF(AD2=0,"",Baux!$N$2)</f>
        <v/>
      </c>
      <c r="I2" s="25">
        <f>IF(AD2=0,"",IF(H2="","",IF(SUMIFS(Indices_long!$C:$C,Indices_long!$A:$A,E2,Indices_long!$B:$B,H2)=0,"",SUMIFS(Indices_long!$C:$C,Indices_long!$A:$A,E2,Indices_long!$B:$B,H2))))</f>
        <v/>
      </c>
      <c r="J2" s="26">
        <f>IF(OR(G2="",I2=""),"",G2/I2)</f>
        <v/>
      </c>
      <c r="K2" s="13" t="n"/>
      <c r="L2" s="27">
        <f>IF(AD2=0,"",Baux!$I$2)</f>
        <v/>
      </c>
      <c r="M2" s="27">
        <f>IF(OR(J2="",L2=""),"",ROUND(L2*J2,2))</f>
        <v/>
      </c>
      <c r="N2" s="27">
        <f>IF(AD2=0,"",IF(LEFT(K2,5)="Geler",O2,IF(M2="","",IF(Baux!$Q$2="",M2,MIN(M2,ROUND(L2*(1+Baux!$Q$2/100)^IF(Baux!$P$2="Base fixe",C2*Baux!$O$2,VALUE(LEFT(F2,4))-VALUE(LEFT(H2,4))),2))))))</f>
        <v/>
      </c>
      <c r="O2" s="27">
        <f>IF(AD2=0,"",Baux!$I$2)</f>
        <v/>
      </c>
      <c r="P2" s="28">
        <f>IF(OR(N2="",O2=""),"",N2/O2-1)</f>
        <v/>
      </c>
      <c r="Q2" s="27">
        <f>IF(N2="","",N2/12)</f>
        <v/>
      </c>
      <c r="R2" s="27">
        <f>IF(N2="","",N2/IF(Baux!$L$2="Mensuelle",12,IF(Baux!$L$2="Trimestrielle",4,IF(Baux!$L$2="Semestrielle",2,1))))</f>
        <v/>
      </c>
      <c r="S2" s="27">
        <f>IF(AD2=0,"",IF(Baux!$J$2="",0,Baux!$J$2)/IF(Baux!$L$2="Mensuelle",12,IF(Baux!$L$2="Trimestrielle",4,IF(Baux!$L$2="Semestrielle",2,1))))</f>
        <v/>
      </c>
      <c r="T2" s="27">
        <f>IF(R2="","",(R2+S2)*Baux!$K$2/100)</f>
        <v/>
      </c>
      <c r="U2" s="27">
        <f>IF(R2="","",R2+S2+T2)</f>
        <v/>
      </c>
      <c r="V2" s="17">
        <f>IF(AD2=0,"",IF(LEFT(K2,5)="Geler","❄ Gelée",IF(G2="",IF(D2&lt;=TODAY(),"⚠ Indice attendu","À venir"),IF(D2&lt;=TODAY(),"✔ Calculable","Indice connu – à venir"))))</f>
        <v/>
      </c>
      <c r="W2" s="29" t="n"/>
      <c r="X2" s="13" t="inlineStr">
        <is>
          <t>Oui</t>
        </is>
      </c>
      <c r="Y2" s="14" t="n"/>
      <c r="Z2" s="14" t="n"/>
      <c r="AA2" s="13" t="n"/>
      <c r="AB2" s="17">
        <f>IF(A2="","",A2&amp;"#"&amp;C2)</f>
        <v/>
      </c>
      <c r="AC2" s="17">
        <f>IF(AND(AD2=1,D2&lt;=TODAY(),N2&lt;&gt;""),1,0)</f>
        <v/>
      </c>
      <c r="AD2" s="17">
        <f>IF(OR(A2="",D2=""),0,IF(AND(ISNUMBER(Baux!$H$2),D2&gt;Baux!$H$2),0,1))</f>
        <v/>
      </c>
    </row>
    <row r="3">
      <c r="A3" s="17">
        <f>IF(Baux!$A$2="","",Baux!$A$2)</f>
        <v/>
      </c>
      <c r="B3" s="17">
        <f>IF(A3="","",Baux!$B$2)</f>
        <v/>
      </c>
      <c r="C3" s="17" t="n">
        <v>2</v>
      </c>
      <c r="D3" s="15">
        <f>IF(OR(A3="",Baux!$F$2="",Baux!$O$2=""),"",EDATE(Baux!$F$2,12*Baux!$O$2*C3))</f>
        <v/>
      </c>
      <c r="E3" s="17">
        <f>IF(AD3=0,"",Baux!$M$2)</f>
        <v/>
      </c>
      <c r="F3" s="17">
        <f>IF(AD3=0,"",IFERROR(TEXT(VALUE(LEFT(Baux!$N$2,4))+C3*Baux!$O$2,"0")&amp;RIGHT(Baux!$N$2,3),""))</f>
        <v/>
      </c>
      <c r="G3" s="25">
        <f>IF(AD3=0,"",IF(F3="","",IF(SUMIFS(Indices_long!$C:$C,Indices_long!$A:$A,E3,Indices_long!$B:$B,F3)=0,"",SUMIFS(Indices_long!$C:$C,Indices_long!$A:$A,E3,Indices_long!$B:$B,F3))))</f>
        <v/>
      </c>
      <c r="H3" s="17">
        <f>IF(AD3=0,"",IF(Baux!$P$2="Base fixe",Baux!$N$2,IF(K2="Geler – rattrapage possible",H2,F2)))</f>
        <v/>
      </c>
      <c r="I3" s="25">
        <f>IF(AD3=0,"",IF(H3="","",IF(SUMIFS(Indices_long!$C:$C,Indices_long!$A:$A,E3,Indices_long!$B:$B,H3)=0,"",SUMIFS(Indices_long!$C:$C,Indices_long!$A:$A,E3,Indices_long!$B:$B,H3))))</f>
        <v/>
      </c>
      <c r="J3" s="26">
        <f>IF(OR(G3="",I3=""),"",G3/I3)</f>
        <v/>
      </c>
      <c r="K3" s="13" t="n"/>
      <c r="L3" s="27">
        <f>IF(AD3=0,"",IF(Baux!$P$2="Base fixe",Baux!$I$2,N2))</f>
        <v/>
      </c>
      <c r="M3" s="27">
        <f>IF(OR(J3="",L3=""),"",ROUND(L3*J3,2))</f>
        <v/>
      </c>
      <c r="N3" s="27">
        <f>IF(AD3=0,"",IF(LEFT(K3,5)="Geler",O3,IF(M3="","",IF(Baux!$Q$2="",M3,MIN(M3,ROUND(L3*(1+Baux!$Q$2/100)^IF(Baux!$P$2="Base fixe",C3*Baux!$O$2,VALUE(LEFT(F3,4))-VALUE(LEFT(H3,4))),2))))))</f>
        <v/>
      </c>
      <c r="O3" s="27">
        <f>IF(AD3=0,"",N2)</f>
        <v/>
      </c>
      <c r="P3" s="28">
        <f>IF(OR(N3="",O3=""),"",N3/O3-1)</f>
        <v/>
      </c>
      <c r="Q3" s="27">
        <f>IF(N3="","",N3/12)</f>
        <v/>
      </c>
      <c r="R3" s="27">
        <f>IF(N3="","",N3/IF(Baux!$L$2="Mensuelle",12,IF(Baux!$L$2="Trimestrielle",4,IF(Baux!$L$2="Semestrielle",2,1))))</f>
        <v/>
      </c>
      <c r="S3" s="27">
        <f>IF(AD3=0,"",IF(Baux!$J$2="",0,Baux!$J$2)/IF(Baux!$L$2="Mensuelle",12,IF(Baux!$L$2="Trimestrielle",4,IF(Baux!$L$2="Semestrielle",2,1))))</f>
        <v/>
      </c>
      <c r="T3" s="27">
        <f>IF(R3="","",(R3+S3)*Baux!$K$2/100)</f>
        <v/>
      </c>
      <c r="U3" s="27">
        <f>IF(R3="","",R3+S3+T3)</f>
        <v/>
      </c>
      <c r="V3" s="17">
        <f>IF(AD3=0,"",IF(LEFT(K3,5)="Geler","❄ Gelée",IF(G3="",IF(D3&lt;=TODAY(),"⚠ Indice attendu","À venir"),IF(D3&lt;=TODAY(),"✔ Calculable","Indice connu – à venir"))))</f>
        <v/>
      </c>
      <c r="W3" s="29" t="n"/>
      <c r="X3" s="13" t="inlineStr">
        <is>
          <t>Oui</t>
        </is>
      </c>
      <c r="Y3" s="14" t="n"/>
      <c r="Z3" s="14" t="n"/>
      <c r="AA3" s="13" t="n"/>
      <c r="AB3" s="17">
        <f>IF(A3="","",A3&amp;"#"&amp;C3)</f>
        <v/>
      </c>
      <c r="AC3" s="17">
        <f>IF(AND(AD3=1,D3&lt;=TODAY(),N3&lt;&gt;""),1,0)</f>
        <v/>
      </c>
      <c r="AD3" s="17">
        <f>IF(OR(A3="",D3=""),0,IF(AND(ISNUMBER(Baux!$H$2),D3&gt;Baux!$H$2),0,1))</f>
        <v/>
      </c>
    </row>
    <row r="4">
      <c r="A4" s="17">
        <f>IF(Baux!$A$2="","",Baux!$A$2)</f>
        <v/>
      </c>
      <c r="B4" s="17">
        <f>IF(A4="","",Baux!$B$2)</f>
        <v/>
      </c>
      <c r="C4" s="17" t="n">
        <v>3</v>
      </c>
      <c r="D4" s="15">
        <f>IF(OR(A4="",Baux!$F$2="",Baux!$O$2=""),"",EDATE(Baux!$F$2,12*Baux!$O$2*C4))</f>
        <v/>
      </c>
      <c r="E4" s="17">
        <f>IF(AD4=0,"",Baux!$M$2)</f>
        <v/>
      </c>
      <c r="F4" s="17">
        <f>IF(AD4=0,"",IFERROR(TEXT(VALUE(LEFT(Baux!$N$2,4))+C4*Baux!$O$2,"0")&amp;RIGHT(Baux!$N$2,3),""))</f>
        <v/>
      </c>
      <c r="G4" s="25">
        <f>IF(AD4=0,"",IF(F4="","",IF(SUMIFS(Indices_long!$C:$C,Indices_long!$A:$A,E4,Indices_long!$B:$B,F4)=0,"",SUMIFS(Indices_long!$C:$C,Indices_long!$A:$A,E4,Indices_long!$B:$B,F4))))</f>
        <v/>
      </c>
      <c r="H4" s="17">
        <f>IF(AD4=0,"",IF(Baux!$P$2="Base fixe",Baux!$N$2,IF(K3="Geler – rattrapage possible",H3,F3)))</f>
        <v/>
      </c>
      <c r="I4" s="25">
        <f>IF(AD4=0,"",IF(H4="","",IF(SUMIFS(Indices_long!$C:$C,Indices_long!$A:$A,E4,Indices_long!$B:$B,H4)=0,"",SUMIFS(Indices_long!$C:$C,Indices_long!$A:$A,E4,Indices_long!$B:$B,H4))))</f>
        <v/>
      </c>
      <c r="J4" s="26">
        <f>IF(OR(G4="",I4=""),"",G4/I4)</f>
        <v/>
      </c>
      <c r="K4" s="13" t="n"/>
      <c r="L4" s="27">
        <f>IF(AD4=0,"",IF(Baux!$P$2="Base fixe",Baux!$I$2,N3))</f>
        <v/>
      </c>
      <c r="M4" s="27">
        <f>IF(OR(J4="",L4=""),"",ROUND(L4*J4,2))</f>
        <v/>
      </c>
      <c r="N4" s="27">
        <f>IF(AD4=0,"",IF(LEFT(K4,5)="Geler",O4,IF(M4="","",IF(Baux!$Q$2="",M4,MIN(M4,ROUND(L4*(1+Baux!$Q$2/100)^IF(Baux!$P$2="Base fixe",C4*Baux!$O$2,VALUE(LEFT(F4,4))-VALUE(LEFT(H4,4))),2))))))</f>
        <v/>
      </c>
      <c r="O4" s="27">
        <f>IF(AD4=0,"",N3)</f>
        <v/>
      </c>
      <c r="P4" s="28">
        <f>IF(OR(N4="",O4=""),"",N4/O4-1)</f>
        <v/>
      </c>
      <c r="Q4" s="27">
        <f>IF(N4="","",N4/12)</f>
        <v/>
      </c>
      <c r="R4" s="27">
        <f>IF(N4="","",N4/IF(Baux!$L$2="Mensuelle",12,IF(Baux!$L$2="Trimestrielle",4,IF(Baux!$L$2="Semestrielle",2,1))))</f>
        <v/>
      </c>
      <c r="S4" s="27">
        <f>IF(AD4=0,"",IF(Baux!$J$2="",0,Baux!$J$2)/IF(Baux!$L$2="Mensuelle",12,IF(Baux!$L$2="Trimestrielle",4,IF(Baux!$L$2="Semestrielle",2,1))))</f>
        <v/>
      </c>
      <c r="T4" s="27">
        <f>IF(R4="","",(R4+S4)*Baux!$K$2/100)</f>
        <v/>
      </c>
      <c r="U4" s="27">
        <f>IF(R4="","",R4+S4+T4)</f>
        <v/>
      </c>
      <c r="V4" s="17">
        <f>IF(AD4=0,"",IF(LEFT(K4,5)="Geler","❄ Gelée",IF(G4="",IF(D4&lt;=TODAY(),"⚠ Indice attendu","À venir"),IF(D4&lt;=TODAY(),"✔ Calculable","Indice connu – à venir"))))</f>
        <v/>
      </c>
      <c r="W4" s="29" t="n"/>
      <c r="X4" s="13" t="inlineStr">
        <is>
          <t>Oui</t>
        </is>
      </c>
      <c r="Y4" s="14" t="n">
        <v>45383</v>
      </c>
      <c r="Z4" s="14" t="n"/>
      <c r="AA4" s="13" t="n"/>
      <c r="AB4" s="17">
        <f>IF(A4="","",A4&amp;"#"&amp;C4)</f>
        <v/>
      </c>
      <c r="AC4" s="17">
        <f>IF(AND(AD4=1,D4&lt;=TODAY(),N4&lt;&gt;""),1,0)</f>
        <v/>
      </c>
      <c r="AD4" s="17">
        <f>IF(OR(A4="",D4=""),0,IF(AND(ISNUMBER(Baux!$H$2),D4&gt;Baux!$H$2),0,1))</f>
        <v/>
      </c>
    </row>
    <row r="5">
      <c r="A5" s="17">
        <f>IF(Baux!$A$2="","",Baux!$A$2)</f>
        <v/>
      </c>
      <c r="B5" s="17">
        <f>IF(A5="","",Baux!$B$2)</f>
        <v/>
      </c>
      <c r="C5" s="17" t="n">
        <v>4</v>
      </c>
      <c r="D5" s="15">
        <f>IF(OR(A5="",Baux!$F$2="",Baux!$O$2=""),"",EDATE(Baux!$F$2,12*Baux!$O$2*C5))</f>
        <v/>
      </c>
      <c r="E5" s="17">
        <f>IF(AD5=0,"",Baux!$M$2)</f>
        <v/>
      </c>
      <c r="F5" s="17">
        <f>IF(AD5=0,"",IFERROR(TEXT(VALUE(LEFT(Baux!$N$2,4))+C5*Baux!$O$2,"0")&amp;RIGHT(Baux!$N$2,3),""))</f>
        <v/>
      </c>
      <c r="G5" s="25">
        <f>IF(AD5=0,"",IF(F5="","",IF(SUMIFS(Indices_long!$C:$C,Indices_long!$A:$A,E5,Indices_long!$B:$B,F5)=0,"",SUMIFS(Indices_long!$C:$C,Indices_long!$A:$A,E5,Indices_long!$B:$B,F5))))</f>
        <v/>
      </c>
      <c r="H5" s="17">
        <f>IF(AD5=0,"",IF(Baux!$P$2="Base fixe",Baux!$N$2,IF(K4="Geler – rattrapage possible",H4,F4)))</f>
        <v/>
      </c>
      <c r="I5" s="25">
        <f>IF(AD5=0,"",IF(H5="","",IF(SUMIFS(Indices_long!$C:$C,Indices_long!$A:$A,E5,Indices_long!$B:$B,H5)=0,"",SUMIFS(Indices_long!$C:$C,Indices_long!$A:$A,E5,Indices_long!$B:$B,H5))))</f>
        <v/>
      </c>
      <c r="J5" s="26">
        <f>IF(OR(G5="",I5=""),"",G5/I5)</f>
        <v/>
      </c>
      <c r="K5" s="13" t="inlineStr">
        <is>
          <t>Geler – sans rattrapage</t>
        </is>
      </c>
      <c r="L5" s="27">
        <f>IF(AD5=0,"",IF(Baux!$P$2="Base fixe",Baux!$I$2,N4))</f>
        <v/>
      </c>
      <c r="M5" s="27">
        <f>IF(OR(J5="",L5=""),"",ROUND(L5*J5,2))</f>
        <v/>
      </c>
      <c r="N5" s="27">
        <f>IF(AD5=0,"",IF(LEFT(K5,5)="Geler",O5,IF(M5="","",IF(Baux!$Q$2="",M5,MIN(M5,ROUND(L5*(1+Baux!$Q$2/100)^IF(Baux!$P$2="Base fixe",C5*Baux!$O$2,VALUE(LEFT(F5,4))-VALUE(LEFT(H5,4))),2))))))</f>
        <v/>
      </c>
      <c r="O5" s="27">
        <f>IF(AD5=0,"",N4)</f>
        <v/>
      </c>
      <c r="P5" s="28">
        <f>IF(OR(N5="",O5=""),"",N5/O5-1)</f>
        <v/>
      </c>
      <c r="Q5" s="27">
        <f>IF(N5="","",N5/12)</f>
        <v/>
      </c>
      <c r="R5" s="27">
        <f>IF(N5="","",N5/IF(Baux!$L$2="Mensuelle",12,IF(Baux!$L$2="Trimestrielle",4,IF(Baux!$L$2="Semestrielle",2,1))))</f>
        <v/>
      </c>
      <c r="S5" s="27">
        <f>IF(AD5=0,"",IF(Baux!$J$2="",0,Baux!$J$2)/IF(Baux!$L$2="Mensuelle",12,IF(Baux!$L$2="Trimestrielle",4,IF(Baux!$L$2="Semestrielle",2,1))))</f>
        <v/>
      </c>
      <c r="T5" s="27">
        <f>IF(R5="","",(R5+S5)*Baux!$K$2/100)</f>
        <v/>
      </c>
      <c r="U5" s="27">
        <f>IF(R5="","",R5+S5+T5)</f>
        <v/>
      </c>
      <c r="V5" s="17">
        <f>IF(AD5=0,"",IF(LEFT(K5,5)="Geler","❄ Gelée",IF(G5="",IF(D5&lt;=TODAY(),"⚠ Indice attendu","À venir"),IF(D5&lt;=TODAY(),"✔ Calculable","Indice connu – à venir"))))</f>
        <v/>
      </c>
      <c r="W5" s="29" t="inlineStr">
        <is>
          <t>Gel décidé par la gérance le 12/03/2025 (difficultés du preneur). Ne pas facturer la hausse. Courrier d'information envoyé.</t>
        </is>
      </c>
      <c r="X5" s="13" t="n"/>
      <c r="Y5" s="14" t="n"/>
      <c r="Z5" s="14" t="n">
        <v>45736</v>
      </c>
      <c r="AA5" s="13" t="n"/>
      <c r="AB5" s="17">
        <f>IF(A5="","",A5&amp;"#"&amp;C5)</f>
        <v/>
      </c>
      <c r="AC5" s="17">
        <f>IF(AND(AD5=1,D5&lt;=TODAY(),N5&lt;&gt;""),1,0)</f>
        <v/>
      </c>
      <c r="AD5" s="17">
        <f>IF(OR(A5="",D5=""),0,IF(AND(ISNUMBER(Baux!$H$2),D5&gt;Baux!$H$2),0,1))</f>
        <v/>
      </c>
    </row>
    <row r="6">
      <c r="A6" s="17">
        <f>IF(Baux!$A$2="","",Baux!$A$2)</f>
        <v/>
      </c>
      <c r="B6" s="17">
        <f>IF(A6="","",Baux!$B$2)</f>
        <v/>
      </c>
      <c r="C6" s="17" t="n">
        <v>5</v>
      </c>
      <c r="D6" s="15">
        <f>IF(OR(A6="",Baux!$F$2="",Baux!$O$2=""),"",EDATE(Baux!$F$2,12*Baux!$O$2*C6))</f>
        <v/>
      </c>
      <c r="E6" s="17">
        <f>IF(AD6=0,"",Baux!$M$2)</f>
        <v/>
      </c>
      <c r="F6" s="17">
        <f>IF(AD6=0,"",IFERROR(TEXT(VALUE(LEFT(Baux!$N$2,4))+C6*Baux!$O$2,"0")&amp;RIGHT(Baux!$N$2,3),""))</f>
        <v/>
      </c>
      <c r="G6" s="25">
        <f>IF(AD6=0,"",IF(F6="","",IF(SUMIFS(Indices_long!$C:$C,Indices_long!$A:$A,E6,Indices_long!$B:$B,F6)=0,"",SUMIFS(Indices_long!$C:$C,Indices_long!$A:$A,E6,Indices_long!$B:$B,F6))))</f>
        <v/>
      </c>
      <c r="H6" s="17">
        <f>IF(AD6=0,"",IF(Baux!$P$2="Base fixe",Baux!$N$2,IF(K5="Geler – rattrapage possible",H5,F5)))</f>
        <v/>
      </c>
      <c r="I6" s="25">
        <f>IF(AD6=0,"",IF(H6="","",IF(SUMIFS(Indices_long!$C:$C,Indices_long!$A:$A,E6,Indices_long!$B:$B,H6)=0,"",SUMIFS(Indices_long!$C:$C,Indices_long!$A:$A,E6,Indices_long!$B:$B,H6))))</f>
        <v/>
      </c>
      <c r="J6" s="26">
        <f>IF(OR(G6="",I6=""),"",G6/I6)</f>
        <v/>
      </c>
      <c r="K6" s="13" t="n"/>
      <c r="L6" s="27">
        <f>IF(AD6=0,"",IF(Baux!$P$2="Base fixe",Baux!$I$2,N5))</f>
        <v/>
      </c>
      <c r="M6" s="27">
        <f>IF(OR(J6="",L6=""),"",ROUND(L6*J6,2))</f>
        <v/>
      </c>
      <c r="N6" s="27">
        <f>IF(AD6=0,"",IF(LEFT(K6,5)="Geler",O6,IF(M6="","",IF(Baux!$Q$2="",M6,MIN(M6,ROUND(L6*(1+Baux!$Q$2/100)^IF(Baux!$P$2="Base fixe",C6*Baux!$O$2,VALUE(LEFT(F6,4))-VALUE(LEFT(H6,4))),2))))))</f>
        <v/>
      </c>
      <c r="O6" s="27">
        <f>IF(AD6=0,"",N5)</f>
        <v/>
      </c>
      <c r="P6" s="28">
        <f>IF(OR(N6="",O6=""),"",N6/O6-1)</f>
        <v/>
      </c>
      <c r="Q6" s="27">
        <f>IF(N6="","",N6/12)</f>
        <v/>
      </c>
      <c r="R6" s="27">
        <f>IF(N6="","",N6/IF(Baux!$L$2="Mensuelle",12,IF(Baux!$L$2="Trimestrielle",4,IF(Baux!$L$2="Semestrielle",2,1))))</f>
        <v/>
      </c>
      <c r="S6" s="27">
        <f>IF(AD6=0,"",IF(Baux!$J$2="",0,Baux!$J$2)/IF(Baux!$L$2="Mensuelle",12,IF(Baux!$L$2="Trimestrielle",4,IF(Baux!$L$2="Semestrielle",2,1))))</f>
        <v/>
      </c>
      <c r="T6" s="27">
        <f>IF(R6="","",(R6+S6)*Baux!$K$2/100)</f>
        <v/>
      </c>
      <c r="U6" s="27">
        <f>IF(R6="","",R6+S6+T6)</f>
        <v/>
      </c>
      <c r="V6" s="17">
        <f>IF(AD6=0,"",IF(LEFT(K6,5)="Geler","❄ Gelée",IF(G6="",IF(D6&lt;=TODAY(),"⚠ Indice attendu","À venir"),IF(D6&lt;=TODAY(),"✔ Calculable","Indice connu – à venir"))))</f>
        <v/>
      </c>
      <c r="W6" s="29" t="n"/>
      <c r="X6" s="13" t="n"/>
      <c r="Y6" s="14" t="n"/>
      <c r="Z6" s="14" t="n"/>
      <c r="AA6" s="13" t="n"/>
      <c r="AB6" s="17">
        <f>IF(A6="","",A6&amp;"#"&amp;C6)</f>
        <v/>
      </c>
      <c r="AC6" s="17">
        <f>IF(AND(AD6=1,D6&lt;=TODAY(),N6&lt;&gt;""),1,0)</f>
        <v/>
      </c>
      <c r="AD6" s="17">
        <f>IF(OR(A6="",D6=""),0,IF(AND(ISNUMBER(Baux!$H$2),D6&gt;Baux!$H$2),0,1))</f>
        <v/>
      </c>
    </row>
    <row r="7">
      <c r="A7" s="17">
        <f>IF(Baux!$A$2="","",Baux!$A$2)</f>
        <v/>
      </c>
      <c r="B7" s="17">
        <f>IF(A7="","",Baux!$B$2)</f>
        <v/>
      </c>
      <c r="C7" s="17" t="n">
        <v>6</v>
      </c>
      <c r="D7" s="15">
        <f>IF(OR(A7="",Baux!$F$2="",Baux!$O$2=""),"",EDATE(Baux!$F$2,12*Baux!$O$2*C7))</f>
        <v/>
      </c>
      <c r="E7" s="17">
        <f>IF(AD7=0,"",Baux!$M$2)</f>
        <v/>
      </c>
      <c r="F7" s="17">
        <f>IF(AD7=0,"",IFERROR(TEXT(VALUE(LEFT(Baux!$N$2,4))+C7*Baux!$O$2,"0")&amp;RIGHT(Baux!$N$2,3),""))</f>
        <v/>
      </c>
      <c r="G7" s="25">
        <f>IF(AD7=0,"",IF(F7="","",IF(SUMIFS(Indices_long!$C:$C,Indices_long!$A:$A,E7,Indices_long!$B:$B,F7)=0,"",SUMIFS(Indices_long!$C:$C,Indices_long!$A:$A,E7,Indices_long!$B:$B,F7))))</f>
        <v/>
      </c>
      <c r="H7" s="17">
        <f>IF(AD7=0,"",IF(Baux!$P$2="Base fixe",Baux!$N$2,IF(K6="Geler – rattrapage possible",H6,F6)))</f>
        <v/>
      </c>
      <c r="I7" s="25">
        <f>IF(AD7=0,"",IF(H7="","",IF(SUMIFS(Indices_long!$C:$C,Indices_long!$A:$A,E7,Indices_long!$B:$B,H7)=0,"",SUMIFS(Indices_long!$C:$C,Indices_long!$A:$A,E7,Indices_long!$B:$B,H7))))</f>
        <v/>
      </c>
      <c r="J7" s="26">
        <f>IF(OR(G7="",I7=""),"",G7/I7)</f>
        <v/>
      </c>
      <c r="K7" s="13" t="n"/>
      <c r="L7" s="27">
        <f>IF(AD7=0,"",IF(Baux!$P$2="Base fixe",Baux!$I$2,N6))</f>
        <v/>
      </c>
      <c r="M7" s="27">
        <f>IF(OR(J7="",L7=""),"",ROUND(L7*J7,2))</f>
        <v/>
      </c>
      <c r="N7" s="27">
        <f>IF(AD7=0,"",IF(LEFT(K7,5)="Geler",O7,IF(M7="","",IF(Baux!$Q$2="",M7,MIN(M7,ROUND(L7*(1+Baux!$Q$2/100)^IF(Baux!$P$2="Base fixe",C7*Baux!$O$2,VALUE(LEFT(F7,4))-VALUE(LEFT(H7,4))),2))))))</f>
        <v/>
      </c>
      <c r="O7" s="27">
        <f>IF(AD7=0,"",N6)</f>
        <v/>
      </c>
      <c r="P7" s="28">
        <f>IF(OR(N7="",O7=""),"",N7/O7-1)</f>
        <v/>
      </c>
      <c r="Q7" s="27">
        <f>IF(N7="","",N7/12)</f>
        <v/>
      </c>
      <c r="R7" s="27">
        <f>IF(N7="","",N7/IF(Baux!$L$2="Mensuelle",12,IF(Baux!$L$2="Trimestrielle",4,IF(Baux!$L$2="Semestrielle",2,1))))</f>
        <v/>
      </c>
      <c r="S7" s="27">
        <f>IF(AD7=0,"",IF(Baux!$J$2="",0,Baux!$J$2)/IF(Baux!$L$2="Mensuelle",12,IF(Baux!$L$2="Trimestrielle",4,IF(Baux!$L$2="Semestrielle",2,1))))</f>
        <v/>
      </c>
      <c r="T7" s="27">
        <f>IF(R7="","",(R7+S7)*Baux!$K$2/100)</f>
        <v/>
      </c>
      <c r="U7" s="27">
        <f>IF(R7="","",R7+S7+T7)</f>
        <v/>
      </c>
      <c r="V7" s="17">
        <f>IF(AD7=0,"",IF(LEFT(K7,5)="Geler","❄ Gelée",IF(G7="",IF(D7&lt;=TODAY(),"⚠ Indice attendu","À venir"),IF(D7&lt;=TODAY(),"✔ Calculable","Indice connu – à venir"))))</f>
        <v/>
      </c>
      <c r="W7" s="29" t="n"/>
      <c r="X7" s="13" t="n"/>
      <c r="Y7" s="14" t="n"/>
      <c r="Z7" s="14" t="n"/>
      <c r="AA7" s="13" t="n"/>
      <c r="AB7" s="17">
        <f>IF(A7="","",A7&amp;"#"&amp;C7)</f>
        <v/>
      </c>
      <c r="AC7" s="17">
        <f>IF(AND(AD7=1,D7&lt;=TODAY(),N7&lt;&gt;""),1,0)</f>
        <v/>
      </c>
      <c r="AD7" s="17">
        <f>IF(OR(A7="",D7=""),0,IF(AND(ISNUMBER(Baux!$H$2),D7&gt;Baux!$H$2),0,1))</f>
        <v/>
      </c>
    </row>
    <row r="8">
      <c r="A8" s="17">
        <f>IF(Baux!$A$2="","",Baux!$A$2)</f>
        <v/>
      </c>
      <c r="B8" s="17">
        <f>IF(A8="","",Baux!$B$2)</f>
        <v/>
      </c>
      <c r="C8" s="17" t="n">
        <v>7</v>
      </c>
      <c r="D8" s="15">
        <f>IF(OR(A8="",Baux!$F$2="",Baux!$O$2=""),"",EDATE(Baux!$F$2,12*Baux!$O$2*C8))</f>
        <v/>
      </c>
      <c r="E8" s="17">
        <f>IF(AD8=0,"",Baux!$M$2)</f>
        <v/>
      </c>
      <c r="F8" s="17">
        <f>IF(AD8=0,"",IFERROR(TEXT(VALUE(LEFT(Baux!$N$2,4))+C8*Baux!$O$2,"0")&amp;RIGHT(Baux!$N$2,3),""))</f>
        <v/>
      </c>
      <c r="G8" s="25">
        <f>IF(AD8=0,"",IF(F8="","",IF(SUMIFS(Indices_long!$C:$C,Indices_long!$A:$A,E8,Indices_long!$B:$B,F8)=0,"",SUMIFS(Indices_long!$C:$C,Indices_long!$A:$A,E8,Indices_long!$B:$B,F8))))</f>
        <v/>
      </c>
      <c r="H8" s="17">
        <f>IF(AD8=0,"",IF(Baux!$P$2="Base fixe",Baux!$N$2,IF(K7="Geler – rattrapage possible",H7,F7)))</f>
        <v/>
      </c>
      <c r="I8" s="25">
        <f>IF(AD8=0,"",IF(H8="","",IF(SUMIFS(Indices_long!$C:$C,Indices_long!$A:$A,E8,Indices_long!$B:$B,H8)=0,"",SUMIFS(Indices_long!$C:$C,Indices_long!$A:$A,E8,Indices_long!$B:$B,H8))))</f>
        <v/>
      </c>
      <c r="J8" s="26">
        <f>IF(OR(G8="",I8=""),"",G8/I8)</f>
        <v/>
      </c>
      <c r="K8" s="13" t="n"/>
      <c r="L8" s="27">
        <f>IF(AD8=0,"",IF(Baux!$P$2="Base fixe",Baux!$I$2,N7))</f>
        <v/>
      </c>
      <c r="M8" s="27">
        <f>IF(OR(J8="",L8=""),"",ROUND(L8*J8,2))</f>
        <v/>
      </c>
      <c r="N8" s="27">
        <f>IF(AD8=0,"",IF(LEFT(K8,5)="Geler",O8,IF(M8="","",IF(Baux!$Q$2="",M8,MIN(M8,ROUND(L8*(1+Baux!$Q$2/100)^IF(Baux!$P$2="Base fixe",C8*Baux!$O$2,VALUE(LEFT(F8,4))-VALUE(LEFT(H8,4))),2))))))</f>
        <v/>
      </c>
      <c r="O8" s="27">
        <f>IF(AD8=0,"",N7)</f>
        <v/>
      </c>
      <c r="P8" s="28">
        <f>IF(OR(N8="",O8=""),"",N8/O8-1)</f>
        <v/>
      </c>
      <c r="Q8" s="27">
        <f>IF(N8="","",N8/12)</f>
        <v/>
      </c>
      <c r="R8" s="27">
        <f>IF(N8="","",N8/IF(Baux!$L$2="Mensuelle",12,IF(Baux!$L$2="Trimestrielle",4,IF(Baux!$L$2="Semestrielle",2,1))))</f>
        <v/>
      </c>
      <c r="S8" s="27">
        <f>IF(AD8=0,"",IF(Baux!$J$2="",0,Baux!$J$2)/IF(Baux!$L$2="Mensuelle",12,IF(Baux!$L$2="Trimestrielle",4,IF(Baux!$L$2="Semestrielle",2,1))))</f>
        <v/>
      </c>
      <c r="T8" s="27">
        <f>IF(R8="","",(R8+S8)*Baux!$K$2/100)</f>
        <v/>
      </c>
      <c r="U8" s="27">
        <f>IF(R8="","",R8+S8+T8)</f>
        <v/>
      </c>
      <c r="V8" s="17">
        <f>IF(AD8=0,"",IF(LEFT(K8,5)="Geler","❄ Gelée",IF(G8="",IF(D8&lt;=TODAY(),"⚠ Indice attendu","À venir"),IF(D8&lt;=TODAY(),"✔ Calculable","Indice connu – à venir"))))</f>
        <v/>
      </c>
      <c r="W8" s="29" t="n"/>
      <c r="X8" s="13" t="n"/>
      <c r="Y8" s="14" t="n"/>
      <c r="Z8" s="14" t="n"/>
      <c r="AA8" s="13" t="n"/>
      <c r="AB8" s="17">
        <f>IF(A8="","",A8&amp;"#"&amp;C8)</f>
        <v/>
      </c>
      <c r="AC8" s="17">
        <f>IF(AND(AD8=1,D8&lt;=TODAY(),N8&lt;&gt;""),1,0)</f>
        <v/>
      </c>
      <c r="AD8" s="17">
        <f>IF(OR(A8="",D8=""),0,IF(AND(ISNUMBER(Baux!$H$2),D8&gt;Baux!$H$2),0,1))</f>
        <v/>
      </c>
    </row>
    <row r="9">
      <c r="A9" s="17">
        <f>IF(Baux!$A$2="","",Baux!$A$2)</f>
        <v/>
      </c>
      <c r="B9" s="17">
        <f>IF(A9="","",Baux!$B$2)</f>
        <v/>
      </c>
      <c r="C9" s="17" t="n">
        <v>8</v>
      </c>
      <c r="D9" s="15">
        <f>IF(OR(A9="",Baux!$F$2="",Baux!$O$2=""),"",EDATE(Baux!$F$2,12*Baux!$O$2*C9))</f>
        <v/>
      </c>
      <c r="E9" s="17">
        <f>IF(AD9=0,"",Baux!$M$2)</f>
        <v/>
      </c>
      <c r="F9" s="17">
        <f>IF(AD9=0,"",IFERROR(TEXT(VALUE(LEFT(Baux!$N$2,4))+C9*Baux!$O$2,"0")&amp;RIGHT(Baux!$N$2,3),""))</f>
        <v/>
      </c>
      <c r="G9" s="25">
        <f>IF(AD9=0,"",IF(F9="","",IF(SUMIFS(Indices_long!$C:$C,Indices_long!$A:$A,E9,Indices_long!$B:$B,F9)=0,"",SUMIFS(Indices_long!$C:$C,Indices_long!$A:$A,E9,Indices_long!$B:$B,F9))))</f>
        <v/>
      </c>
      <c r="H9" s="17">
        <f>IF(AD9=0,"",IF(Baux!$P$2="Base fixe",Baux!$N$2,IF(K8="Geler – rattrapage possible",H8,F8)))</f>
        <v/>
      </c>
      <c r="I9" s="25">
        <f>IF(AD9=0,"",IF(H9="","",IF(SUMIFS(Indices_long!$C:$C,Indices_long!$A:$A,E9,Indices_long!$B:$B,H9)=0,"",SUMIFS(Indices_long!$C:$C,Indices_long!$A:$A,E9,Indices_long!$B:$B,H9))))</f>
        <v/>
      </c>
      <c r="J9" s="26">
        <f>IF(OR(G9="",I9=""),"",G9/I9)</f>
        <v/>
      </c>
      <c r="K9" s="13" t="n"/>
      <c r="L9" s="27">
        <f>IF(AD9=0,"",IF(Baux!$P$2="Base fixe",Baux!$I$2,N8))</f>
        <v/>
      </c>
      <c r="M9" s="27">
        <f>IF(OR(J9="",L9=""),"",ROUND(L9*J9,2))</f>
        <v/>
      </c>
      <c r="N9" s="27">
        <f>IF(AD9=0,"",IF(LEFT(K9,5)="Geler",O9,IF(M9="","",IF(Baux!$Q$2="",M9,MIN(M9,ROUND(L9*(1+Baux!$Q$2/100)^IF(Baux!$P$2="Base fixe",C9*Baux!$O$2,VALUE(LEFT(F9,4))-VALUE(LEFT(H9,4))),2))))))</f>
        <v/>
      </c>
      <c r="O9" s="27">
        <f>IF(AD9=0,"",N8)</f>
        <v/>
      </c>
      <c r="P9" s="28">
        <f>IF(OR(N9="",O9=""),"",N9/O9-1)</f>
        <v/>
      </c>
      <c r="Q9" s="27">
        <f>IF(N9="","",N9/12)</f>
        <v/>
      </c>
      <c r="R9" s="27">
        <f>IF(N9="","",N9/IF(Baux!$L$2="Mensuelle",12,IF(Baux!$L$2="Trimestrielle",4,IF(Baux!$L$2="Semestrielle",2,1))))</f>
        <v/>
      </c>
      <c r="S9" s="27">
        <f>IF(AD9=0,"",IF(Baux!$J$2="",0,Baux!$J$2)/IF(Baux!$L$2="Mensuelle",12,IF(Baux!$L$2="Trimestrielle",4,IF(Baux!$L$2="Semestrielle",2,1))))</f>
        <v/>
      </c>
      <c r="T9" s="27">
        <f>IF(R9="","",(R9+S9)*Baux!$K$2/100)</f>
        <v/>
      </c>
      <c r="U9" s="27">
        <f>IF(R9="","",R9+S9+T9)</f>
        <v/>
      </c>
      <c r="V9" s="17">
        <f>IF(AD9=0,"",IF(LEFT(K9,5)="Geler","❄ Gelée",IF(G9="",IF(D9&lt;=TODAY(),"⚠ Indice attendu","À venir"),IF(D9&lt;=TODAY(),"✔ Calculable","Indice connu – à venir"))))</f>
        <v/>
      </c>
      <c r="W9" s="29" t="n"/>
      <c r="X9" s="13" t="n"/>
      <c r="Y9" s="14" t="n"/>
      <c r="Z9" s="14" t="n"/>
      <c r="AA9" s="13" t="n"/>
      <c r="AB9" s="17">
        <f>IF(A9="","",A9&amp;"#"&amp;C9)</f>
        <v/>
      </c>
      <c r="AC9" s="17">
        <f>IF(AND(AD9=1,D9&lt;=TODAY(),N9&lt;&gt;""),1,0)</f>
        <v/>
      </c>
      <c r="AD9" s="17">
        <f>IF(OR(A9="",D9=""),0,IF(AND(ISNUMBER(Baux!$H$2),D9&gt;Baux!$H$2),0,1))</f>
        <v/>
      </c>
    </row>
    <row r="10">
      <c r="A10" s="17">
        <f>IF(Baux!$A$2="","",Baux!$A$2)</f>
        <v/>
      </c>
      <c r="B10" s="17">
        <f>IF(A10="","",Baux!$B$2)</f>
        <v/>
      </c>
      <c r="C10" s="17" t="n">
        <v>9</v>
      </c>
      <c r="D10" s="15">
        <f>IF(OR(A10="",Baux!$F$2="",Baux!$O$2=""),"",EDATE(Baux!$F$2,12*Baux!$O$2*C10))</f>
        <v/>
      </c>
      <c r="E10" s="17">
        <f>IF(AD10=0,"",Baux!$M$2)</f>
        <v/>
      </c>
      <c r="F10" s="17">
        <f>IF(AD10=0,"",IFERROR(TEXT(VALUE(LEFT(Baux!$N$2,4))+C10*Baux!$O$2,"0")&amp;RIGHT(Baux!$N$2,3),""))</f>
        <v/>
      </c>
      <c r="G10" s="25">
        <f>IF(AD10=0,"",IF(F10="","",IF(SUMIFS(Indices_long!$C:$C,Indices_long!$A:$A,E10,Indices_long!$B:$B,F10)=0,"",SUMIFS(Indices_long!$C:$C,Indices_long!$A:$A,E10,Indices_long!$B:$B,F10))))</f>
        <v/>
      </c>
      <c r="H10" s="17">
        <f>IF(AD10=0,"",IF(Baux!$P$2="Base fixe",Baux!$N$2,IF(K9="Geler – rattrapage possible",H9,F9)))</f>
        <v/>
      </c>
      <c r="I10" s="25">
        <f>IF(AD10=0,"",IF(H10="","",IF(SUMIFS(Indices_long!$C:$C,Indices_long!$A:$A,E10,Indices_long!$B:$B,H10)=0,"",SUMIFS(Indices_long!$C:$C,Indices_long!$A:$A,E10,Indices_long!$B:$B,H10))))</f>
        <v/>
      </c>
      <c r="J10" s="26">
        <f>IF(OR(G10="",I10=""),"",G10/I10)</f>
        <v/>
      </c>
      <c r="K10" s="13" t="n"/>
      <c r="L10" s="27">
        <f>IF(AD10=0,"",IF(Baux!$P$2="Base fixe",Baux!$I$2,N9))</f>
        <v/>
      </c>
      <c r="M10" s="27">
        <f>IF(OR(J10="",L10=""),"",ROUND(L10*J10,2))</f>
        <v/>
      </c>
      <c r="N10" s="27">
        <f>IF(AD10=0,"",IF(LEFT(K10,5)="Geler",O10,IF(M10="","",IF(Baux!$Q$2="",M10,MIN(M10,ROUND(L10*(1+Baux!$Q$2/100)^IF(Baux!$P$2="Base fixe",C10*Baux!$O$2,VALUE(LEFT(F10,4))-VALUE(LEFT(H10,4))),2))))))</f>
        <v/>
      </c>
      <c r="O10" s="27">
        <f>IF(AD10=0,"",N9)</f>
        <v/>
      </c>
      <c r="P10" s="28">
        <f>IF(OR(N10="",O10=""),"",N10/O10-1)</f>
        <v/>
      </c>
      <c r="Q10" s="27">
        <f>IF(N10="","",N10/12)</f>
        <v/>
      </c>
      <c r="R10" s="27">
        <f>IF(N10="","",N10/IF(Baux!$L$2="Mensuelle",12,IF(Baux!$L$2="Trimestrielle",4,IF(Baux!$L$2="Semestrielle",2,1))))</f>
        <v/>
      </c>
      <c r="S10" s="27">
        <f>IF(AD10=0,"",IF(Baux!$J$2="",0,Baux!$J$2)/IF(Baux!$L$2="Mensuelle",12,IF(Baux!$L$2="Trimestrielle",4,IF(Baux!$L$2="Semestrielle",2,1))))</f>
        <v/>
      </c>
      <c r="T10" s="27">
        <f>IF(R10="","",(R10+S10)*Baux!$K$2/100)</f>
        <v/>
      </c>
      <c r="U10" s="27">
        <f>IF(R10="","",R10+S10+T10)</f>
        <v/>
      </c>
      <c r="V10" s="17">
        <f>IF(AD10=0,"",IF(LEFT(K10,5)="Geler","❄ Gelée",IF(G10="",IF(D10&lt;=TODAY(),"⚠ Indice attendu","À venir"),IF(D10&lt;=TODAY(),"✔ Calculable","Indice connu – à venir"))))</f>
        <v/>
      </c>
      <c r="W10" s="29" t="n"/>
      <c r="X10" s="13" t="n"/>
      <c r="Y10" s="14" t="n"/>
      <c r="Z10" s="14" t="n"/>
      <c r="AA10" s="13" t="n"/>
      <c r="AB10" s="17">
        <f>IF(A10="","",A10&amp;"#"&amp;C10)</f>
        <v/>
      </c>
      <c r="AC10" s="17">
        <f>IF(AND(AD10=1,D10&lt;=TODAY(),N10&lt;&gt;""),1,0)</f>
        <v/>
      </c>
      <c r="AD10" s="17">
        <f>IF(OR(A10="",D10=""),0,IF(AND(ISNUMBER(Baux!$H$2),D10&gt;Baux!$H$2),0,1))</f>
        <v/>
      </c>
    </row>
    <row r="11">
      <c r="A11" s="17">
        <f>IF(Baux!$A$2="","",Baux!$A$2)</f>
        <v/>
      </c>
      <c r="B11" s="17">
        <f>IF(A11="","",Baux!$B$2)</f>
        <v/>
      </c>
      <c r="C11" s="17" t="n">
        <v>10</v>
      </c>
      <c r="D11" s="15">
        <f>IF(OR(A11="",Baux!$F$2="",Baux!$O$2=""),"",EDATE(Baux!$F$2,12*Baux!$O$2*C11))</f>
        <v/>
      </c>
      <c r="E11" s="17">
        <f>IF(AD11=0,"",Baux!$M$2)</f>
        <v/>
      </c>
      <c r="F11" s="17">
        <f>IF(AD11=0,"",IFERROR(TEXT(VALUE(LEFT(Baux!$N$2,4))+C11*Baux!$O$2,"0")&amp;RIGHT(Baux!$N$2,3),""))</f>
        <v/>
      </c>
      <c r="G11" s="25">
        <f>IF(AD11=0,"",IF(F11="","",IF(SUMIFS(Indices_long!$C:$C,Indices_long!$A:$A,E11,Indices_long!$B:$B,F11)=0,"",SUMIFS(Indices_long!$C:$C,Indices_long!$A:$A,E11,Indices_long!$B:$B,F11))))</f>
        <v/>
      </c>
      <c r="H11" s="17">
        <f>IF(AD11=0,"",IF(Baux!$P$2="Base fixe",Baux!$N$2,IF(K10="Geler – rattrapage possible",H10,F10)))</f>
        <v/>
      </c>
      <c r="I11" s="25">
        <f>IF(AD11=0,"",IF(H11="","",IF(SUMIFS(Indices_long!$C:$C,Indices_long!$A:$A,E11,Indices_long!$B:$B,H11)=0,"",SUMIFS(Indices_long!$C:$C,Indices_long!$A:$A,E11,Indices_long!$B:$B,H11))))</f>
        <v/>
      </c>
      <c r="J11" s="26">
        <f>IF(OR(G11="",I11=""),"",G11/I11)</f>
        <v/>
      </c>
      <c r="K11" s="13" t="n"/>
      <c r="L11" s="27">
        <f>IF(AD11=0,"",IF(Baux!$P$2="Base fixe",Baux!$I$2,N10))</f>
        <v/>
      </c>
      <c r="M11" s="27">
        <f>IF(OR(J11="",L11=""),"",ROUND(L11*J11,2))</f>
        <v/>
      </c>
      <c r="N11" s="27">
        <f>IF(AD11=0,"",IF(LEFT(K11,5)="Geler",O11,IF(M11="","",IF(Baux!$Q$2="",M11,MIN(M11,ROUND(L11*(1+Baux!$Q$2/100)^IF(Baux!$P$2="Base fixe",C11*Baux!$O$2,VALUE(LEFT(F11,4))-VALUE(LEFT(H11,4))),2))))))</f>
        <v/>
      </c>
      <c r="O11" s="27">
        <f>IF(AD11=0,"",N10)</f>
        <v/>
      </c>
      <c r="P11" s="28">
        <f>IF(OR(N11="",O11=""),"",N11/O11-1)</f>
        <v/>
      </c>
      <c r="Q11" s="27">
        <f>IF(N11="","",N11/12)</f>
        <v/>
      </c>
      <c r="R11" s="27">
        <f>IF(N11="","",N11/IF(Baux!$L$2="Mensuelle",12,IF(Baux!$L$2="Trimestrielle",4,IF(Baux!$L$2="Semestrielle",2,1))))</f>
        <v/>
      </c>
      <c r="S11" s="27">
        <f>IF(AD11=0,"",IF(Baux!$J$2="",0,Baux!$J$2)/IF(Baux!$L$2="Mensuelle",12,IF(Baux!$L$2="Trimestrielle",4,IF(Baux!$L$2="Semestrielle",2,1))))</f>
        <v/>
      </c>
      <c r="T11" s="27">
        <f>IF(R11="","",(R11+S11)*Baux!$K$2/100)</f>
        <v/>
      </c>
      <c r="U11" s="27">
        <f>IF(R11="","",R11+S11+T11)</f>
        <v/>
      </c>
      <c r="V11" s="17">
        <f>IF(AD11=0,"",IF(LEFT(K11,5)="Geler","❄ Gelée",IF(G11="",IF(D11&lt;=TODAY(),"⚠ Indice attendu","À venir"),IF(D11&lt;=TODAY(),"✔ Calculable","Indice connu – à venir"))))</f>
        <v/>
      </c>
      <c r="W11" s="29" t="n"/>
      <c r="X11" s="13" t="n"/>
      <c r="Y11" s="14" t="n"/>
      <c r="Z11" s="14" t="n"/>
      <c r="AA11" s="13" t="n"/>
      <c r="AB11" s="17">
        <f>IF(A11="","",A11&amp;"#"&amp;C11)</f>
        <v/>
      </c>
      <c r="AC11" s="17">
        <f>IF(AND(AD11=1,D11&lt;=TODAY(),N11&lt;&gt;""),1,0)</f>
        <v/>
      </c>
      <c r="AD11" s="17">
        <f>IF(OR(A11="",D11=""),0,IF(AND(ISNUMBER(Baux!$H$2),D11&gt;Baux!$H$2),0,1))</f>
        <v/>
      </c>
    </row>
    <row r="12">
      <c r="A12" s="17">
        <f>IF(Baux!$A$2="","",Baux!$A$2)</f>
        <v/>
      </c>
      <c r="B12" s="17">
        <f>IF(A12="","",Baux!$B$2)</f>
        <v/>
      </c>
      <c r="C12" s="17" t="n">
        <v>11</v>
      </c>
      <c r="D12" s="15">
        <f>IF(OR(A12="",Baux!$F$2="",Baux!$O$2=""),"",EDATE(Baux!$F$2,12*Baux!$O$2*C12))</f>
        <v/>
      </c>
      <c r="E12" s="17">
        <f>IF(AD12=0,"",Baux!$M$2)</f>
        <v/>
      </c>
      <c r="F12" s="17">
        <f>IF(AD12=0,"",IFERROR(TEXT(VALUE(LEFT(Baux!$N$2,4))+C12*Baux!$O$2,"0")&amp;RIGHT(Baux!$N$2,3),""))</f>
        <v/>
      </c>
      <c r="G12" s="25">
        <f>IF(AD12=0,"",IF(F12="","",IF(SUMIFS(Indices_long!$C:$C,Indices_long!$A:$A,E12,Indices_long!$B:$B,F12)=0,"",SUMIFS(Indices_long!$C:$C,Indices_long!$A:$A,E12,Indices_long!$B:$B,F12))))</f>
        <v/>
      </c>
      <c r="H12" s="17">
        <f>IF(AD12=0,"",IF(Baux!$P$2="Base fixe",Baux!$N$2,IF(K11="Geler – rattrapage possible",H11,F11)))</f>
        <v/>
      </c>
      <c r="I12" s="25">
        <f>IF(AD12=0,"",IF(H12="","",IF(SUMIFS(Indices_long!$C:$C,Indices_long!$A:$A,E12,Indices_long!$B:$B,H12)=0,"",SUMIFS(Indices_long!$C:$C,Indices_long!$A:$A,E12,Indices_long!$B:$B,H12))))</f>
        <v/>
      </c>
      <c r="J12" s="26">
        <f>IF(OR(G12="",I12=""),"",G12/I12)</f>
        <v/>
      </c>
      <c r="K12" s="13" t="n"/>
      <c r="L12" s="27">
        <f>IF(AD12=0,"",IF(Baux!$P$2="Base fixe",Baux!$I$2,N11))</f>
        <v/>
      </c>
      <c r="M12" s="27">
        <f>IF(OR(J12="",L12=""),"",ROUND(L12*J12,2))</f>
        <v/>
      </c>
      <c r="N12" s="27">
        <f>IF(AD12=0,"",IF(LEFT(K12,5)="Geler",O12,IF(M12="","",IF(Baux!$Q$2="",M12,MIN(M12,ROUND(L12*(1+Baux!$Q$2/100)^IF(Baux!$P$2="Base fixe",C12*Baux!$O$2,VALUE(LEFT(F12,4))-VALUE(LEFT(H12,4))),2))))))</f>
        <v/>
      </c>
      <c r="O12" s="27">
        <f>IF(AD12=0,"",N11)</f>
        <v/>
      </c>
      <c r="P12" s="28">
        <f>IF(OR(N12="",O12=""),"",N12/O12-1)</f>
        <v/>
      </c>
      <c r="Q12" s="27">
        <f>IF(N12="","",N12/12)</f>
        <v/>
      </c>
      <c r="R12" s="27">
        <f>IF(N12="","",N12/IF(Baux!$L$2="Mensuelle",12,IF(Baux!$L$2="Trimestrielle",4,IF(Baux!$L$2="Semestrielle",2,1))))</f>
        <v/>
      </c>
      <c r="S12" s="27">
        <f>IF(AD12=0,"",IF(Baux!$J$2="",0,Baux!$J$2)/IF(Baux!$L$2="Mensuelle",12,IF(Baux!$L$2="Trimestrielle",4,IF(Baux!$L$2="Semestrielle",2,1))))</f>
        <v/>
      </c>
      <c r="T12" s="27">
        <f>IF(R12="","",(R12+S12)*Baux!$K$2/100)</f>
        <v/>
      </c>
      <c r="U12" s="27">
        <f>IF(R12="","",R12+S12+T12)</f>
        <v/>
      </c>
      <c r="V12" s="17">
        <f>IF(AD12=0,"",IF(LEFT(K12,5)="Geler","❄ Gelée",IF(G12="",IF(D12&lt;=TODAY(),"⚠ Indice attendu","À venir"),IF(D12&lt;=TODAY(),"✔ Calculable","Indice connu – à venir"))))</f>
        <v/>
      </c>
      <c r="W12" s="29" t="n"/>
      <c r="X12" s="13" t="n"/>
      <c r="Y12" s="14" t="n"/>
      <c r="Z12" s="14" t="n"/>
      <c r="AA12" s="13" t="n"/>
      <c r="AB12" s="17">
        <f>IF(A12="","",A12&amp;"#"&amp;C12)</f>
        <v/>
      </c>
      <c r="AC12" s="17">
        <f>IF(AND(AD12=1,D12&lt;=TODAY(),N12&lt;&gt;""),1,0)</f>
        <v/>
      </c>
      <c r="AD12" s="17">
        <f>IF(OR(A12="",D12=""),0,IF(AND(ISNUMBER(Baux!$H$2),D12&gt;Baux!$H$2),0,1))</f>
        <v/>
      </c>
    </row>
    <row r="13">
      <c r="A13" s="17">
        <f>IF(Baux!$A$2="","",Baux!$A$2)</f>
        <v/>
      </c>
      <c r="B13" s="17">
        <f>IF(A13="","",Baux!$B$2)</f>
        <v/>
      </c>
      <c r="C13" s="17" t="n">
        <v>12</v>
      </c>
      <c r="D13" s="15">
        <f>IF(OR(A13="",Baux!$F$2="",Baux!$O$2=""),"",EDATE(Baux!$F$2,12*Baux!$O$2*C13))</f>
        <v/>
      </c>
      <c r="E13" s="17">
        <f>IF(AD13=0,"",Baux!$M$2)</f>
        <v/>
      </c>
      <c r="F13" s="17">
        <f>IF(AD13=0,"",IFERROR(TEXT(VALUE(LEFT(Baux!$N$2,4))+C13*Baux!$O$2,"0")&amp;RIGHT(Baux!$N$2,3),""))</f>
        <v/>
      </c>
      <c r="G13" s="25">
        <f>IF(AD13=0,"",IF(F13="","",IF(SUMIFS(Indices_long!$C:$C,Indices_long!$A:$A,E13,Indices_long!$B:$B,F13)=0,"",SUMIFS(Indices_long!$C:$C,Indices_long!$A:$A,E13,Indices_long!$B:$B,F13))))</f>
        <v/>
      </c>
      <c r="H13" s="17">
        <f>IF(AD13=0,"",IF(Baux!$P$2="Base fixe",Baux!$N$2,IF(K12="Geler – rattrapage possible",H12,F12)))</f>
        <v/>
      </c>
      <c r="I13" s="25">
        <f>IF(AD13=0,"",IF(H13="","",IF(SUMIFS(Indices_long!$C:$C,Indices_long!$A:$A,E13,Indices_long!$B:$B,H13)=0,"",SUMIFS(Indices_long!$C:$C,Indices_long!$A:$A,E13,Indices_long!$B:$B,H13))))</f>
        <v/>
      </c>
      <c r="J13" s="26">
        <f>IF(OR(G13="",I13=""),"",G13/I13)</f>
        <v/>
      </c>
      <c r="K13" s="13" t="n"/>
      <c r="L13" s="27">
        <f>IF(AD13=0,"",IF(Baux!$P$2="Base fixe",Baux!$I$2,N12))</f>
        <v/>
      </c>
      <c r="M13" s="27">
        <f>IF(OR(J13="",L13=""),"",ROUND(L13*J13,2))</f>
        <v/>
      </c>
      <c r="N13" s="27">
        <f>IF(AD13=0,"",IF(LEFT(K13,5)="Geler",O13,IF(M13="","",IF(Baux!$Q$2="",M13,MIN(M13,ROUND(L13*(1+Baux!$Q$2/100)^IF(Baux!$P$2="Base fixe",C13*Baux!$O$2,VALUE(LEFT(F13,4))-VALUE(LEFT(H13,4))),2))))))</f>
        <v/>
      </c>
      <c r="O13" s="27">
        <f>IF(AD13=0,"",N12)</f>
        <v/>
      </c>
      <c r="P13" s="28">
        <f>IF(OR(N13="",O13=""),"",N13/O13-1)</f>
        <v/>
      </c>
      <c r="Q13" s="27">
        <f>IF(N13="","",N13/12)</f>
        <v/>
      </c>
      <c r="R13" s="27">
        <f>IF(N13="","",N13/IF(Baux!$L$2="Mensuelle",12,IF(Baux!$L$2="Trimestrielle",4,IF(Baux!$L$2="Semestrielle",2,1))))</f>
        <v/>
      </c>
      <c r="S13" s="27">
        <f>IF(AD13=0,"",IF(Baux!$J$2="",0,Baux!$J$2)/IF(Baux!$L$2="Mensuelle",12,IF(Baux!$L$2="Trimestrielle",4,IF(Baux!$L$2="Semestrielle",2,1))))</f>
        <v/>
      </c>
      <c r="T13" s="27">
        <f>IF(R13="","",(R13+S13)*Baux!$K$2/100)</f>
        <v/>
      </c>
      <c r="U13" s="27">
        <f>IF(R13="","",R13+S13+T13)</f>
        <v/>
      </c>
      <c r="V13" s="17">
        <f>IF(AD13=0,"",IF(LEFT(K13,5)="Geler","❄ Gelée",IF(G13="",IF(D13&lt;=TODAY(),"⚠ Indice attendu","À venir"),IF(D13&lt;=TODAY(),"✔ Calculable","Indice connu – à venir"))))</f>
        <v/>
      </c>
      <c r="W13" s="29" t="n"/>
      <c r="X13" s="13" t="n"/>
      <c r="Y13" s="14" t="n"/>
      <c r="Z13" s="14" t="n"/>
      <c r="AA13" s="13" t="n"/>
      <c r="AB13" s="17">
        <f>IF(A13="","",A13&amp;"#"&amp;C13)</f>
        <v/>
      </c>
      <c r="AC13" s="17">
        <f>IF(AND(AD13=1,D13&lt;=TODAY(),N13&lt;&gt;""),1,0)</f>
        <v/>
      </c>
      <c r="AD13" s="17">
        <f>IF(OR(A13="",D13=""),0,IF(AND(ISNUMBER(Baux!$H$2),D13&gt;Baux!$H$2),0,1))</f>
        <v/>
      </c>
    </row>
    <row r="14">
      <c r="A14" s="17">
        <f>IF(Baux!$A$3="","",Baux!$A$3)</f>
        <v/>
      </c>
      <c r="B14" s="17">
        <f>IF(A14="","",Baux!$B$3)</f>
        <v/>
      </c>
      <c r="C14" s="17" t="n">
        <v>1</v>
      </c>
      <c r="D14" s="15">
        <f>IF(OR(A14="",Baux!$F$3="",Baux!$O$3=""),"",EDATE(Baux!$F$3,12*Baux!$O$3*C14))</f>
        <v/>
      </c>
      <c r="E14" s="17">
        <f>IF(AD14=0,"",Baux!$M$3)</f>
        <v/>
      </c>
      <c r="F14" s="17">
        <f>IF(AD14=0,"",IFERROR(TEXT(VALUE(LEFT(Baux!$N$3,4))+C14*Baux!$O$3,"0")&amp;RIGHT(Baux!$N$3,3),""))</f>
        <v/>
      </c>
      <c r="G14" s="25">
        <f>IF(AD14=0,"",IF(F14="","",IF(SUMIFS(Indices_long!$C:$C,Indices_long!$A:$A,E14,Indices_long!$B:$B,F14)=0,"",SUMIFS(Indices_long!$C:$C,Indices_long!$A:$A,E14,Indices_long!$B:$B,F14))))</f>
        <v/>
      </c>
      <c r="H14" s="17">
        <f>IF(AD14=0,"",Baux!$N$3)</f>
        <v/>
      </c>
      <c r="I14" s="25">
        <f>IF(AD14=0,"",IF(H14="","",IF(SUMIFS(Indices_long!$C:$C,Indices_long!$A:$A,E14,Indices_long!$B:$B,H14)=0,"",SUMIFS(Indices_long!$C:$C,Indices_long!$A:$A,E14,Indices_long!$B:$B,H14))))</f>
        <v/>
      </c>
      <c r="J14" s="26">
        <f>IF(OR(G14="",I14=""),"",G14/I14)</f>
        <v/>
      </c>
      <c r="K14" s="13" t="n"/>
      <c r="L14" s="27">
        <f>IF(AD14=0,"",Baux!$I$3)</f>
        <v/>
      </c>
      <c r="M14" s="27">
        <f>IF(OR(J14="",L14=""),"",ROUND(L14*J14,2))</f>
        <v/>
      </c>
      <c r="N14" s="27">
        <f>IF(AD14=0,"",IF(LEFT(K14,5)="Geler",O14,IF(M14="","",IF(Baux!$Q$3="",M14,MIN(M14,ROUND(L14*(1+Baux!$Q$3/100)^IF(Baux!$P$3="Base fixe",C14*Baux!$O$3,VALUE(LEFT(F14,4))-VALUE(LEFT(H14,4))),2))))))</f>
        <v/>
      </c>
      <c r="O14" s="27">
        <f>IF(AD14=0,"",Baux!$I$3)</f>
        <v/>
      </c>
      <c r="P14" s="28">
        <f>IF(OR(N14="",O14=""),"",N14/O14-1)</f>
        <v/>
      </c>
      <c r="Q14" s="27">
        <f>IF(N14="","",N14/12)</f>
        <v/>
      </c>
      <c r="R14" s="27">
        <f>IF(N14="","",N14/IF(Baux!$L$3="Mensuelle",12,IF(Baux!$L$3="Trimestrielle",4,IF(Baux!$L$3="Semestrielle",2,1))))</f>
        <v/>
      </c>
      <c r="S14" s="27">
        <f>IF(AD14=0,"",IF(Baux!$J$3="",0,Baux!$J$3)/IF(Baux!$L$3="Mensuelle",12,IF(Baux!$L$3="Trimestrielle",4,IF(Baux!$L$3="Semestrielle",2,1))))</f>
        <v/>
      </c>
      <c r="T14" s="27">
        <f>IF(R14="","",(R14+S14)*Baux!$K$3/100)</f>
        <v/>
      </c>
      <c r="U14" s="27">
        <f>IF(R14="","",R14+S14+T14)</f>
        <v/>
      </c>
      <c r="V14" s="17">
        <f>IF(AD14=0,"",IF(LEFT(K14,5)="Geler","❄ Gelée",IF(G14="",IF(D14&lt;=TODAY(),"⚠ Indice attendu","À venir"),IF(D14&lt;=TODAY(),"✔ Calculable","Indice connu – à venir"))))</f>
        <v/>
      </c>
      <c r="W14" s="29" t="n"/>
      <c r="X14" s="13" t="n"/>
      <c r="Y14" s="14" t="n"/>
      <c r="Z14" s="14" t="n"/>
      <c r="AA14" s="13" t="n"/>
      <c r="AB14" s="17">
        <f>IF(A14="","",A14&amp;"#"&amp;C14)</f>
        <v/>
      </c>
      <c r="AC14" s="17">
        <f>IF(AND(AD14=1,D14&lt;=TODAY(),N14&lt;&gt;""),1,0)</f>
        <v/>
      </c>
      <c r="AD14" s="17">
        <f>IF(OR(A14="",D14=""),0,IF(AND(ISNUMBER(Baux!$H$3),D14&gt;Baux!$H$3),0,1))</f>
        <v/>
      </c>
    </row>
    <row r="15">
      <c r="A15" s="17">
        <f>IF(Baux!$A$3="","",Baux!$A$3)</f>
        <v/>
      </c>
      <c r="B15" s="17">
        <f>IF(A15="","",Baux!$B$3)</f>
        <v/>
      </c>
      <c r="C15" s="17" t="n">
        <v>2</v>
      </c>
      <c r="D15" s="15">
        <f>IF(OR(A15="",Baux!$F$3="",Baux!$O$3=""),"",EDATE(Baux!$F$3,12*Baux!$O$3*C15))</f>
        <v/>
      </c>
      <c r="E15" s="17">
        <f>IF(AD15=0,"",Baux!$M$3)</f>
        <v/>
      </c>
      <c r="F15" s="17">
        <f>IF(AD15=0,"",IFERROR(TEXT(VALUE(LEFT(Baux!$N$3,4))+C15*Baux!$O$3,"0")&amp;RIGHT(Baux!$N$3,3),""))</f>
        <v/>
      </c>
      <c r="G15" s="25">
        <f>IF(AD15=0,"",IF(F15="","",IF(SUMIFS(Indices_long!$C:$C,Indices_long!$A:$A,E15,Indices_long!$B:$B,F15)=0,"",SUMIFS(Indices_long!$C:$C,Indices_long!$A:$A,E15,Indices_long!$B:$B,F15))))</f>
        <v/>
      </c>
      <c r="H15" s="17">
        <f>IF(AD15=0,"",IF(Baux!$P$3="Base fixe",Baux!$N$3,IF(K14="Geler – rattrapage possible",H14,F14)))</f>
        <v/>
      </c>
      <c r="I15" s="25">
        <f>IF(AD15=0,"",IF(H15="","",IF(SUMIFS(Indices_long!$C:$C,Indices_long!$A:$A,E15,Indices_long!$B:$B,H15)=0,"",SUMIFS(Indices_long!$C:$C,Indices_long!$A:$A,E15,Indices_long!$B:$B,H15))))</f>
        <v/>
      </c>
      <c r="J15" s="26">
        <f>IF(OR(G15="",I15=""),"",G15/I15)</f>
        <v/>
      </c>
      <c r="K15" s="13" t="n"/>
      <c r="L15" s="27">
        <f>IF(AD15=0,"",IF(Baux!$P$3="Base fixe",Baux!$I$3,N14))</f>
        <v/>
      </c>
      <c r="M15" s="27">
        <f>IF(OR(J15="",L15=""),"",ROUND(L15*J15,2))</f>
        <v/>
      </c>
      <c r="N15" s="27">
        <f>IF(AD15=0,"",IF(LEFT(K15,5)="Geler",O15,IF(M15="","",IF(Baux!$Q$3="",M15,MIN(M15,ROUND(L15*(1+Baux!$Q$3/100)^IF(Baux!$P$3="Base fixe",C15*Baux!$O$3,VALUE(LEFT(F15,4))-VALUE(LEFT(H15,4))),2))))))</f>
        <v/>
      </c>
      <c r="O15" s="27">
        <f>IF(AD15=0,"",N14)</f>
        <v/>
      </c>
      <c r="P15" s="28">
        <f>IF(OR(N15="",O15=""),"",N15/O15-1)</f>
        <v/>
      </c>
      <c r="Q15" s="27">
        <f>IF(N15="","",N15/12)</f>
        <v/>
      </c>
      <c r="R15" s="27">
        <f>IF(N15="","",N15/IF(Baux!$L$3="Mensuelle",12,IF(Baux!$L$3="Trimestrielle",4,IF(Baux!$L$3="Semestrielle",2,1))))</f>
        <v/>
      </c>
      <c r="S15" s="27">
        <f>IF(AD15=0,"",IF(Baux!$J$3="",0,Baux!$J$3)/IF(Baux!$L$3="Mensuelle",12,IF(Baux!$L$3="Trimestrielle",4,IF(Baux!$L$3="Semestrielle",2,1))))</f>
        <v/>
      </c>
      <c r="T15" s="27">
        <f>IF(R15="","",(R15+S15)*Baux!$K$3/100)</f>
        <v/>
      </c>
      <c r="U15" s="27">
        <f>IF(R15="","",R15+S15+T15)</f>
        <v/>
      </c>
      <c r="V15" s="17">
        <f>IF(AD15=0,"",IF(LEFT(K15,5)="Geler","❄ Gelée",IF(G15="",IF(D15&lt;=TODAY(),"⚠ Indice attendu","À venir"),IF(D15&lt;=TODAY(),"✔ Calculable","Indice connu – à venir"))))</f>
        <v/>
      </c>
      <c r="W15" s="29" t="n"/>
      <c r="X15" s="13" t="n"/>
      <c r="Y15" s="14" t="n"/>
      <c r="Z15" s="14" t="n"/>
      <c r="AA15" s="13" t="n"/>
      <c r="AB15" s="17">
        <f>IF(A15="","",A15&amp;"#"&amp;C15)</f>
        <v/>
      </c>
      <c r="AC15" s="17">
        <f>IF(AND(AD15=1,D15&lt;=TODAY(),N15&lt;&gt;""),1,0)</f>
        <v/>
      </c>
      <c r="AD15" s="17">
        <f>IF(OR(A15="",D15=""),0,IF(AND(ISNUMBER(Baux!$H$3),D15&gt;Baux!$H$3),0,1))</f>
        <v/>
      </c>
    </row>
    <row r="16">
      <c r="A16" s="17">
        <f>IF(Baux!$A$3="","",Baux!$A$3)</f>
        <v/>
      </c>
      <c r="B16" s="17">
        <f>IF(A16="","",Baux!$B$3)</f>
        <v/>
      </c>
      <c r="C16" s="17" t="n">
        <v>3</v>
      </c>
      <c r="D16" s="15">
        <f>IF(OR(A16="",Baux!$F$3="",Baux!$O$3=""),"",EDATE(Baux!$F$3,12*Baux!$O$3*C16))</f>
        <v/>
      </c>
      <c r="E16" s="17">
        <f>IF(AD16=0,"",Baux!$M$3)</f>
        <v/>
      </c>
      <c r="F16" s="17">
        <f>IF(AD16=0,"",IFERROR(TEXT(VALUE(LEFT(Baux!$N$3,4))+C16*Baux!$O$3,"0")&amp;RIGHT(Baux!$N$3,3),""))</f>
        <v/>
      </c>
      <c r="G16" s="25">
        <f>IF(AD16=0,"",IF(F16="","",IF(SUMIFS(Indices_long!$C:$C,Indices_long!$A:$A,E16,Indices_long!$B:$B,F16)=0,"",SUMIFS(Indices_long!$C:$C,Indices_long!$A:$A,E16,Indices_long!$B:$B,F16))))</f>
        <v/>
      </c>
      <c r="H16" s="17">
        <f>IF(AD16=0,"",IF(Baux!$P$3="Base fixe",Baux!$N$3,IF(K15="Geler – rattrapage possible",H15,F15)))</f>
        <v/>
      </c>
      <c r="I16" s="25">
        <f>IF(AD16=0,"",IF(H16="","",IF(SUMIFS(Indices_long!$C:$C,Indices_long!$A:$A,E16,Indices_long!$B:$B,H16)=0,"",SUMIFS(Indices_long!$C:$C,Indices_long!$A:$A,E16,Indices_long!$B:$B,H16))))</f>
        <v/>
      </c>
      <c r="J16" s="26">
        <f>IF(OR(G16="",I16=""),"",G16/I16)</f>
        <v/>
      </c>
      <c r="K16" s="13" t="n"/>
      <c r="L16" s="27">
        <f>IF(AD16=0,"",IF(Baux!$P$3="Base fixe",Baux!$I$3,N15))</f>
        <v/>
      </c>
      <c r="M16" s="27">
        <f>IF(OR(J16="",L16=""),"",ROUND(L16*J16,2))</f>
        <v/>
      </c>
      <c r="N16" s="27">
        <f>IF(AD16=0,"",IF(LEFT(K16,5)="Geler",O16,IF(M16="","",IF(Baux!$Q$3="",M16,MIN(M16,ROUND(L16*(1+Baux!$Q$3/100)^IF(Baux!$P$3="Base fixe",C16*Baux!$O$3,VALUE(LEFT(F16,4))-VALUE(LEFT(H16,4))),2))))))</f>
        <v/>
      </c>
      <c r="O16" s="27">
        <f>IF(AD16=0,"",N15)</f>
        <v/>
      </c>
      <c r="P16" s="28">
        <f>IF(OR(N16="",O16=""),"",N16/O16-1)</f>
        <v/>
      </c>
      <c r="Q16" s="27">
        <f>IF(N16="","",N16/12)</f>
        <v/>
      </c>
      <c r="R16" s="27">
        <f>IF(N16="","",N16/IF(Baux!$L$3="Mensuelle",12,IF(Baux!$L$3="Trimestrielle",4,IF(Baux!$L$3="Semestrielle",2,1))))</f>
        <v/>
      </c>
      <c r="S16" s="27">
        <f>IF(AD16=0,"",IF(Baux!$J$3="",0,Baux!$J$3)/IF(Baux!$L$3="Mensuelle",12,IF(Baux!$L$3="Trimestrielle",4,IF(Baux!$L$3="Semestrielle",2,1))))</f>
        <v/>
      </c>
      <c r="T16" s="27">
        <f>IF(R16="","",(R16+S16)*Baux!$K$3/100)</f>
        <v/>
      </c>
      <c r="U16" s="27">
        <f>IF(R16="","",R16+S16+T16)</f>
        <v/>
      </c>
      <c r="V16" s="17">
        <f>IF(AD16=0,"",IF(LEFT(K16,5)="Geler","❄ Gelée",IF(G16="",IF(D16&lt;=TODAY(),"⚠ Indice attendu","À venir"),IF(D16&lt;=TODAY(),"✔ Calculable","Indice connu – à venir"))))</f>
        <v/>
      </c>
      <c r="W16" s="29" t="n"/>
      <c r="X16" s="13" t="n"/>
      <c r="Y16" s="14" t="n"/>
      <c r="Z16" s="14" t="n"/>
      <c r="AA16" s="13" t="n"/>
      <c r="AB16" s="17">
        <f>IF(A16="","",A16&amp;"#"&amp;C16)</f>
        <v/>
      </c>
      <c r="AC16" s="17">
        <f>IF(AND(AD16=1,D16&lt;=TODAY(),N16&lt;&gt;""),1,0)</f>
        <v/>
      </c>
      <c r="AD16" s="17">
        <f>IF(OR(A16="",D16=""),0,IF(AND(ISNUMBER(Baux!$H$3),D16&gt;Baux!$H$3),0,1))</f>
        <v/>
      </c>
    </row>
    <row r="17">
      <c r="A17" s="17">
        <f>IF(Baux!$A$3="","",Baux!$A$3)</f>
        <v/>
      </c>
      <c r="B17" s="17">
        <f>IF(A17="","",Baux!$B$3)</f>
        <v/>
      </c>
      <c r="C17" s="17" t="n">
        <v>4</v>
      </c>
      <c r="D17" s="15">
        <f>IF(OR(A17="",Baux!$F$3="",Baux!$O$3=""),"",EDATE(Baux!$F$3,12*Baux!$O$3*C17))</f>
        <v/>
      </c>
      <c r="E17" s="17">
        <f>IF(AD17=0,"",Baux!$M$3)</f>
        <v/>
      </c>
      <c r="F17" s="17">
        <f>IF(AD17=0,"",IFERROR(TEXT(VALUE(LEFT(Baux!$N$3,4))+C17*Baux!$O$3,"0")&amp;RIGHT(Baux!$N$3,3),""))</f>
        <v/>
      </c>
      <c r="G17" s="25">
        <f>IF(AD17=0,"",IF(F17="","",IF(SUMIFS(Indices_long!$C:$C,Indices_long!$A:$A,E17,Indices_long!$B:$B,F17)=0,"",SUMIFS(Indices_long!$C:$C,Indices_long!$A:$A,E17,Indices_long!$B:$B,F17))))</f>
        <v/>
      </c>
      <c r="H17" s="17">
        <f>IF(AD17=0,"",IF(Baux!$P$3="Base fixe",Baux!$N$3,IF(K16="Geler – rattrapage possible",H16,F16)))</f>
        <v/>
      </c>
      <c r="I17" s="25">
        <f>IF(AD17=0,"",IF(H17="","",IF(SUMIFS(Indices_long!$C:$C,Indices_long!$A:$A,E17,Indices_long!$B:$B,H17)=0,"",SUMIFS(Indices_long!$C:$C,Indices_long!$A:$A,E17,Indices_long!$B:$B,H17))))</f>
        <v/>
      </c>
      <c r="J17" s="26">
        <f>IF(OR(G17="",I17=""),"",G17/I17)</f>
        <v/>
      </c>
      <c r="K17" s="13" t="n"/>
      <c r="L17" s="27">
        <f>IF(AD17=0,"",IF(Baux!$P$3="Base fixe",Baux!$I$3,N16))</f>
        <v/>
      </c>
      <c r="M17" s="27">
        <f>IF(OR(J17="",L17=""),"",ROUND(L17*J17,2))</f>
        <v/>
      </c>
      <c r="N17" s="27">
        <f>IF(AD17=0,"",IF(LEFT(K17,5)="Geler",O17,IF(M17="","",IF(Baux!$Q$3="",M17,MIN(M17,ROUND(L17*(1+Baux!$Q$3/100)^IF(Baux!$P$3="Base fixe",C17*Baux!$O$3,VALUE(LEFT(F17,4))-VALUE(LEFT(H17,4))),2))))))</f>
        <v/>
      </c>
      <c r="O17" s="27">
        <f>IF(AD17=0,"",N16)</f>
        <v/>
      </c>
      <c r="P17" s="28">
        <f>IF(OR(N17="",O17=""),"",N17/O17-1)</f>
        <v/>
      </c>
      <c r="Q17" s="27">
        <f>IF(N17="","",N17/12)</f>
        <v/>
      </c>
      <c r="R17" s="27">
        <f>IF(N17="","",N17/IF(Baux!$L$3="Mensuelle",12,IF(Baux!$L$3="Trimestrielle",4,IF(Baux!$L$3="Semestrielle",2,1))))</f>
        <v/>
      </c>
      <c r="S17" s="27">
        <f>IF(AD17=0,"",IF(Baux!$J$3="",0,Baux!$J$3)/IF(Baux!$L$3="Mensuelle",12,IF(Baux!$L$3="Trimestrielle",4,IF(Baux!$L$3="Semestrielle",2,1))))</f>
        <v/>
      </c>
      <c r="T17" s="27">
        <f>IF(R17="","",(R17+S17)*Baux!$K$3/100)</f>
        <v/>
      </c>
      <c r="U17" s="27">
        <f>IF(R17="","",R17+S17+T17)</f>
        <v/>
      </c>
      <c r="V17" s="17">
        <f>IF(AD17=0,"",IF(LEFT(K17,5)="Geler","❄ Gelée",IF(G17="",IF(D17&lt;=TODAY(),"⚠ Indice attendu","À venir"),IF(D17&lt;=TODAY(),"✔ Calculable","Indice connu – à venir"))))</f>
        <v/>
      </c>
      <c r="W17" s="29" t="n"/>
      <c r="X17" s="13" t="n"/>
      <c r="Y17" s="14" t="n"/>
      <c r="Z17" s="14" t="n"/>
      <c r="AA17" s="13" t="n"/>
      <c r="AB17" s="17">
        <f>IF(A17="","",A17&amp;"#"&amp;C17)</f>
        <v/>
      </c>
      <c r="AC17" s="17">
        <f>IF(AND(AD17=1,D17&lt;=TODAY(),N17&lt;&gt;""),1,0)</f>
        <v/>
      </c>
      <c r="AD17" s="17">
        <f>IF(OR(A17="",D17=""),0,IF(AND(ISNUMBER(Baux!$H$3),D17&gt;Baux!$H$3),0,1))</f>
        <v/>
      </c>
    </row>
    <row r="18">
      <c r="A18" s="17">
        <f>IF(Baux!$A$3="","",Baux!$A$3)</f>
        <v/>
      </c>
      <c r="B18" s="17">
        <f>IF(A18="","",Baux!$B$3)</f>
        <v/>
      </c>
      <c r="C18" s="17" t="n">
        <v>5</v>
      </c>
      <c r="D18" s="15">
        <f>IF(OR(A18="",Baux!$F$3="",Baux!$O$3=""),"",EDATE(Baux!$F$3,12*Baux!$O$3*C18))</f>
        <v/>
      </c>
      <c r="E18" s="17">
        <f>IF(AD18=0,"",Baux!$M$3)</f>
        <v/>
      </c>
      <c r="F18" s="17">
        <f>IF(AD18=0,"",IFERROR(TEXT(VALUE(LEFT(Baux!$N$3,4))+C18*Baux!$O$3,"0")&amp;RIGHT(Baux!$N$3,3),""))</f>
        <v/>
      </c>
      <c r="G18" s="25">
        <f>IF(AD18=0,"",IF(F18="","",IF(SUMIFS(Indices_long!$C:$C,Indices_long!$A:$A,E18,Indices_long!$B:$B,F18)=0,"",SUMIFS(Indices_long!$C:$C,Indices_long!$A:$A,E18,Indices_long!$B:$B,F18))))</f>
        <v/>
      </c>
      <c r="H18" s="17">
        <f>IF(AD18=0,"",IF(Baux!$P$3="Base fixe",Baux!$N$3,IF(K17="Geler – rattrapage possible",H17,F17)))</f>
        <v/>
      </c>
      <c r="I18" s="25">
        <f>IF(AD18=0,"",IF(H18="","",IF(SUMIFS(Indices_long!$C:$C,Indices_long!$A:$A,E18,Indices_long!$B:$B,H18)=0,"",SUMIFS(Indices_long!$C:$C,Indices_long!$A:$A,E18,Indices_long!$B:$B,H18))))</f>
        <v/>
      </c>
      <c r="J18" s="26">
        <f>IF(OR(G18="",I18=""),"",G18/I18)</f>
        <v/>
      </c>
      <c r="K18" s="13" t="n"/>
      <c r="L18" s="27">
        <f>IF(AD18=0,"",IF(Baux!$P$3="Base fixe",Baux!$I$3,N17))</f>
        <v/>
      </c>
      <c r="M18" s="27">
        <f>IF(OR(J18="",L18=""),"",ROUND(L18*J18,2))</f>
        <v/>
      </c>
      <c r="N18" s="27">
        <f>IF(AD18=0,"",IF(LEFT(K18,5)="Geler",O18,IF(M18="","",IF(Baux!$Q$3="",M18,MIN(M18,ROUND(L18*(1+Baux!$Q$3/100)^IF(Baux!$P$3="Base fixe",C18*Baux!$O$3,VALUE(LEFT(F18,4))-VALUE(LEFT(H18,4))),2))))))</f>
        <v/>
      </c>
      <c r="O18" s="27">
        <f>IF(AD18=0,"",N17)</f>
        <v/>
      </c>
      <c r="P18" s="28">
        <f>IF(OR(N18="",O18=""),"",N18/O18-1)</f>
        <v/>
      </c>
      <c r="Q18" s="27">
        <f>IF(N18="","",N18/12)</f>
        <v/>
      </c>
      <c r="R18" s="27">
        <f>IF(N18="","",N18/IF(Baux!$L$3="Mensuelle",12,IF(Baux!$L$3="Trimestrielle",4,IF(Baux!$L$3="Semestrielle",2,1))))</f>
        <v/>
      </c>
      <c r="S18" s="27">
        <f>IF(AD18=0,"",IF(Baux!$J$3="",0,Baux!$J$3)/IF(Baux!$L$3="Mensuelle",12,IF(Baux!$L$3="Trimestrielle",4,IF(Baux!$L$3="Semestrielle",2,1))))</f>
        <v/>
      </c>
      <c r="T18" s="27">
        <f>IF(R18="","",(R18+S18)*Baux!$K$3/100)</f>
        <v/>
      </c>
      <c r="U18" s="27">
        <f>IF(R18="","",R18+S18+T18)</f>
        <v/>
      </c>
      <c r="V18" s="17">
        <f>IF(AD18=0,"",IF(LEFT(K18,5)="Geler","❄ Gelée",IF(G18="",IF(D18&lt;=TODAY(),"⚠ Indice attendu","À venir"),IF(D18&lt;=TODAY(),"✔ Calculable","Indice connu – à venir"))))</f>
        <v/>
      </c>
      <c r="W18" s="29" t="n"/>
      <c r="X18" s="13" t="n"/>
      <c r="Y18" s="14" t="n"/>
      <c r="Z18" s="14" t="n"/>
      <c r="AA18" s="13" t="n"/>
      <c r="AB18" s="17">
        <f>IF(A18="","",A18&amp;"#"&amp;C18)</f>
        <v/>
      </c>
      <c r="AC18" s="17">
        <f>IF(AND(AD18=1,D18&lt;=TODAY(),N18&lt;&gt;""),1,0)</f>
        <v/>
      </c>
      <c r="AD18" s="17">
        <f>IF(OR(A18="",D18=""),0,IF(AND(ISNUMBER(Baux!$H$3),D18&gt;Baux!$H$3),0,1))</f>
        <v/>
      </c>
    </row>
    <row r="19">
      <c r="A19" s="17">
        <f>IF(Baux!$A$3="","",Baux!$A$3)</f>
        <v/>
      </c>
      <c r="B19" s="17">
        <f>IF(A19="","",Baux!$B$3)</f>
        <v/>
      </c>
      <c r="C19" s="17" t="n">
        <v>6</v>
      </c>
      <c r="D19" s="15">
        <f>IF(OR(A19="",Baux!$F$3="",Baux!$O$3=""),"",EDATE(Baux!$F$3,12*Baux!$O$3*C19))</f>
        <v/>
      </c>
      <c r="E19" s="17">
        <f>IF(AD19=0,"",Baux!$M$3)</f>
        <v/>
      </c>
      <c r="F19" s="17">
        <f>IF(AD19=0,"",IFERROR(TEXT(VALUE(LEFT(Baux!$N$3,4))+C19*Baux!$O$3,"0")&amp;RIGHT(Baux!$N$3,3),""))</f>
        <v/>
      </c>
      <c r="G19" s="25">
        <f>IF(AD19=0,"",IF(F19="","",IF(SUMIFS(Indices_long!$C:$C,Indices_long!$A:$A,E19,Indices_long!$B:$B,F19)=0,"",SUMIFS(Indices_long!$C:$C,Indices_long!$A:$A,E19,Indices_long!$B:$B,F19))))</f>
        <v/>
      </c>
      <c r="H19" s="17">
        <f>IF(AD19=0,"",IF(Baux!$P$3="Base fixe",Baux!$N$3,IF(K18="Geler – rattrapage possible",H18,F18)))</f>
        <v/>
      </c>
      <c r="I19" s="25">
        <f>IF(AD19=0,"",IF(H19="","",IF(SUMIFS(Indices_long!$C:$C,Indices_long!$A:$A,E19,Indices_long!$B:$B,H19)=0,"",SUMIFS(Indices_long!$C:$C,Indices_long!$A:$A,E19,Indices_long!$B:$B,H19))))</f>
        <v/>
      </c>
      <c r="J19" s="26">
        <f>IF(OR(G19="",I19=""),"",G19/I19)</f>
        <v/>
      </c>
      <c r="K19" s="13" t="n"/>
      <c r="L19" s="27">
        <f>IF(AD19=0,"",IF(Baux!$P$3="Base fixe",Baux!$I$3,N18))</f>
        <v/>
      </c>
      <c r="M19" s="27">
        <f>IF(OR(J19="",L19=""),"",ROUND(L19*J19,2))</f>
        <v/>
      </c>
      <c r="N19" s="27">
        <f>IF(AD19=0,"",IF(LEFT(K19,5)="Geler",O19,IF(M19="","",IF(Baux!$Q$3="",M19,MIN(M19,ROUND(L19*(1+Baux!$Q$3/100)^IF(Baux!$P$3="Base fixe",C19*Baux!$O$3,VALUE(LEFT(F19,4))-VALUE(LEFT(H19,4))),2))))))</f>
        <v/>
      </c>
      <c r="O19" s="27">
        <f>IF(AD19=0,"",N18)</f>
        <v/>
      </c>
      <c r="P19" s="28">
        <f>IF(OR(N19="",O19=""),"",N19/O19-1)</f>
        <v/>
      </c>
      <c r="Q19" s="27">
        <f>IF(N19="","",N19/12)</f>
        <v/>
      </c>
      <c r="R19" s="27">
        <f>IF(N19="","",N19/IF(Baux!$L$3="Mensuelle",12,IF(Baux!$L$3="Trimestrielle",4,IF(Baux!$L$3="Semestrielle",2,1))))</f>
        <v/>
      </c>
      <c r="S19" s="27">
        <f>IF(AD19=0,"",IF(Baux!$J$3="",0,Baux!$J$3)/IF(Baux!$L$3="Mensuelle",12,IF(Baux!$L$3="Trimestrielle",4,IF(Baux!$L$3="Semestrielle",2,1))))</f>
        <v/>
      </c>
      <c r="T19" s="27">
        <f>IF(R19="","",(R19+S19)*Baux!$K$3/100)</f>
        <v/>
      </c>
      <c r="U19" s="27">
        <f>IF(R19="","",R19+S19+T19)</f>
        <v/>
      </c>
      <c r="V19" s="17">
        <f>IF(AD19=0,"",IF(LEFT(K19,5)="Geler","❄ Gelée",IF(G19="",IF(D19&lt;=TODAY(),"⚠ Indice attendu","À venir"),IF(D19&lt;=TODAY(),"✔ Calculable","Indice connu – à venir"))))</f>
        <v/>
      </c>
      <c r="W19" s="29" t="n"/>
      <c r="X19" s="13" t="n"/>
      <c r="Y19" s="14" t="n"/>
      <c r="Z19" s="14" t="n"/>
      <c r="AA19" s="13" t="n"/>
      <c r="AB19" s="17">
        <f>IF(A19="","",A19&amp;"#"&amp;C19)</f>
        <v/>
      </c>
      <c r="AC19" s="17">
        <f>IF(AND(AD19=1,D19&lt;=TODAY(),N19&lt;&gt;""),1,0)</f>
        <v/>
      </c>
      <c r="AD19" s="17">
        <f>IF(OR(A19="",D19=""),0,IF(AND(ISNUMBER(Baux!$H$3),D19&gt;Baux!$H$3),0,1))</f>
        <v/>
      </c>
    </row>
    <row r="20">
      <c r="A20" s="17">
        <f>IF(Baux!$A$3="","",Baux!$A$3)</f>
        <v/>
      </c>
      <c r="B20" s="17">
        <f>IF(A20="","",Baux!$B$3)</f>
        <v/>
      </c>
      <c r="C20" s="17" t="n">
        <v>7</v>
      </c>
      <c r="D20" s="15">
        <f>IF(OR(A20="",Baux!$F$3="",Baux!$O$3=""),"",EDATE(Baux!$F$3,12*Baux!$O$3*C20))</f>
        <v/>
      </c>
      <c r="E20" s="17">
        <f>IF(AD20=0,"",Baux!$M$3)</f>
        <v/>
      </c>
      <c r="F20" s="17">
        <f>IF(AD20=0,"",IFERROR(TEXT(VALUE(LEFT(Baux!$N$3,4))+C20*Baux!$O$3,"0")&amp;RIGHT(Baux!$N$3,3),""))</f>
        <v/>
      </c>
      <c r="G20" s="25">
        <f>IF(AD20=0,"",IF(F20="","",IF(SUMIFS(Indices_long!$C:$C,Indices_long!$A:$A,E20,Indices_long!$B:$B,F20)=0,"",SUMIFS(Indices_long!$C:$C,Indices_long!$A:$A,E20,Indices_long!$B:$B,F20))))</f>
        <v/>
      </c>
      <c r="H20" s="17">
        <f>IF(AD20=0,"",IF(Baux!$P$3="Base fixe",Baux!$N$3,IF(K19="Geler – rattrapage possible",H19,F19)))</f>
        <v/>
      </c>
      <c r="I20" s="25">
        <f>IF(AD20=0,"",IF(H20="","",IF(SUMIFS(Indices_long!$C:$C,Indices_long!$A:$A,E20,Indices_long!$B:$B,H20)=0,"",SUMIFS(Indices_long!$C:$C,Indices_long!$A:$A,E20,Indices_long!$B:$B,H20))))</f>
        <v/>
      </c>
      <c r="J20" s="26">
        <f>IF(OR(G20="",I20=""),"",G20/I20)</f>
        <v/>
      </c>
      <c r="K20" s="13" t="n"/>
      <c r="L20" s="27">
        <f>IF(AD20=0,"",IF(Baux!$P$3="Base fixe",Baux!$I$3,N19))</f>
        <v/>
      </c>
      <c r="M20" s="27">
        <f>IF(OR(J20="",L20=""),"",ROUND(L20*J20,2))</f>
        <v/>
      </c>
      <c r="N20" s="27">
        <f>IF(AD20=0,"",IF(LEFT(K20,5)="Geler",O20,IF(M20="","",IF(Baux!$Q$3="",M20,MIN(M20,ROUND(L20*(1+Baux!$Q$3/100)^IF(Baux!$P$3="Base fixe",C20*Baux!$O$3,VALUE(LEFT(F20,4))-VALUE(LEFT(H20,4))),2))))))</f>
        <v/>
      </c>
      <c r="O20" s="27">
        <f>IF(AD20=0,"",N19)</f>
        <v/>
      </c>
      <c r="P20" s="28">
        <f>IF(OR(N20="",O20=""),"",N20/O20-1)</f>
        <v/>
      </c>
      <c r="Q20" s="27">
        <f>IF(N20="","",N20/12)</f>
        <v/>
      </c>
      <c r="R20" s="27">
        <f>IF(N20="","",N20/IF(Baux!$L$3="Mensuelle",12,IF(Baux!$L$3="Trimestrielle",4,IF(Baux!$L$3="Semestrielle",2,1))))</f>
        <v/>
      </c>
      <c r="S20" s="27">
        <f>IF(AD20=0,"",IF(Baux!$J$3="",0,Baux!$J$3)/IF(Baux!$L$3="Mensuelle",12,IF(Baux!$L$3="Trimestrielle",4,IF(Baux!$L$3="Semestrielle",2,1))))</f>
        <v/>
      </c>
      <c r="T20" s="27">
        <f>IF(R20="","",(R20+S20)*Baux!$K$3/100)</f>
        <v/>
      </c>
      <c r="U20" s="27">
        <f>IF(R20="","",R20+S20+T20)</f>
        <v/>
      </c>
      <c r="V20" s="17">
        <f>IF(AD20=0,"",IF(LEFT(K20,5)="Geler","❄ Gelée",IF(G20="",IF(D20&lt;=TODAY(),"⚠ Indice attendu","À venir"),IF(D20&lt;=TODAY(),"✔ Calculable","Indice connu – à venir"))))</f>
        <v/>
      </c>
      <c r="W20" s="29" t="n"/>
      <c r="X20" s="13" t="n"/>
      <c r="Y20" s="14" t="n"/>
      <c r="Z20" s="14" t="n"/>
      <c r="AA20" s="13" t="n"/>
      <c r="AB20" s="17">
        <f>IF(A20="","",A20&amp;"#"&amp;C20)</f>
        <v/>
      </c>
      <c r="AC20" s="17">
        <f>IF(AND(AD20=1,D20&lt;=TODAY(),N20&lt;&gt;""),1,0)</f>
        <v/>
      </c>
      <c r="AD20" s="17">
        <f>IF(OR(A20="",D20=""),0,IF(AND(ISNUMBER(Baux!$H$3),D20&gt;Baux!$H$3),0,1))</f>
        <v/>
      </c>
    </row>
    <row r="21">
      <c r="A21" s="17">
        <f>IF(Baux!$A$3="","",Baux!$A$3)</f>
        <v/>
      </c>
      <c r="B21" s="17">
        <f>IF(A21="","",Baux!$B$3)</f>
        <v/>
      </c>
      <c r="C21" s="17" t="n">
        <v>8</v>
      </c>
      <c r="D21" s="15">
        <f>IF(OR(A21="",Baux!$F$3="",Baux!$O$3=""),"",EDATE(Baux!$F$3,12*Baux!$O$3*C21))</f>
        <v/>
      </c>
      <c r="E21" s="17">
        <f>IF(AD21=0,"",Baux!$M$3)</f>
        <v/>
      </c>
      <c r="F21" s="17">
        <f>IF(AD21=0,"",IFERROR(TEXT(VALUE(LEFT(Baux!$N$3,4))+C21*Baux!$O$3,"0")&amp;RIGHT(Baux!$N$3,3),""))</f>
        <v/>
      </c>
      <c r="G21" s="25">
        <f>IF(AD21=0,"",IF(F21="","",IF(SUMIFS(Indices_long!$C:$C,Indices_long!$A:$A,E21,Indices_long!$B:$B,F21)=0,"",SUMIFS(Indices_long!$C:$C,Indices_long!$A:$A,E21,Indices_long!$B:$B,F21))))</f>
        <v/>
      </c>
      <c r="H21" s="17">
        <f>IF(AD21=0,"",IF(Baux!$P$3="Base fixe",Baux!$N$3,IF(K20="Geler – rattrapage possible",H20,F20)))</f>
        <v/>
      </c>
      <c r="I21" s="25">
        <f>IF(AD21=0,"",IF(H21="","",IF(SUMIFS(Indices_long!$C:$C,Indices_long!$A:$A,E21,Indices_long!$B:$B,H21)=0,"",SUMIFS(Indices_long!$C:$C,Indices_long!$A:$A,E21,Indices_long!$B:$B,H21))))</f>
        <v/>
      </c>
      <c r="J21" s="26">
        <f>IF(OR(G21="",I21=""),"",G21/I21)</f>
        <v/>
      </c>
      <c r="K21" s="13" t="n"/>
      <c r="L21" s="27">
        <f>IF(AD21=0,"",IF(Baux!$P$3="Base fixe",Baux!$I$3,N20))</f>
        <v/>
      </c>
      <c r="M21" s="27">
        <f>IF(OR(J21="",L21=""),"",ROUND(L21*J21,2))</f>
        <v/>
      </c>
      <c r="N21" s="27">
        <f>IF(AD21=0,"",IF(LEFT(K21,5)="Geler",O21,IF(M21="","",IF(Baux!$Q$3="",M21,MIN(M21,ROUND(L21*(1+Baux!$Q$3/100)^IF(Baux!$P$3="Base fixe",C21*Baux!$O$3,VALUE(LEFT(F21,4))-VALUE(LEFT(H21,4))),2))))))</f>
        <v/>
      </c>
      <c r="O21" s="27">
        <f>IF(AD21=0,"",N20)</f>
        <v/>
      </c>
      <c r="P21" s="28">
        <f>IF(OR(N21="",O21=""),"",N21/O21-1)</f>
        <v/>
      </c>
      <c r="Q21" s="27">
        <f>IF(N21="","",N21/12)</f>
        <v/>
      </c>
      <c r="R21" s="27">
        <f>IF(N21="","",N21/IF(Baux!$L$3="Mensuelle",12,IF(Baux!$L$3="Trimestrielle",4,IF(Baux!$L$3="Semestrielle",2,1))))</f>
        <v/>
      </c>
      <c r="S21" s="27">
        <f>IF(AD21=0,"",IF(Baux!$J$3="",0,Baux!$J$3)/IF(Baux!$L$3="Mensuelle",12,IF(Baux!$L$3="Trimestrielle",4,IF(Baux!$L$3="Semestrielle",2,1))))</f>
        <v/>
      </c>
      <c r="T21" s="27">
        <f>IF(R21="","",(R21+S21)*Baux!$K$3/100)</f>
        <v/>
      </c>
      <c r="U21" s="27">
        <f>IF(R21="","",R21+S21+T21)</f>
        <v/>
      </c>
      <c r="V21" s="17">
        <f>IF(AD21=0,"",IF(LEFT(K21,5)="Geler","❄ Gelée",IF(G21="",IF(D21&lt;=TODAY(),"⚠ Indice attendu","À venir"),IF(D21&lt;=TODAY(),"✔ Calculable","Indice connu – à venir"))))</f>
        <v/>
      </c>
      <c r="W21" s="29" t="n"/>
      <c r="X21" s="13" t="n"/>
      <c r="Y21" s="14" t="n"/>
      <c r="Z21" s="14" t="n"/>
      <c r="AA21" s="13" t="n"/>
      <c r="AB21" s="17">
        <f>IF(A21="","",A21&amp;"#"&amp;C21)</f>
        <v/>
      </c>
      <c r="AC21" s="17">
        <f>IF(AND(AD21=1,D21&lt;=TODAY(),N21&lt;&gt;""),1,0)</f>
        <v/>
      </c>
      <c r="AD21" s="17">
        <f>IF(OR(A21="",D21=""),0,IF(AND(ISNUMBER(Baux!$H$3),D21&gt;Baux!$H$3),0,1))</f>
        <v/>
      </c>
    </row>
    <row r="22">
      <c r="A22" s="17">
        <f>IF(Baux!$A$3="","",Baux!$A$3)</f>
        <v/>
      </c>
      <c r="B22" s="17">
        <f>IF(A22="","",Baux!$B$3)</f>
        <v/>
      </c>
      <c r="C22" s="17" t="n">
        <v>9</v>
      </c>
      <c r="D22" s="15">
        <f>IF(OR(A22="",Baux!$F$3="",Baux!$O$3=""),"",EDATE(Baux!$F$3,12*Baux!$O$3*C22))</f>
        <v/>
      </c>
      <c r="E22" s="17">
        <f>IF(AD22=0,"",Baux!$M$3)</f>
        <v/>
      </c>
      <c r="F22" s="17">
        <f>IF(AD22=0,"",IFERROR(TEXT(VALUE(LEFT(Baux!$N$3,4))+C22*Baux!$O$3,"0")&amp;RIGHT(Baux!$N$3,3),""))</f>
        <v/>
      </c>
      <c r="G22" s="25">
        <f>IF(AD22=0,"",IF(F22="","",IF(SUMIFS(Indices_long!$C:$C,Indices_long!$A:$A,E22,Indices_long!$B:$B,F22)=0,"",SUMIFS(Indices_long!$C:$C,Indices_long!$A:$A,E22,Indices_long!$B:$B,F22))))</f>
        <v/>
      </c>
      <c r="H22" s="17">
        <f>IF(AD22=0,"",IF(Baux!$P$3="Base fixe",Baux!$N$3,IF(K21="Geler – rattrapage possible",H21,F21)))</f>
        <v/>
      </c>
      <c r="I22" s="25">
        <f>IF(AD22=0,"",IF(H22="","",IF(SUMIFS(Indices_long!$C:$C,Indices_long!$A:$A,E22,Indices_long!$B:$B,H22)=0,"",SUMIFS(Indices_long!$C:$C,Indices_long!$A:$A,E22,Indices_long!$B:$B,H22))))</f>
        <v/>
      </c>
      <c r="J22" s="26">
        <f>IF(OR(G22="",I22=""),"",G22/I22)</f>
        <v/>
      </c>
      <c r="K22" s="13" t="n"/>
      <c r="L22" s="27">
        <f>IF(AD22=0,"",IF(Baux!$P$3="Base fixe",Baux!$I$3,N21))</f>
        <v/>
      </c>
      <c r="M22" s="27">
        <f>IF(OR(J22="",L22=""),"",ROUND(L22*J22,2))</f>
        <v/>
      </c>
      <c r="N22" s="27">
        <f>IF(AD22=0,"",IF(LEFT(K22,5)="Geler",O22,IF(M22="","",IF(Baux!$Q$3="",M22,MIN(M22,ROUND(L22*(1+Baux!$Q$3/100)^IF(Baux!$P$3="Base fixe",C22*Baux!$O$3,VALUE(LEFT(F22,4))-VALUE(LEFT(H22,4))),2))))))</f>
        <v/>
      </c>
      <c r="O22" s="27">
        <f>IF(AD22=0,"",N21)</f>
        <v/>
      </c>
      <c r="P22" s="28">
        <f>IF(OR(N22="",O22=""),"",N22/O22-1)</f>
        <v/>
      </c>
      <c r="Q22" s="27">
        <f>IF(N22="","",N22/12)</f>
        <v/>
      </c>
      <c r="R22" s="27">
        <f>IF(N22="","",N22/IF(Baux!$L$3="Mensuelle",12,IF(Baux!$L$3="Trimestrielle",4,IF(Baux!$L$3="Semestrielle",2,1))))</f>
        <v/>
      </c>
      <c r="S22" s="27">
        <f>IF(AD22=0,"",IF(Baux!$J$3="",0,Baux!$J$3)/IF(Baux!$L$3="Mensuelle",12,IF(Baux!$L$3="Trimestrielle",4,IF(Baux!$L$3="Semestrielle",2,1))))</f>
        <v/>
      </c>
      <c r="T22" s="27">
        <f>IF(R22="","",(R22+S22)*Baux!$K$3/100)</f>
        <v/>
      </c>
      <c r="U22" s="27">
        <f>IF(R22="","",R22+S22+T22)</f>
        <v/>
      </c>
      <c r="V22" s="17">
        <f>IF(AD22=0,"",IF(LEFT(K22,5)="Geler","❄ Gelée",IF(G22="",IF(D22&lt;=TODAY(),"⚠ Indice attendu","À venir"),IF(D22&lt;=TODAY(),"✔ Calculable","Indice connu – à venir"))))</f>
        <v/>
      </c>
      <c r="W22" s="29" t="n"/>
      <c r="X22" s="13" t="n"/>
      <c r="Y22" s="14" t="n"/>
      <c r="Z22" s="14" t="n"/>
      <c r="AA22" s="13" t="n"/>
      <c r="AB22" s="17">
        <f>IF(A22="","",A22&amp;"#"&amp;C22)</f>
        <v/>
      </c>
      <c r="AC22" s="17">
        <f>IF(AND(AD22=1,D22&lt;=TODAY(),N22&lt;&gt;""),1,0)</f>
        <v/>
      </c>
      <c r="AD22" s="17">
        <f>IF(OR(A22="",D22=""),0,IF(AND(ISNUMBER(Baux!$H$3),D22&gt;Baux!$H$3),0,1))</f>
        <v/>
      </c>
    </row>
    <row r="23">
      <c r="A23" s="17">
        <f>IF(Baux!$A$3="","",Baux!$A$3)</f>
        <v/>
      </c>
      <c r="B23" s="17">
        <f>IF(A23="","",Baux!$B$3)</f>
        <v/>
      </c>
      <c r="C23" s="17" t="n">
        <v>10</v>
      </c>
      <c r="D23" s="15">
        <f>IF(OR(A23="",Baux!$F$3="",Baux!$O$3=""),"",EDATE(Baux!$F$3,12*Baux!$O$3*C23))</f>
        <v/>
      </c>
      <c r="E23" s="17">
        <f>IF(AD23=0,"",Baux!$M$3)</f>
        <v/>
      </c>
      <c r="F23" s="17">
        <f>IF(AD23=0,"",IFERROR(TEXT(VALUE(LEFT(Baux!$N$3,4))+C23*Baux!$O$3,"0")&amp;RIGHT(Baux!$N$3,3),""))</f>
        <v/>
      </c>
      <c r="G23" s="25">
        <f>IF(AD23=0,"",IF(F23="","",IF(SUMIFS(Indices_long!$C:$C,Indices_long!$A:$A,E23,Indices_long!$B:$B,F23)=0,"",SUMIFS(Indices_long!$C:$C,Indices_long!$A:$A,E23,Indices_long!$B:$B,F23))))</f>
        <v/>
      </c>
      <c r="H23" s="17">
        <f>IF(AD23=0,"",IF(Baux!$P$3="Base fixe",Baux!$N$3,IF(K22="Geler – rattrapage possible",H22,F22)))</f>
        <v/>
      </c>
      <c r="I23" s="25">
        <f>IF(AD23=0,"",IF(H23="","",IF(SUMIFS(Indices_long!$C:$C,Indices_long!$A:$A,E23,Indices_long!$B:$B,H23)=0,"",SUMIFS(Indices_long!$C:$C,Indices_long!$A:$A,E23,Indices_long!$B:$B,H23))))</f>
        <v/>
      </c>
      <c r="J23" s="26">
        <f>IF(OR(G23="",I23=""),"",G23/I23)</f>
        <v/>
      </c>
      <c r="K23" s="13" t="n"/>
      <c r="L23" s="27">
        <f>IF(AD23=0,"",IF(Baux!$P$3="Base fixe",Baux!$I$3,N22))</f>
        <v/>
      </c>
      <c r="M23" s="27">
        <f>IF(OR(J23="",L23=""),"",ROUND(L23*J23,2))</f>
        <v/>
      </c>
      <c r="N23" s="27">
        <f>IF(AD23=0,"",IF(LEFT(K23,5)="Geler",O23,IF(M23="","",IF(Baux!$Q$3="",M23,MIN(M23,ROUND(L23*(1+Baux!$Q$3/100)^IF(Baux!$P$3="Base fixe",C23*Baux!$O$3,VALUE(LEFT(F23,4))-VALUE(LEFT(H23,4))),2))))))</f>
        <v/>
      </c>
      <c r="O23" s="27">
        <f>IF(AD23=0,"",N22)</f>
        <v/>
      </c>
      <c r="P23" s="28">
        <f>IF(OR(N23="",O23=""),"",N23/O23-1)</f>
        <v/>
      </c>
      <c r="Q23" s="27">
        <f>IF(N23="","",N23/12)</f>
        <v/>
      </c>
      <c r="R23" s="27">
        <f>IF(N23="","",N23/IF(Baux!$L$3="Mensuelle",12,IF(Baux!$L$3="Trimestrielle",4,IF(Baux!$L$3="Semestrielle",2,1))))</f>
        <v/>
      </c>
      <c r="S23" s="27">
        <f>IF(AD23=0,"",IF(Baux!$J$3="",0,Baux!$J$3)/IF(Baux!$L$3="Mensuelle",12,IF(Baux!$L$3="Trimestrielle",4,IF(Baux!$L$3="Semestrielle",2,1))))</f>
        <v/>
      </c>
      <c r="T23" s="27">
        <f>IF(R23="","",(R23+S23)*Baux!$K$3/100)</f>
        <v/>
      </c>
      <c r="U23" s="27">
        <f>IF(R23="","",R23+S23+T23)</f>
        <v/>
      </c>
      <c r="V23" s="17">
        <f>IF(AD23=0,"",IF(LEFT(K23,5)="Geler","❄ Gelée",IF(G23="",IF(D23&lt;=TODAY(),"⚠ Indice attendu","À venir"),IF(D23&lt;=TODAY(),"✔ Calculable","Indice connu – à venir"))))</f>
        <v/>
      </c>
      <c r="W23" s="29" t="n"/>
      <c r="X23" s="13" t="n"/>
      <c r="Y23" s="14" t="n"/>
      <c r="Z23" s="14" t="n"/>
      <c r="AA23" s="13" t="n"/>
      <c r="AB23" s="17">
        <f>IF(A23="","",A23&amp;"#"&amp;C23)</f>
        <v/>
      </c>
      <c r="AC23" s="17">
        <f>IF(AND(AD23=1,D23&lt;=TODAY(),N23&lt;&gt;""),1,0)</f>
        <v/>
      </c>
      <c r="AD23" s="17">
        <f>IF(OR(A23="",D23=""),0,IF(AND(ISNUMBER(Baux!$H$3),D23&gt;Baux!$H$3),0,1))</f>
        <v/>
      </c>
    </row>
    <row r="24">
      <c r="A24" s="17">
        <f>IF(Baux!$A$3="","",Baux!$A$3)</f>
        <v/>
      </c>
      <c r="B24" s="17">
        <f>IF(A24="","",Baux!$B$3)</f>
        <v/>
      </c>
      <c r="C24" s="17" t="n">
        <v>11</v>
      </c>
      <c r="D24" s="15">
        <f>IF(OR(A24="",Baux!$F$3="",Baux!$O$3=""),"",EDATE(Baux!$F$3,12*Baux!$O$3*C24))</f>
        <v/>
      </c>
      <c r="E24" s="17">
        <f>IF(AD24=0,"",Baux!$M$3)</f>
        <v/>
      </c>
      <c r="F24" s="17">
        <f>IF(AD24=0,"",IFERROR(TEXT(VALUE(LEFT(Baux!$N$3,4))+C24*Baux!$O$3,"0")&amp;RIGHT(Baux!$N$3,3),""))</f>
        <v/>
      </c>
      <c r="G24" s="25">
        <f>IF(AD24=0,"",IF(F24="","",IF(SUMIFS(Indices_long!$C:$C,Indices_long!$A:$A,E24,Indices_long!$B:$B,F24)=0,"",SUMIFS(Indices_long!$C:$C,Indices_long!$A:$A,E24,Indices_long!$B:$B,F24))))</f>
        <v/>
      </c>
      <c r="H24" s="17">
        <f>IF(AD24=0,"",IF(Baux!$P$3="Base fixe",Baux!$N$3,IF(K23="Geler – rattrapage possible",H23,F23)))</f>
        <v/>
      </c>
      <c r="I24" s="25">
        <f>IF(AD24=0,"",IF(H24="","",IF(SUMIFS(Indices_long!$C:$C,Indices_long!$A:$A,E24,Indices_long!$B:$B,H24)=0,"",SUMIFS(Indices_long!$C:$C,Indices_long!$A:$A,E24,Indices_long!$B:$B,H24))))</f>
        <v/>
      </c>
      <c r="J24" s="26">
        <f>IF(OR(G24="",I24=""),"",G24/I24)</f>
        <v/>
      </c>
      <c r="K24" s="13" t="n"/>
      <c r="L24" s="27">
        <f>IF(AD24=0,"",IF(Baux!$P$3="Base fixe",Baux!$I$3,N23))</f>
        <v/>
      </c>
      <c r="M24" s="27">
        <f>IF(OR(J24="",L24=""),"",ROUND(L24*J24,2))</f>
        <v/>
      </c>
      <c r="N24" s="27">
        <f>IF(AD24=0,"",IF(LEFT(K24,5)="Geler",O24,IF(M24="","",IF(Baux!$Q$3="",M24,MIN(M24,ROUND(L24*(1+Baux!$Q$3/100)^IF(Baux!$P$3="Base fixe",C24*Baux!$O$3,VALUE(LEFT(F24,4))-VALUE(LEFT(H24,4))),2))))))</f>
        <v/>
      </c>
      <c r="O24" s="27">
        <f>IF(AD24=0,"",N23)</f>
        <v/>
      </c>
      <c r="P24" s="28">
        <f>IF(OR(N24="",O24=""),"",N24/O24-1)</f>
        <v/>
      </c>
      <c r="Q24" s="27">
        <f>IF(N24="","",N24/12)</f>
        <v/>
      </c>
      <c r="R24" s="27">
        <f>IF(N24="","",N24/IF(Baux!$L$3="Mensuelle",12,IF(Baux!$L$3="Trimestrielle",4,IF(Baux!$L$3="Semestrielle",2,1))))</f>
        <v/>
      </c>
      <c r="S24" s="27">
        <f>IF(AD24=0,"",IF(Baux!$J$3="",0,Baux!$J$3)/IF(Baux!$L$3="Mensuelle",12,IF(Baux!$L$3="Trimestrielle",4,IF(Baux!$L$3="Semestrielle",2,1))))</f>
        <v/>
      </c>
      <c r="T24" s="27">
        <f>IF(R24="","",(R24+S24)*Baux!$K$3/100)</f>
        <v/>
      </c>
      <c r="U24" s="27">
        <f>IF(R24="","",R24+S24+T24)</f>
        <v/>
      </c>
      <c r="V24" s="17">
        <f>IF(AD24=0,"",IF(LEFT(K24,5)="Geler","❄ Gelée",IF(G24="",IF(D24&lt;=TODAY(),"⚠ Indice attendu","À venir"),IF(D24&lt;=TODAY(),"✔ Calculable","Indice connu – à venir"))))</f>
        <v/>
      </c>
      <c r="W24" s="29" t="n"/>
      <c r="X24" s="13" t="n"/>
      <c r="Y24" s="14" t="n"/>
      <c r="Z24" s="14" t="n"/>
      <c r="AA24" s="13" t="n"/>
      <c r="AB24" s="17">
        <f>IF(A24="","",A24&amp;"#"&amp;C24)</f>
        <v/>
      </c>
      <c r="AC24" s="17">
        <f>IF(AND(AD24=1,D24&lt;=TODAY(),N24&lt;&gt;""),1,0)</f>
        <v/>
      </c>
      <c r="AD24" s="17">
        <f>IF(OR(A24="",D24=""),0,IF(AND(ISNUMBER(Baux!$H$3),D24&gt;Baux!$H$3),0,1))</f>
        <v/>
      </c>
    </row>
    <row r="25">
      <c r="A25" s="17">
        <f>IF(Baux!$A$3="","",Baux!$A$3)</f>
        <v/>
      </c>
      <c r="B25" s="17">
        <f>IF(A25="","",Baux!$B$3)</f>
        <v/>
      </c>
      <c r="C25" s="17" t="n">
        <v>12</v>
      </c>
      <c r="D25" s="15">
        <f>IF(OR(A25="",Baux!$F$3="",Baux!$O$3=""),"",EDATE(Baux!$F$3,12*Baux!$O$3*C25))</f>
        <v/>
      </c>
      <c r="E25" s="17">
        <f>IF(AD25=0,"",Baux!$M$3)</f>
        <v/>
      </c>
      <c r="F25" s="17">
        <f>IF(AD25=0,"",IFERROR(TEXT(VALUE(LEFT(Baux!$N$3,4))+C25*Baux!$O$3,"0")&amp;RIGHT(Baux!$N$3,3),""))</f>
        <v/>
      </c>
      <c r="G25" s="25">
        <f>IF(AD25=0,"",IF(F25="","",IF(SUMIFS(Indices_long!$C:$C,Indices_long!$A:$A,E25,Indices_long!$B:$B,F25)=0,"",SUMIFS(Indices_long!$C:$C,Indices_long!$A:$A,E25,Indices_long!$B:$B,F25))))</f>
        <v/>
      </c>
      <c r="H25" s="17">
        <f>IF(AD25=0,"",IF(Baux!$P$3="Base fixe",Baux!$N$3,IF(K24="Geler – rattrapage possible",H24,F24)))</f>
        <v/>
      </c>
      <c r="I25" s="25">
        <f>IF(AD25=0,"",IF(H25="","",IF(SUMIFS(Indices_long!$C:$C,Indices_long!$A:$A,E25,Indices_long!$B:$B,H25)=0,"",SUMIFS(Indices_long!$C:$C,Indices_long!$A:$A,E25,Indices_long!$B:$B,H25))))</f>
        <v/>
      </c>
      <c r="J25" s="26">
        <f>IF(OR(G25="",I25=""),"",G25/I25)</f>
        <v/>
      </c>
      <c r="K25" s="13" t="n"/>
      <c r="L25" s="27">
        <f>IF(AD25=0,"",IF(Baux!$P$3="Base fixe",Baux!$I$3,N24))</f>
        <v/>
      </c>
      <c r="M25" s="27">
        <f>IF(OR(J25="",L25=""),"",ROUND(L25*J25,2))</f>
        <v/>
      </c>
      <c r="N25" s="27">
        <f>IF(AD25=0,"",IF(LEFT(K25,5)="Geler",O25,IF(M25="","",IF(Baux!$Q$3="",M25,MIN(M25,ROUND(L25*(1+Baux!$Q$3/100)^IF(Baux!$P$3="Base fixe",C25*Baux!$O$3,VALUE(LEFT(F25,4))-VALUE(LEFT(H25,4))),2))))))</f>
        <v/>
      </c>
      <c r="O25" s="27">
        <f>IF(AD25=0,"",N24)</f>
        <v/>
      </c>
      <c r="P25" s="28">
        <f>IF(OR(N25="",O25=""),"",N25/O25-1)</f>
        <v/>
      </c>
      <c r="Q25" s="27">
        <f>IF(N25="","",N25/12)</f>
        <v/>
      </c>
      <c r="R25" s="27">
        <f>IF(N25="","",N25/IF(Baux!$L$3="Mensuelle",12,IF(Baux!$L$3="Trimestrielle",4,IF(Baux!$L$3="Semestrielle",2,1))))</f>
        <v/>
      </c>
      <c r="S25" s="27">
        <f>IF(AD25=0,"",IF(Baux!$J$3="",0,Baux!$J$3)/IF(Baux!$L$3="Mensuelle",12,IF(Baux!$L$3="Trimestrielle",4,IF(Baux!$L$3="Semestrielle",2,1))))</f>
        <v/>
      </c>
      <c r="T25" s="27">
        <f>IF(R25="","",(R25+S25)*Baux!$K$3/100)</f>
        <v/>
      </c>
      <c r="U25" s="27">
        <f>IF(R25="","",R25+S25+T25)</f>
        <v/>
      </c>
      <c r="V25" s="17">
        <f>IF(AD25=0,"",IF(LEFT(K25,5)="Geler","❄ Gelée",IF(G25="",IF(D25&lt;=TODAY(),"⚠ Indice attendu","À venir"),IF(D25&lt;=TODAY(),"✔ Calculable","Indice connu – à venir"))))</f>
        <v/>
      </c>
      <c r="W25" s="29" t="n"/>
      <c r="X25" s="13" t="n"/>
      <c r="Y25" s="14" t="n"/>
      <c r="Z25" s="14" t="n"/>
      <c r="AA25" s="13" t="n"/>
      <c r="AB25" s="17">
        <f>IF(A25="","",A25&amp;"#"&amp;C25)</f>
        <v/>
      </c>
      <c r="AC25" s="17">
        <f>IF(AND(AD25=1,D25&lt;=TODAY(),N25&lt;&gt;""),1,0)</f>
        <v/>
      </c>
      <c r="AD25" s="17">
        <f>IF(OR(A25="",D25=""),0,IF(AND(ISNUMBER(Baux!$H$3),D25&gt;Baux!$H$3),0,1))</f>
        <v/>
      </c>
    </row>
    <row r="26">
      <c r="A26" s="17">
        <f>IF(Baux!$A$4="","",Baux!$A$4)</f>
        <v/>
      </c>
      <c r="B26" s="17">
        <f>IF(A26="","",Baux!$B$4)</f>
        <v/>
      </c>
      <c r="C26" s="17" t="n">
        <v>1</v>
      </c>
      <c r="D26" s="15">
        <f>IF(OR(A26="",Baux!$F$4="",Baux!$O$4=""),"",EDATE(Baux!$F$4,12*Baux!$O$4*C26))</f>
        <v/>
      </c>
      <c r="E26" s="17">
        <f>IF(AD26=0,"",Baux!$M$4)</f>
        <v/>
      </c>
      <c r="F26" s="17">
        <f>IF(AD26=0,"",IFERROR(TEXT(VALUE(LEFT(Baux!$N$4,4))+C26*Baux!$O$4,"0")&amp;RIGHT(Baux!$N$4,3),""))</f>
        <v/>
      </c>
      <c r="G26" s="25">
        <f>IF(AD26=0,"",IF(F26="","",IF(SUMIFS(Indices_long!$C:$C,Indices_long!$A:$A,E26,Indices_long!$B:$B,F26)=0,"",SUMIFS(Indices_long!$C:$C,Indices_long!$A:$A,E26,Indices_long!$B:$B,F26))))</f>
        <v/>
      </c>
      <c r="H26" s="17">
        <f>IF(AD26=0,"",Baux!$N$4)</f>
        <v/>
      </c>
      <c r="I26" s="25">
        <f>IF(AD26=0,"",IF(H26="","",IF(SUMIFS(Indices_long!$C:$C,Indices_long!$A:$A,E26,Indices_long!$B:$B,H26)=0,"",SUMIFS(Indices_long!$C:$C,Indices_long!$A:$A,E26,Indices_long!$B:$B,H26))))</f>
        <v/>
      </c>
      <c r="J26" s="26">
        <f>IF(OR(G26="",I26=""),"",G26/I26)</f>
        <v/>
      </c>
      <c r="K26" s="13" t="n"/>
      <c r="L26" s="27">
        <f>IF(AD26=0,"",Baux!$I$4)</f>
        <v/>
      </c>
      <c r="M26" s="27">
        <f>IF(OR(J26="",L26=""),"",ROUND(L26*J26,2))</f>
        <v/>
      </c>
      <c r="N26" s="27">
        <f>IF(AD26=0,"",IF(LEFT(K26,5)="Geler",O26,IF(M26="","",IF(Baux!$Q$4="",M26,MIN(M26,ROUND(L26*(1+Baux!$Q$4/100)^IF(Baux!$P$4="Base fixe",C26*Baux!$O$4,VALUE(LEFT(F26,4))-VALUE(LEFT(H26,4))),2))))))</f>
        <v/>
      </c>
      <c r="O26" s="27">
        <f>IF(AD26=0,"",Baux!$I$4)</f>
        <v/>
      </c>
      <c r="P26" s="28">
        <f>IF(OR(N26="",O26=""),"",N26/O26-1)</f>
        <v/>
      </c>
      <c r="Q26" s="27">
        <f>IF(N26="","",N26/12)</f>
        <v/>
      </c>
      <c r="R26" s="27">
        <f>IF(N26="","",N26/IF(Baux!$L$4="Mensuelle",12,IF(Baux!$L$4="Trimestrielle",4,IF(Baux!$L$4="Semestrielle",2,1))))</f>
        <v/>
      </c>
      <c r="S26" s="27">
        <f>IF(AD26=0,"",IF(Baux!$J$4="",0,Baux!$J$4)/IF(Baux!$L$4="Mensuelle",12,IF(Baux!$L$4="Trimestrielle",4,IF(Baux!$L$4="Semestrielle",2,1))))</f>
        <v/>
      </c>
      <c r="T26" s="27">
        <f>IF(R26="","",(R26+S26)*Baux!$K$4/100)</f>
        <v/>
      </c>
      <c r="U26" s="27">
        <f>IF(R26="","",R26+S26+T26)</f>
        <v/>
      </c>
      <c r="V26" s="17">
        <f>IF(AD26=0,"",IF(LEFT(K26,5)="Geler","❄ Gelée",IF(G26="",IF(D26&lt;=TODAY(),"⚠ Indice attendu","À venir"),IF(D26&lt;=TODAY(),"✔ Calculable","Indice connu – à venir"))))</f>
        <v/>
      </c>
      <c r="W26" s="29" t="n"/>
      <c r="X26" s="13" t="inlineStr">
        <is>
          <t>Oui</t>
        </is>
      </c>
      <c r="Y26" s="14" t="n"/>
      <c r="Z26" s="14" t="n"/>
      <c r="AA26" s="13" t="n"/>
      <c r="AB26" s="17">
        <f>IF(A26="","",A26&amp;"#"&amp;C26)</f>
        <v/>
      </c>
      <c r="AC26" s="17">
        <f>IF(AND(AD26=1,D26&lt;=TODAY(),N26&lt;&gt;""),1,0)</f>
        <v/>
      </c>
      <c r="AD26" s="17">
        <f>IF(OR(A26="",D26=""),0,IF(AND(ISNUMBER(Baux!$H$4),D26&gt;Baux!$H$4),0,1))</f>
        <v/>
      </c>
    </row>
    <row r="27">
      <c r="A27" s="17">
        <f>IF(Baux!$A$4="","",Baux!$A$4)</f>
        <v/>
      </c>
      <c r="B27" s="17">
        <f>IF(A27="","",Baux!$B$4)</f>
        <v/>
      </c>
      <c r="C27" s="17" t="n">
        <v>2</v>
      </c>
      <c r="D27" s="15">
        <f>IF(OR(A27="",Baux!$F$4="",Baux!$O$4=""),"",EDATE(Baux!$F$4,12*Baux!$O$4*C27))</f>
        <v/>
      </c>
      <c r="E27" s="17">
        <f>IF(AD27=0,"",Baux!$M$4)</f>
        <v/>
      </c>
      <c r="F27" s="17">
        <f>IF(AD27=0,"",IFERROR(TEXT(VALUE(LEFT(Baux!$N$4,4))+C27*Baux!$O$4,"0")&amp;RIGHT(Baux!$N$4,3),""))</f>
        <v/>
      </c>
      <c r="G27" s="25">
        <f>IF(AD27=0,"",IF(F27="","",IF(SUMIFS(Indices_long!$C:$C,Indices_long!$A:$A,E27,Indices_long!$B:$B,F27)=0,"",SUMIFS(Indices_long!$C:$C,Indices_long!$A:$A,E27,Indices_long!$B:$B,F27))))</f>
        <v/>
      </c>
      <c r="H27" s="17">
        <f>IF(AD27=0,"",IF(Baux!$P$4="Base fixe",Baux!$N$4,IF(K26="Geler – rattrapage possible",H26,F26)))</f>
        <v/>
      </c>
      <c r="I27" s="25">
        <f>IF(AD27=0,"",IF(H27="","",IF(SUMIFS(Indices_long!$C:$C,Indices_long!$A:$A,E27,Indices_long!$B:$B,H27)=0,"",SUMIFS(Indices_long!$C:$C,Indices_long!$A:$A,E27,Indices_long!$B:$B,H27))))</f>
        <v/>
      </c>
      <c r="J27" s="26">
        <f>IF(OR(G27="",I27=""),"",G27/I27)</f>
        <v/>
      </c>
      <c r="K27" s="13" t="n"/>
      <c r="L27" s="27">
        <f>IF(AD27=0,"",IF(Baux!$P$4="Base fixe",Baux!$I$4,N26))</f>
        <v/>
      </c>
      <c r="M27" s="27">
        <f>IF(OR(J27="",L27=""),"",ROUND(L27*J27,2))</f>
        <v/>
      </c>
      <c r="N27" s="27">
        <f>IF(AD27=0,"",IF(LEFT(K27,5)="Geler",O27,IF(M27="","",IF(Baux!$Q$4="",M27,MIN(M27,ROUND(L27*(1+Baux!$Q$4/100)^IF(Baux!$P$4="Base fixe",C27*Baux!$O$4,VALUE(LEFT(F27,4))-VALUE(LEFT(H27,4))),2))))))</f>
        <v/>
      </c>
      <c r="O27" s="27">
        <f>IF(AD27=0,"",N26)</f>
        <v/>
      </c>
      <c r="P27" s="28">
        <f>IF(OR(N27="",O27=""),"",N27/O27-1)</f>
        <v/>
      </c>
      <c r="Q27" s="27">
        <f>IF(N27="","",N27/12)</f>
        <v/>
      </c>
      <c r="R27" s="27">
        <f>IF(N27="","",N27/IF(Baux!$L$4="Mensuelle",12,IF(Baux!$L$4="Trimestrielle",4,IF(Baux!$L$4="Semestrielle",2,1))))</f>
        <v/>
      </c>
      <c r="S27" s="27">
        <f>IF(AD27=0,"",IF(Baux!$J$4="",0,Baux!$J$4)/IF(Baux!$L$4="Mensuelle",12,IF(Baux!$L$4="Trimestrielle",4,IF(Baux!$L$4="Semestrielle",2,1))))</f>
        <v/>
      </c>
      <c r="T27" s="27">
        <f>IF(R27="","",(R27+S27)*Baux!$K$4/100)</f>
        <v/>
      </c>
      <c r="U27" s="27">
        <f>IF(R27="","",R27+S27+T27)</f>
        <v/>
      </c>
      <c r="V27" s="17">
        <f>IF(AD27=0,"",IF(LEFT(K27,5)="Geler","❄ Gelée",IF(G27="",IF(D27&lt;=TODAY(),"⚠ Indice attendu","À venir"),IF(D27&lt;=TODAY(),"✔ Calculable","Indice connu – à venir"))))</f>
        <v/>
      </c>
      <c r="W27" s="29" t="n"/>
      <c r="X27" s="13" t="inlineStr">
        <is>
          <t>Oui</t>
        </is>
      </c>
      <c r="Y27" s="14" t="n"/>
      <c r="Z27" s="14" t="n"/>
      <c r="AA27" s="13" t="n"/>
      <c r="AB27" s="17">
        <f>IF(A27="","",A27&amp;"#"&amp;C27)</f>
        <v/>
      </c>
      <c r="AC27" s="17">
        <f>IF(AND(AD27=1,D27&lt;=TODAY(),N27&lt;&gt;""),1,0)</f>
        <v/>
      </c>
      <c r="AD27" s="17">
        <f>IF(OR(A27="",D27=""),0,IF(AND(ISNUMBER(Baux!$H$4),D27&gt;Baux!$H$4),0,1))</f>
        <v/>
      </c>
    </row>
    <row r="28">
      <c r="A28" s="17">
        <f>IF(Baux!$A$4="","",Baux!$A$4)</f>
        <v/>
      </c>
      <c r="B28" s="17">
        <f>IF(A28="","",Baux!$B$4)</f>
        <v/>
      </c>
      <c r="C28" s="17" t="n">
        <v>3</v>
      </c>
      <c r="D28" s="15">
        <f>IF(OR(A28="",Baux!$F$4="",Baux!$O$4=""),"",EDATE(Baux!$F$4,12*Baux!$O$4*C28))</f>
        <v/>
      </c>
      <c r="E28" s="17">
        <f>IF(AD28=0,"",Baux!$M$4)</f>
        <v/>
      </c>
      <c r="F28" s="17">
        <f>IF(AD28=0,"",IFERROR(TEXT(VALUE(LEFT(Baux!$N$4,4))+C28*Baux!$O$4,"0")&amp;RIGHT(Baux!$N$4,3),""))</f>
        <v/>
      </c>
      <c r="G28" s="25">
        <f>IF(AD28=0,"",IF(F28="","",IF(SUMIFS(Indices_long!$C:$C,Indices_long!$A:$A,E28,Indices_long!$B:$B,F28)=0,"",SUMIFS(Indices_long!$C:$C,Indices_long!$A:$A,E28,Indices_long!$B:$B,F28))))</f>
        <v/>
      </c>
      <c r="H28" s="17">
        <f>IF(AD28=0,"",IF(Baux!$P$4="Base fixe",Baux!$N$4,IF(K27="Geler – rattrapage possible",H27,F27)))</f>
        <v/>
      </c>
      <c r="I28" s="25">
        <f>IF(AD28=0,"",IF(H28="","",IF(SUMIFS(Indices_long!$C:$C,Indices_long!$A:$A,E28,Indices_long!$B:$B,H28)=0,"",SUMIFS(Indices_long!$C:$C,Indices_long!$A:$A,E28,Indices_long!$B:$B,H28))))</f>
        <v/>
      </c>
      <c r="J28" s="26">
        <f>IF(OR(G28="",I28=""),"",G28/I28)</f>
        <v/>
      </c>
      <c r="K28" s="13" t="n"/>
      <c r="L28" s="27">
        <f>IF(AD28=0,"",IF(Baux!$P$4="Base fixe",Baux!$I$4,N27))</f>
        <v/>
      </c>
      <c r="M28" s="27">
        <f>IF(OR(J28="",L28=""),"",ROUND(L28*J28,2))</f>
        <v/>
      </c>
      <c r="N28" s="27">
        <f>IF(AD28=0,"",IF(LEFT(K28,5)="Geler",O28,IF(M28="","",IF(Baux!$Q$4="",M28,MIN(M28,ROUND(L28*(1+Baux!$Q$4/100)^IF(Baux!$P$4="Base fixe",C28*Baux!$O$4,VALUE(LEFT(F28,4))-VALUE(LEFT(H28,4))),2))))))</f>
        <v/>
      </c>
      <c r="O28" s="27">
        <f>IF(AD28=0,"",N27)</f>
        <v/>
      </c>
      <c r="P28" s="28">
        <f>IF(OR(N28="",O28=""),"",N28/O28-1)</f>
        <v/>
      </c>
      <c r="Q28" s="27">
        <f>IF(N28="","",N28/12)</f>
        <v/>
      </c>
      <c r="R28" s="27">
        <f>IF(N28="","",N28/IF(Baux!$L$4="Mensuelle",12,IF(Baux!$L$4="Trimestrielle",4,IF(Baux!$L$4="Semestrielle",2,1))))</f>
        <v/>
      </c>
      <c r="S28" s="27">
        <f>IF(AD28=0,"",IF(Baux!$J$4="",0,Baux!$J$4)/IF(Baux!$L$4="Mensuelle",12,IF(Baux!$L$4="Trimestrielle",4,IF(Baux!$L$4="Semestrielle",2,1))))</f>
        <v/>
      </c>
      <c r="T28" s="27">
        <f>IF(R28="","",(R28+S28)*Baux!$K$4/100)</f>
        <v/>
      </c>
      <c r="U28" s="27">
        <f>IF(R28="","",R28+S28+T28)</f>
        <v/>
      </c>
      <c r="V28" s="17">
        <f>IF(AD28=0,"",IF(LEFT(K28,5)="Geler","❄ Gelée",IF(G28="",IF(D28&lt;=TODAY(),"⚠ Indice attendu","À venir"),IF(D28&lt;=TODAY(),"✔ Calculable","Indice connu – à venir"))))</f>
        <v/>
      </c>
      <c r="W28" s="29" t="n"/>
      <c r="X28" s="13" t="inlineStr">
        <is>
          <t>Oui</t>
        </is>
      </c>
      <c r="Y28" s="14" t="n"/>
      <c r="Z28" s="14" t="n"/>
      <c r="AA28" s="13" t="n"/>
      <c r="AB28" s="17">
        <f>IF(A28="","",A28&amp;"#"&amp;C28)</f>
        <v/>
      </c>
      <c r="AC28" s="17">
        <f>IF(AND(AD28=1,D28&lt;=TODAY(),N28&lt;&gt;""),1,0)</f>
        <v/>
      </c>
      <c r="AD28" s="17">
        <f>IF(OR(A28="",D28=""),0,IF(AND(ISNUMBER(Baux!$H$4),D28&gt;Baux!$H$4),0,1))</f>
        <v/>
      </c>
    </row>
    <row r="29">
      <c r="A29" s="17">
        <f>IF(Baux!$A$4="","",Baux!$A$4)</f>
        <v/>
      </c>
      <c r="B29" s="17">
        <f>IF(A29="","",Baux!$B$4)</f>
        <v/>
      </c>
      <c r="C29" s="17" t="n">
        <v>4</v>
      </c>
      <c r="D29" s="15">
        <f>IF(OR(A29="",Baux!$F$4="",Baux!$O$4=""),"",EDATE(Baux!$F$4,12*Baux!$O$4*C29))</f>
        <v/>
      </c>
      <c r="E29" s="17">
        <f>IF(AD29=0,"",Baux!$M$4)</f>
        <v/>
      </c>
      <c r="F29" s="17">
        <f>IF(AD29=0,"",IFERROR(TEXT(VALUE(LEFT(Baux!$N$4,4))+C29*Baux!$O$4,"0")&amp;RIGHT(Baux!$N$4,3),""))</f>
        <v/>
      </c>
      <c r="G29" s="25">
        <f>IF(AD29=0,"",IF(F29="","",IF(SUMIFS(Indices_long!$C:$C,Indices_long!$A:$A,E29,Indices_long!$B:$B,F29)=0,"",SUMIFS(Indices_long!$C:$C,Indices_long!$A:$A,E29,Indices_long!$B:$B,F29))))</f>
        <v/>
      </c>
      <c r="H29" s="17">
        <f>IF(AD29=0,"",IF(Baux!$P$4="Base fixe",Baux!$N$4,IF(K28="Geler – rattrapage possible",H28,F28)))</f>
        <v/>
      </c>
      <c r="I29" s="25">
        <f>IF(AD29=0,"",IF(H29="","",IF(SUMIFS(Indices_long!$C:$C,Indices_long!$A:$A,E29,Indices_long!$B:$B,H29)=0,"",SUMIFS(Indices_long!$C:$C,Indices_long!$A:$A,E29,Indices_long!$B:$B,H29))))</f>
        <v/>
      </c>
      <c r="J29" s="26">
        <f>IF(OR(G29="",I29=""),"",G29/I29)</f>
        <v/>
      </c>
      <c r="K29" s="13" t="n"/>
      <c r="L29" s="27">
        <f>IF(AD29=0,"",IF(Baux!$P$4="Base fixe",Baux!$I$4,N28))</f>
        <v/>
      </c>
      <c r="M29" s="27">
        <f>IF(OR(J29="",L29=""),"",ROUND(L29*J29,2))</f>
        <v/>
      </c>
      <c r="N29" s="27">
        <f>IF(AD29=0,"",IF(LEFT(K29,5)="Geler",O29,IF(M29="","",IF(Baux!$Q$4="",M29,MIN(M29,ROUND(L29*(1+Baux!$Q$4/100)^IF(Baux!$P$4="Base fixe",C29*Baux!$O$4,VALUE(LEFT(F29,4))-VALUE(LEFT(H29,4))),2))))))</f>
        <v/>
      </c>
      <c r="O29" s="27">
        <f>IF(AD29=0,"",N28)</f>
        <v/>
      </c>
      <c r="P29" s="28">
        <f>IF(OR(N29="",O29=""),"",N29/O29-1)</f>
        <v/>
      </c>
      <c r="Q29" s="27">
        <f>IF(N29="","",N29/12)</f>
        <v/>
      </c>
      <c r="R29" s="27">
        <f>IF(N29="","",N29/IF(Baux!$L$4="Mensuelle",12,IF(Baux!$L$4="Trimestrielle",4,IF(Baux!$L$4="Semestrielle",2,1))))</f>
        <v/>
      </c>
      <c r="S29" s="27">
        <f>IF(AD29=0,"",IF(Baux!$J$4="",0,Baux!$J$4)/IF(Baux!$L$4="Mensuelle",12,IF(Baux!$L$4="Trimestrielle",4,IF(Baux!$L$4="Semestrielle",2,1))))</f>
        <v/>
      </c>
      <c r="T29" s="27">
        <f>IF(R29="","",(R29+S29)*Baux!$K$4/100)</f>
        <v/>
      </c>
      <c r="U29" s="27">
        <f>IF(R29="","",R29+S29+T29)</f>
        <v/>
      </c>
      <c r="V29" s="17">
        <f>IF(AD29=0,"",IF(LEFT(K29,5)="Geler","❄ Gelée",IF(G29="",IF(D29&lt;=TODAY(),"⚠ Indice attendu","À venir"),IF(D29&lt;=TODAY(),"✔ Calculable","Indice connu – à venir"))))</f>
        <v/>
      </c>
      <c r="W29" s="29" t="n"/>
      <c r="X29" s="13" t="inlineStr">
        <is>
          <t>Oui</t>
        </is>
      </c>
      <c r="Y29" s="14" t="n"/>
      <c r="Z29" s="14" t="n"/>
      <c r="AA29" s="13" t="n"/>
      <c r="AB29" s="17">
        <f>IF(A29="","",A29&amp;"#"&amp;C29)</f>
        <v/>
      </c>
      <c r="AC29" s="17">
        <f>IF(AND(AD29=1,D29&lt;=TODAY(),N29&lt;&gt;""),1,0)</f>
        <v/>
      </c>
      <c r="AD29" s="17">
        <f>IF(OR(A29="",D29=""),0,IF(AND(ISNUMBER(Baux!$H$4),D29&gt;Baux!$H$4),0,1))</f>
        <v/>
      </c>
    </row>
    <row r="30">
      <c r="A30" s="17">
        <f>IF(Baux!$A$4="","",Baux!$A$4)</f>
        <v/>
      </c>
      <c r="B30" s="17">
        <f>IF(A30="","",Baux!$B$4)</f>
        <v/>
      </c>
      <c r="C30" s="17" t="n">
        <v>5</v>
      </c>
      <c r="D30" s="15">
        <f>IF(OR(A30="",Baux!$F$4="",Baux!$O$4=""),"",EDATE(Baux!$F$4,12*Baux!$O$4*C30))</f>
        <v/>
      </c>
      <c r="E30" s="17">
        <f>IF(AD30=0,"",Baux!$M$4)</f>
        <v/>
      </c>
      <c r="F30" s="17">
        <f>IF(AD30=0,"",IFERROR(TEXT(VALUE(LEFT(Baux!$N$4,4))+C30*Baux!$O$4,"0")&amp;RIGHT(Baux!$N$4,3),""))</f>
        <v/>
      </c>
      <c r="G30" s="25">
        <f>IF(AD30=0,"",IF(F30="","",IF(SUMIFS(Indices_long!$C:$C,Indices_long!$A:$A,E30,Indices_long!$B:$B,F30)=0,"",SUMIFS(Indices_long!$C:$C,Indices_long!$A:$A,E30,Indices_long!$B:$B,F30))))</f>
        <v/>
      </c>
      <c r="H30" s="17">
        <f>IF(AD30=0,"",IF(Baux!$P$4="Base fixe",Baux!$N$4,IF(K29="Geler – rattrapage possible",H29,F29)))</f>
        <v/>
      </c>
      <c r="I30" s="25">
        <f>IF(AD30=0,"",IF(H30="","",IF(SUMIFS(Indices_long!$C:$C,Indices_long!$A:$A,E30,Indices_long!$B:$B,H30)=0,"",SUMIFS(Indices_long!$C:$C,Indices_long!$A:$A,E30,Indices_long!$B:$B,H30))))</f>
        <v/>
      </c>
      <c r="J30" s="26">
        <f>IF(OR(G30="",I30=""),"",G30/I30)</f>
        <v/>
      </c>
      <c r="K30" s="13" t="n"/>
      <c r="L30" s="27">
        <f>IF(AD30=0,"",IF(Baux!$P$4="Base fixe",Baux!$I$4,N29))</f>
        <v/>
      </c>
      <c r="M30" s="27">
        <f>IF(OR(J30="",L30=""),"",ROUND(L30*J30,2))</f>
        <v/>
      </c>
      <c r="N30" s="27">
        <f>IF(AD30=0,"",IF(LEFT(K30,5)="Geler",O30,IF(M30="","",IF(Baux!$Q$4="",M30,MIN(M30,ROUND(L30*(1+Baux!$Q$4/100)^IF(Baux!$P$4="Base fixe",C30*Baux!$O$4,VALUE(LEFT(F30,4))-VALUE(LEFT(H30,4))),2))))))</f>
        <v/>
      </c>
      <c r="O30" s="27">
        <f>IF(AD30=0,"",N29)</f>
        <v/>
      </c>
      <c r="P30" s="28">
        <f>IF(OR(N30="",O30=""),"",N30/O30-1)</f>
        <v/>
      </c>
      <c r="Q30" s="27">
        <f>IF(N30="","",N30/12)</f>
        <v/>
      </c>
      <c r="R30" s="27">
        <f>IF(N30="","",N30/IF(Baux!$L$4="Mensuelle",12,IF(Baux!$L$4="Trimestrielle",4,IF(Baux!$L$4="Semestrielle",2,1))))</f>
        <v/>
      </c>
      <c r="S30" s="27">
        <f>IF(AD30=0,"",IF(Baux!$J$4="",0,Baux!$J$4)/IF(Baux!$L$4="Mensuelle",12,IF(Baux!$L$4="Trimestrielle",4,IF(Baux!$L$4="Semestrielle",2,1))))</f>
        <v/>
      </c>
      <c r="T30" s="27">
        <f>IF(R30="","",(R30+S30)*Baux!$K$4/100)</f>
        <v/>
      </c>
      <c r="U30" s="27">
        <f>IF(R30="","",R30+S30+T30)</f>
        <v/>
      </c>
      <c r="V30" s="17">
        <f>IF(AD30=0,"",IF(LEFT(K30,5)="Geler","❄ Gelée",IF(G30="",IF(D30&lt;=TODAY(),"⚠ Indice attendu","À venir"),IF(D30&lt;=TODAY(),"✔ Calculable","Indice connu – à venir"))))</f>
        <v/>
      </c>
      <c r="W30" s="29" t="n"/>
      <c r="X30" s="13" t="inlineStr">
        <is>
          <t>Oui</t>
        </is>
      </c>
      <c r="Y30" s="14" t="n"/>
      <c r="Z30" s="14" t="n"/>
      <c r="AA30" s="13" t="n"/>
      <c r="AB30" s="17">
        <f>IF(A30="","",A30&amp;"#"&amp;C30)</f>
        <v/>
      </c>
      <c r="AC30" s="17">
        <f>IF(AND(AD30=1,D30&lt;=TODAY(),N30&lt;&gt;""),1,0)</f>
        <v/>
      </c>
      <c r="AD30" s="17">
        <f>IF(OR(A30="",D30=""),0,IF(AND(ISNUMBER(Baux!$H$4),D30&gt;Baux!$H$4),0,1))</f>
        <v/>
      </c>
    </row>
    <row r="31">
      <c r="A31" s="17">
        <f>IF(Baux!$A$4="","",Baux!$A$4)</f>
        <v/>
      </c>
      <c r="B31" s="17">
        <f>IF(A31="","",Baux!$B$4)</f>
        <v/>
      </c>
      <c r="C31" s="17" t="n">
        <v>6</v>
      </c>
      <c r="D31" s="15">
        <f>IF(OR(A31="",Baux!$F$4="",Baux!$O$4=""),"",EDATE(Baux!$F$4,12*Baux!$O$4*C31))</f>
        <v/>
      </c>
      <c r="E31" s="17">
        <f>IF(AD31=0,"",Baux!$M$4)</f>
        <v/>
      </c>
      <c r="F31" s="17">
        <f>IF(AD31=0,"",IFERROR(TEXT(VALUE(LEFT(Baux!$N$4,4))+C31*Baux!$O$4,"0")&amp;RIGHT(Baux!$N$4,3),""))</f>
        <v/>
      </c>
      <c r="G31" s="25">
        <f>IF(AD31=0,"",IF(F31="","",IF(SUMIFS(Indices_long!$C:$C,Indices_long!$A:$A,E31,Indices_long!$B:$B,F31)=0,"",SUMIFS(Indices_long!$C:$C,Indices_long!$A:$A,E31,Indices_long!$B:$B,F31))))</f>
        <v/>
      </c>
      <c r="H31" s="17">
        <f>IF(AD31=0,"",IF(Baux!$P$4="Base fixe",Baux!$N$4,IF(K30="Geler – rattrapage possible",H30,F30)))</f>
        <v/>
      </c>
      <c r="I31" s="25">
        <f>IF(AD31=0,"",IF(H31="","",IF(SUMIFS(Indices_long!$C:$C,Indices_long!$A:$A,E31,Indices_long!$B:$B,H31)=0,"",SUMIFS(Indices_long!$C:$C,Indices_long!$A:$A,E31,Indices_long!$B:$B,H31))))</f>
        <v/>
      </c>
      <c r="J31" s="26">
        <f>IF(OR(G31="",I31=""),"",G31/I31)</f>
        <v/>
      </c>
      <c r="K31" s="13" t="inlineStr">
        <is>
          <t>Geler – rattrapage possible</t>
        </is>
      </c>
      <c r="L31" s="27">
        <f>IF(AD31=0,"",IF(Baux!$P$4="Base fixe",Baux!$I$4,N30))</f>
        <v/>
      </c>
      <c r="M31" s="27">
        <f>IF(OR(J31="",L31=""),"",ROUND(L31*J31,2))</f>
        <v/>
      </c>
      <c r="N31" s="27">
        <f>IF(AD31=0,"",IF(LEFT(K31,5)="Geler",O31,IF(M31="","",IF(Baux!$Q$4="",M31,MIN(M31,ROUND(L31*(1+Baux!$Q$4/100)^IF(Baux!$P$4="Base fixe",C31*Baux!$O$4,VALUE(LEFT(F31,4))-VALUE(LEFT(H31,4))),2))))))</f>
        <v/>
      </c>
      <c r="O31" s="27">
        <f>IF(AD31=0,"",N30)</f>
        <v/>
      </c>
      <c r="P31" s="28">
        <f>IF(OR(N31="",O31=""),"",N31/O31-1)</f>
        <v/>
      </c>
      <c r="Q31" s="27">
        <f>IF(N31="","",N31/12)</f>
        <v/>
      </c>
      <c r="R31" s="27">
        <f>IF(N31="","",N31/IF(Baux!$L$4="Mensuelle",12,IF(Baux!$L$4="Trimestrielle",4,IF(Baux!$L$4="Semestrielle",2,1))))</f>
        <v/>
      </c>
      <c r="S31" s="27">
        <f>IF(AD31=0,"",IF(Baux!$J$4="",0,Baux!$J$4)/IF(Baux!$L$4="Mensuelle",12,IF(Baux!$L$4="Trimestrielle",4,IF(Baux!$L$4="Semestrielle",2,1))))</f>
        <v/>
      </c>
      <c r="T31" s="27">
        <f>IF(R31="","",(R31+S31)*Baux!$K$4/100)</f>
        <v/>
      </c>
      <c r="U31" s="27">
        <f>IF(R31="","",R31+S31+T31)</f>
        <v/>
      </c>
      <c r="V31" s="17">
        <f>IF(AD31=0,"",IF(LEFT(K31,5)="Geler","❄ Gelée",IF(G31="",IF(D31&lt;=TODAY(),"⚠ Indice attendu","À venir"),IF(D31&lt;=TODAY(),"✔ Calculable","Indice connu – à venir"))))</f>
        <v/>
      </c>
      <c r="W31" s="29" t="inlineStr">
        <is>
          <t>Gel d'un an négocié (avenant du 10/01/2025), rattrapage à la révision 2026 : recalculer sur l'indice 2023-T3.</t>
        </is>
      </c>
      <c r="X31" s="13" t="n"/>
      <c r="Y31" s="14" t="n"/>
      <c r="Z31" s="14" t="n"/>
      <c r="AA31" s="13" t="n"/>
      <c r="AB31" s="17">
        <f>IF(A31="","",A31&amp;"#"&amp;C31)</f>
        <v/>
      </c>
      <c r="AC31" s="17">
        <f>IF(AND(AD31=1,D31&lt;=TODAY(),N31&lt;&gt;""),1,0)</f>
        <v/>
      </c>
      <c r="AD31" s="17">
        <f>IF(OR(A31="",D31=""),0,IF(AND(ISNUMBER(Baux!$H$4),D31&gt;Baux!$H$4),0,1))</f>
        <v/>
      </c>
    </row>
    <row r="32">
      <c r="A32" s="17">
        <f>IF(Baux!$A$4="","",Baux!$A$4)</f>
        <v/>
      </c>
      <c r="B32" s="17">
        <f>IF(A32="","",Baux!$B$4)</f>
        <v/>
      </c>
      <c r="C32" s="17" t="n">
        <v>7</v>
      </c>
      <c r="D32" s="15">
        <f>IF(OR(A32="",Baux!$F$4="",Baux!$O$4=""),"",EDATE(Baux!$F$4,12*Baux!$O$4*C32))</f>
        <v/>
      </c>
      <c r="E32" s="17">
        <f>IF(AD32=0,"",Baux!$M$4)</f>
        <v/>
      </c>
      <c r="F32" s="17">
        <f>IF(AD32=0,"",IFERROR(TEXT(VALUE(LEFT(Baux!$N$4,4))+C32*Baux!$O$4,"0")&amp;RIGHT(Baux!$N$4,3),""))</f>
        <v/>
      </c>
      <c r="G32" s="25">
        <f>IF(AD32=0,"",IF(F32="","",IF(SUMIFS(Indices_long!$C:$C,Indices_long!$A:$A,E32,Indices_long!$B:$B,F32)=0,"",SUMIFS(Indices_long!$C:$C,Indices_long!$A:$A,E32,Indices_long!$B:$B,F32))))</f>
        <v/>
      </c>
      <c r="H32" s="17">
        <f>IF(AD32=0,"",IF(Baux!$P$4="Base fixe",Baux!$N$4,IF(K31="Geler – rattrapage possible",H31,F31)))</f>
        <v/>
      </c>
      <c r="I32" s="25">
        <f>IF(AD32=0,"",IF(H32="","",IF(SUMIFS(Indices_long!$C:$C,Indices_long!$A:$A,E32,Indices_long!$B:$B,H32)=0,"",SUMIFS(Indices_long!$C:$C,Indices_long!$A:$A,E32,Indices_long!$B:$B,H32))))</f>
        <v/>
      </c>
      <c r="J32" s="26">
        <f>IF(OR(G32="",I32=""),"",G32/I32)</f>
        <v/>
      </c>
      <c r="K32" s="13" t="n"/>
      <c r="L32" s="27">
        <f>IF(AD32=0,"",IF(Baux!$P$4="Base fixe",Baux!$I$4,N31))</f>
        <v/>
      </c>
      <c r="M32" s="27">
        <f>IF(OR(J32="",L32=""),"",ROUND(L32*J32,2))</f>
        <v/>
      </c>
      <c r="N32" s="27">
        <f>IF(AD32=0,"",IF(LEFT(K32,5)="Geler",O32,IF(M32="","",IF(Baux!$Q$4="",M32,MIN(M32,ROUND(L32*(1+Baux!$Q$4/100)^IF(Baux!$P$4="Base fixe",C32*Baux!$O$4,VALUE(LEFT(F32,4))-VALUE(LEFT(H32,4))),2))))))</f>
        <v/>
      </c>
      <c r="O32" s="27">
        <f>IF(AD32=0,"",N31)</f>
        <v/>
      </c>
      <c r="P32" s="28">
        <f>IF(OR(N32="",O32=""),"",N32/O32-1)</f>
        <v/>
      </c>
      <c r="Q32" s="27">
        <f>IF(N32="","",N32/12)</f>
        <v/>
      </c>
      <c r="R32" s="27">
        <f>IF(N32="","",N32/IF(Baux!$L$4="Mensuelle",12,IF(Baux!$L$4="Trimestrielle",4,IF(Baux!$L$4="Semestrielle",2,1))))</f>
        <v/>
      </c>
      <c r="S32" s="27">
        <f>IF(AD32=0,"",IF(Baux!$J$4="",0,Baux!$J$4)/IF(Baux!$L$4="Mensuelle",12,IF(Baux!$L$4="Trimestrielle",4,IF(Baux!$L$4="Semestrielle",2,1))))</f>
        <v/>
      </c>
      <c r="T32" s="27">
        <f>IF(R32="","",(R32+S32)*Baux!$K$4/100)</f>
        <v/>
      </c>
      <c r="U32" s="27">
        <f>IF(R32="","",R32+S32+T32)</f>
        <v/>
      </c>
      <c r="V32" s="17">
        <f>IF(AD32=0,"",IF(LEFT(K32,5)="Geler","❄ Gelée",IF(G32="",IF(D32&lt;=TODAY(),"⚠ Indice attendu","À venir"),IF(D32&lt;=TODAY(),"✔ Calculable","Indice connu – à venir"))))</f>
        <v/>
      </c>
      <c r="W32" s="29" t="inlineStr">
        <is>
          <t>Appliquer le rattrapage : coefficient calculé sur 2 ans d'indice. Prévenir le locataire avant facturation.</t>
        </is>
      </c>
      <c r="X32" s="13" t="n"/>
      <c r="Y32" s="14" t="n"/>
      <c r="Z32" s="14" t="n"/>
      <c r="AA32" s="13" t="n"/>
      <c r="AB32" s="17">
        <f>IF(A32="","",A32&amp;"#"&amp;C32)</f>
        <v/>
      </c>
      <c r="AC32" s="17">
        <f>IF(AND(AD32=1,D32&lt;=TODAY(),N32&lt;&gt;""),1,0)</f>
        <v/>
      </c>
      <c r="AD32" s="17">
        <f>IF(OR(A32="",D32=""),0,IF(AND(ISNUMBER(Baux!$H$4),D32&gt;Baux!$H$4),0,1))</f>
        <v/>
      </c>
    </row>
    <row r="33">
      <c r="A33" s="17">
        <f>IF(Baux!$A$4="","",Baux!$A$4)</f>
        <v/>
      </c>
      <c r="B33" s="17">
        <f>IF(A33="","",Baux!$B$4)</f>
        <v/>
      </c>
      <c r="C33" s="17" t="n">
        <v>8</v>
      </c>
      <c r="D33" s="15">
        <f>IF(OR(A33="",Baux!$F$4="",Baux!$O$4=""),"",EDATE(Baux!$F$4,12*Baux!$O$4*C33))</f>
        <v/>
      </c>
      <c r="E33" s="17">
        <f>IF(AD33=0,"",Baux!$M$4)</f>
        <v/>
      </c>
      <c r="F33" s="17">
        <f>IF(AD33=0,"",IFERROR(TEXT(VALUE(LEFT(Baux!$N$4,4))+C33*Baux!$O$4,"0")&amp;RIGHT(Baux!$N$4,3),""))</f>
        <v/>
      </c>
      <c r="G33" s="25">
        <f>IF(AD33=0,"",IF(F33="","",IF(SUMIFS(Indices_long!$C:$C,Indices_long!$A:$A,E33,Indices_long!$B:$B,F33)=0,"",SUMIFS(Indices_long!$C:$C,Indices_long!$A:$A,E33,Indices_long!$B:$B,F33))))</f>
        <v/>
      </c>
      <c r="H33" s="17">
        <f>IF(AD33=0,"",IF(Baux!$P$4="Base fixe",Baux!$N$4,IF(K32="Geler – rattrapage possible",H32,F32)))</f>
        <v/>
      </c>
      <c r="I33" s="25">
        <f>IF(AD33=0,"",IF(H33="","",IF(SUMIFS(Indices_long!$C:$C,Indices_long!$A:$A,E33,Indices_long!$B:$B,H33)=0,"",SUMIFS(Indices_long!$C:$C,Indices_long!$A:$A,E33,Indices_long!$B:$B,H33))))</f>
        <v/>
      </c>
      <c r="J33" s="26">
        <f>IF(OR(G33="",I33=""),"",G33/I33)</f>
        <v/>
      </c>
      <c r="K33" s="13" t="n"/>
      <c r="L33" s="27">
        <f>IF(AD33=0,"",IF(Baux!$P$4="Base fixe",Baux!$I$4,N32))</f>
        <v/>
      </c>
      <c r="M33" s="27">
        <f>IF(OR(J33="",L33=""),"",ROUND(L33*J33,2))</f>
        <v/>
      </c>
      <c r="N33" s="27">
        <f>IF(AD33=0,"",IF(LEFT(K33,5)="Geler",O33,IF(M33="","",IF(Baux!$Q$4="",M33,MIN(M33,ROUND(L33*(1+Baux!$Q$4/100)^IF(Baux!$P$4="Base fixe",C33*Baux!$O$4,VALUE(LEFT(F33,4))-VALUE(LEFT(H33,4))),2))))))</f>
        <v/>
      </c>
      <c r="O33" s="27">
        <f>IF(AD33=0,"",N32)</f>
        <v/>
      </c>
      <c r="P33" s="28">
        <f>IF(OR(N33="",O33=""),"",N33/O33-1)</f>
        <v/>
      </c>
      <c r="Q33" s="27">
        <f>IF(N33="","",N33/12)</f>
        <v/>
      </c>
      <c r="R33" s="27">
        <f>IF(N33="","",N33/IF(Baux!$L$4="Mensuelle",12,IF(Baux!$L$4="Trimestrielle",4,IF(Baux!$L$4="Semestrielle",2,1))))</f>
        <v/>
      </c>
      <c r="S33" s="27">
        <f>IF(AD33=0,"",IF(Baux!$J$4="",0,Baux!$J$4)/IF(Baux!$L$4="Mensuelle",12,IF(Baux!$L$4="Trimestrielle",4,IF(Baux!$L$4="Semestrielle",2,1))))</f>
        <v/>
      </c>
      <c r="T33" s="27">
        <f>IF(R33="","",(R33+S33)*Baux!$K$4/100)</f>
        <v/>
      </c>
      <c r="U33" s="27">
        <f>IF(R33="","",R33+S33+T33)</f>
        <v/>
      </c>
      <c r="V33" s="17">
        <f>IF(AD33=0,"",IF(LEFT(K33,5)="Geler","❄ Gelée",IF(G33="",IF(D33&lt;=TODAY(),"⚠ Indice attendu","À venir"),IF(D33&lt;=TODAY(),"✔ Calculable","Indice connu – à venir"))))</f>
        <v/>
      </c>
      <c r="W33" s="29" t="n"/>
      <c r="X33" s="13" t="n"/>
      <c r="Y33" s="14" t="n"/>
      <c r="Z33" s="14" t="n"/>
      <c r="AA33" s="13" t="n"/>
      <c r="AB33" s="17">
        <f>IF(A33="","",A33&amp;"#"&amp;C33)</f>
        <v/>
      </c>
      <c r="AC33" s="17">
        <f>IF(AND(AD33=1,D33&lt;=TODAY(),N33&lt;&gt;""),1,0)</f>
        <v/>
      </c>
      <c r="AD33" s="17">
        <f>IF(OR(A33="",D33=""),0,IF(AND(ISNUMBER(Baux!$H$4),D33&gt;Baux!$H$4),0,1))</f>
        <v/>
      </c>
    </row>
    <row r="34">
      <c r="A34" s="17">
        <f>IF(Baux!$A$4="","",Baux!$A$4)</f>
        <v/>
      </c>
      <c r="B34" s="17">
        <f>IF(A34="","",Baux!$B$4)</f>
        <v/>
      </c>
      <c r="C34" s="17" t="n">
        <v>9</v>
      </c>
      <c r="D34" s="15">
        <f>IF(OR(A34="",Baux!$F$4="",Baux!$O$4=""),"",EDATE(Baux!$F$4,12*Baux!$O$4*C34))</f>
        <v/>
      </c>
      <c r="E34" s="17">
        <f>IF(AD34=0,"",Baux!$M$4)</f>
        <v/>
      </c>
      <c r="F34" s="17">
        <f>IF(AD34=0,"",IFERROR(TEXT(VALUE(LEFT(Baux!$N$4,4))+C34*Baux!$O$4,"0")&amp;RIGHT(Baux!$N$4,3),""))</f>
        <v/>
      </c>
      <c r="G34" s="25">
        <f>IF(AD34=0,"",IF(F34="","",IF(SUMIFS(Indices_long!$C:$C,Indices_long!$A:$A,E34,Indices_long!$B:$B,F34)=0,"",SUMIFS(Indices_long!$C:$C,Indices_long!$A:$A,E34,Indices_long!$B:$B,F34))))</f>
        <v/>
      </c>
      <c r="H34" s="17">
        <f>IF(AD34=0,"",IF(Baux!$P$4="Base fixe",Baux!$N$4,IF(K33="Geler – rattrapage possible",H33,F33)))</f>
        <v/>
      </c>
      <c r="I34" s="25">
        <f>IF(AD34=0,"",IF(H34="","",IF(SUMIFS(Indices_long!$C:$C,Indices_long!$A:$A,E34,Indices_long!$B:$B,H34)=0,"",SUMIFS(Indices_long!$C:$C,Indices_long!$A:$A,E34,Indices_long!$B:$B,H34))))</f>
        <v/>
      </c>
      <c r="J34" s="26">
        <f>IF(OR(G34="",I34=""),"",G34/I34)</f>
        <v/>
      </c>
      <c r="K34" s="13" t="n"/>
      <c r="L34" s="27">
        <f>IF(AD34=0,"",IF(Baux!$P$4="Base fixe",Baux!$I$4,N33))</f>
        <v/>
      </c>
      <c r="M34" s="27">
        <f>IF(OR(J34="",L34=""),"",ROUND(L34*J34,2))</f>
        <v/>
      </c>
      <c r="N34" s="27">
        <f>IF(AD34=0,"",IF(LEFT(K34,5)="Geler",O34,IF(M34="","",IF(Baux!$Q$4="",M34,MIN(M34,ROUND(L34*(1+Baux!$Q$4/100)^IF(Baux!$P$4="Base fixe",C34*Baux!$O$4,VALUE(LEFT(F34,4))-VALUE(LEFT(H34,4))),2))))))</f>
        <v/>
      </c>
      <c r="O34" s="27">
        <f>IF(AD34=0,"",N33)</f>
        <v/>
      </c>
      <c r="P34" s="28">
        <f>IF(OR(N34="",O34=""),"",N34/O34-1)</f>
        <v/>
      </c>
      <c r="Q34" s="27">
        <f>IF(N34="","",N34/12)</f>
        <v/>
      </c>
      <c r="R34" s="27">
        <f>IF(N34="","",N34/IF(Baux!$L$4="Mensuelle",12,IF(Baux!$L$4="Trimestrielle",4,IF(Baux!$L$4="Semestrielle",2,1))))</f>
        <v/>
      </c>
      <c r="S34" s="27">
        <f>IF(AD34=0,"",IF(Baux!$J$4="",0,Baux!$J$4)/IF(Baux!$L$4="Mensuelle",12,IF(Baux!$L$4="Trimestrielle",4,IF(Baux!$L$4="Semestrielle",2,1))))</f>
        <v/>
      </c>
      <c r="T34" s="27">
        <f>IF(R34="","",(R34+S34)*Baux!$K$4/100)</f>
        <v/>
      </c>
      <c r="U34" s="27">
        <f>IF(R34="","",R34+S34+T34)</f>
        <v/>
      </c>
      <c r="V34" s="17">
        <f>IF(AD34=0,"",IF(LEFT(K34,5)="Geler","❄ Gelée",IF(G34="",IF(D34&lt;=TODAY(),"⚠ Indice attendu","À venir"),IF(D34&lt;=TODAY(),"✔ Calculable","Indice connu – à venir"))))</f>
        <v/>
      </c>
      <c r="W34" s="29" t="n"/>
      <c r="X34" s="13" t="n"/>
      <c r="Y34" s="14" t="n"/>
      <c r="Z34" s="14" t="n"/>
      <c r="AA34" s="13" t="n"/>
      <c r="AB34" s="17">
        <f>IF(A34="","",A34&amp;"#"&amp;C34)</f>
        <v/>
      </c>
      <c r="AC34" s="17">
        <f>IF(AND(AD34=1,D34&lt;=TODAY(),N34&lt;&gt;""),1,0)</f>
        <v/>
      </c>
      <c r="AD34" s="17">
        <f>IF(OR(A34="",D34=""),0,IF(AND(ISNUMBER(Baux!$H$4),D34&gt;Baux!$H$4),0,1))</f>
        <v/>
      </c>
    </row>
    <row r="35">
      <c r="A35" s="17">
        <f>IF(Baux!$A$4="","",Baux!$A$4)</f>
        <v/>
      </c>
      <c r="B35" s="17">
        <f>IF(A35="","",Baux!$B$4)</f>
        <v/>
      </c>
      <c r="C35" s="17" t="n">
        <v>10</v>
      </c>
      <c r="D35" s="15">
        <f>IF(OR(A35="",Baux!$F$4="",Baux!$O$4=""),"",EDATE(Baux!$F$4,12*Baux!$O$4*C35))</f>
        <v/>
      </c>
      <c r="E35" s="17">
        <f>IF(AD35=0,"",Baux!$M$4)</f>
        <v/>
      </c>
      <c r="F35" s="17">
        <f>IF(AD35=0,"",IFERROR(TEXT(VALUE(LEFT(Baux!$N$4,4))+C35*Baux!$O$4,"0")&amp;RIGHT(Baux!$N$4,3),""))</f>
        <v/>
      </c>
      <c r="G35" s="25">
        <f>IF(AD35=0,"",IF(F35="","",IF(SUMIFS(Indices_long!$C:$C,Indices_long!$A:$A,E35,Indices_long!$B:$B,F35)=0,"",SUMIFS(Indices_long!$C:$C,Indices_long!$A:$A,E35,Indices_long!$B:$B,F35))))</f>
        <v/>
      </c>
      <c r="H35" s="17">
        <f>IF(AD35=0,"",IF(Baux!$P$4="Base fixe",Baux!$N$4,IF(K34="Geler – rattrapage possible",H34,F34)))</f>
        <v/>
      </c>
      <c r="I35" s="25">
        <f>IF(AD35=0,"",IF(H35="","",IF(SUMIFS(Indices_long!$C:$C,Indices_long!$A:$A,E35,Indices_long!$B:$B,H35)=0,"",SUMIFS(Indices_long!$C:$C,Indices_long!$A:$A,E35,Indices_long!$B:$B,H35))))</f>
        <v/>
      </c>
      <c r="J35" s="26">
        <f>IF(OR(G35="",I35=""),"",G35/I35)</f>
        <v/>
      </c>
      <c r="K35" s="13" t="n"/>
      <c r="L35" s="27">
        <f>IF(AD35=0,"",IF(Baux!$P$4="Base fixe",Baux!$I$4,N34))</f>
        <v/>
      </c>
      <c r="M35" s="27">
        <f>IF(OR(J35="",L35=""),"",ROUND(L35*J35,2))</f>
        <v/>
      </c>
      <c r="N35" s="27">
        <f>IF(AD35=0,"",IF(LEFT(K35,5)="Geler",O35,IF(M35="","",IF(Baux!$Q$4="",M35,MIN(M35,ROUND(L35*(1+Baux!$Q$4/100)^IF(Baux!$P$4="Base fixe",C35*Baux!$O$4,VALUE(LEFT(F35,4))-VALUE(LEFT(H35,4))),2))))))</f>
        <v/>
      </c>
      <c r="O35" s="27">
        <f>IF(AD35=0,"",N34)</f>
        <v/>
      </c>
      <c r="P35" s="28">
        <f>IF(OR(N35="",O35=""),"",N35/O35-1)</f>
        <v/>
      </c>
      <c r="Q35" s="27">
        <f>IF(N35="","",N35/12)</f>
        <v/>
      </c>
      <c r="R35" s="27">
        <f>IF(N35="","",N35/IF(Baux!$L$4="Mensuelle",12,IF(Baux!$L$4="Trimestrielle",4,IF(Baux!$L$4="Semestrielle",2,1))))</f>
        <v/>
      </c>
      <c r="S35" s="27">
        <f>IF(AD35=0,"",IF(Baux!$J$4="",0,Baux!$J$4)/IF(Baux!$L$4="Mensuelle",12,IF(Baux!$L$4="Trimestrielle",4,IF(Baux!$L$4="Semestrielle",2,1))))</f>
        <v/>
      </c>
      <c r="T35" s="27">
        <f>IF(R35="","",(R35+S35)*Baux!$K$4/100)</f>
        <v/>
      </c>
      <c r="U35" s="27">
        <f>IF(R35="","",R35+S35+T35)</f>
        <v/>
      </c>
      <c r="V35" s="17">
        <f>IF(AD35=0,"",IF(LEFT(K35,5)="Geler","❄ Gelée",IF(G35="",IF(D35&lt;=TODAY(),"⚠ Indice attendu","À venir"),IF(D35&lt;=TODAY(),"✔ Calculable","Indice connu – à venir"))))</f>
        <v/>
      </c>
      <c r="W35" s="29" t="n"/>
      <c r="X35" s="13" t="n"/>
      <c r="Y35" s="14" t="n"/>
      <c r="Z35" s="14" t="n"/>
      <c r="AA35" s="13" t="n"/>
      <c r="AB35" s="17">
        <f>IF(A35="","",A35&amp;"#"&amp;C35)</f>
        <v/>
      </c>
      <c r="AC35" s="17">
        <f>IF(AND(AD35=1,D35&lt;=TODAY(),N35&lt;&gt;""),1,0)</f>
        <v/>
      </c>
      <c r="AD35" s="17">
        <f>IF(OR(A35="",D35=""),0,IF(AND(ISNUMBER(Baux!$H$4),D35&gt;Baux!$H$4),0,1))</f>
        <v/>
      </c>
    </row>
    <row r="36">
      <c r="A36" s="17">
        <f>IF(Baux!$A$4="","",Baux!$A$4)</f>
        <v/>
      </c>
      <c r="B36" s="17">
        <f>IF(A36="","",Baux!$B$4)</f>
        <v/>
      </c>
      <c r="C36" s="17" t="n">
        <v>11</v>
      </c>
      <c r="D36" s="15">
        <f>IF(OR(A36="",Baux!$F$4="",Baux!$O$4=""),"",EDATE(Baux!$F$4,12*Baux!$O$4*C36))</f>
        <v/>
      </c>
      <c r="E36" s="17">
        <f>IF(AD36=0,"",Baux!$M$4)</f>
        <v/>
      </c>
      <c r="F36" s="17">
        <f>IF(AD36=0,"",IFERROR(TEXT(VALUE(LEFT(Baux!$N$4,4))+C36*Baux!$O$4,"0")&amp;RIGHT(Baux!$N$4,3),""))</f>
        <v/>
      </c>
      <c r="G36" s="25">
        <f>IF(AD36=0,"",IF(F36="","",IF(SUMIFS(Indices_long!$C:$C,Indices_long!$A:$A,E36,Indices_long!$B:$B,F36)=0,"",SUMIFS(Indices_long!$C:$C,Indices_long!$A:$A,E36,Indices_long!$B:$B,F36))))</f>
        <v/>
      </c>
      <c r="H36" s="17">
        <f>IF(AD36=0,"",IF(Baux!$P$4="Base fixe",Baux!$N$4,IF(K35="Geler – rattrapage possible",H35,F35)))</f>
        <v/>
      </c>
      <c r="I36" s="25">
        <f>IF(AD36=0,"",IF(H36="","",IF(SUMIFS(Indices_long!$C:$C,Indices_long!$A:$A,E36,Indices_long!$B:$B,H36)=0,"",SUMIFS(Indices_long!$C:$C,Indices_long!$A:$A,E36,Indices_long!$B:$B,H36))))</f>
        <v/>
      </c>
      <c r="J36" s="26">
        <f>IF(OR(G36="",I36=""),"",G36/I36)</f>
        <v/>
      </c>
      <c r="K36" s="13" t="n"/>
      <c r="L36" s="27">
        <f>IF(AD36=0,"",IF(Baux!$P$4="Base fixe",Baux!$I$4,N35))</f>
        <v/>
      </c>
      <c r="M36" s="27">
        <f>IF(OR(J36="",L36=""),"",ROUND(L36*J36,2))</f>
        <v/>
      </c>
      <c r="N36" s="27">
        <f>IF(AD36=0,"",IF(LEFT(K36,5)="Geler",O36,IF(M36="","",IF(Baux!$Q$4="",M36,MIN(M36,ROUND(L36*(1+Baux!$Q$4/100)^IF(Baux!$P$4="Base fixe",C36*Baux!$O$4,VALUE(LEFT(F36,4))-VALUE(LEFT(H36,4))),2))))))</f>
        <v/>
      </c>
      <c r="O36" s="27">
        <f>IF(AD36=0,"",N35)</f>
        <v/>
      </c>
      <c r="P36" s="28">
        <f>IF(OR(N36="",O36=""),"",N36/O36-1)</f>
        <v/>
      </c>
      <c r="Q36" s="27">
        <f>IF(N36="","",N36/12)</f>
        <v/>
      </c>
      <c r="R36" s="27">
        <f>IF(N36="","",N36/IF(Baux!$L$4="Mensuelle",12,IF(Baux!$L$4="Trimestrielle",4,IF(Baux!$L$4="Semestrielle",2,1))))</f>
        <v/>
      </c>
      <c r="S36" s="27">
        <f>IF(AD36=0,"",IF(Baux!$J$4="",0,Baux!$J$4)/IF(Baux!$L$4="Mensuelle",12,IF(Baux!$L$4="Trimestrielle",4,IF(Baux!$L$4="Semestrielle",2,1))))</f>
        <v/>
      </c>
      <c r="T36" s="27">
        <f>IF(R36="","",(R36+S36)*Baux!$K$4/100)</f>
        <v/>
      </c>
      <c r="U36" s="27">
        <f>IF(R36="","",R36+S36+T36)</f>
        <v/>
      </c>
      <c r="V36" s="17">
        <f>IF(AD36=0,"",IF(LEFT(K36,5)="Geler","❄ Gelée",IF(G36="",IF(D36&lt;=TODAY(),"⚠ Indice attendu","À venir"),IF(D36&lt;=TODAY(),"✔ Calculable","Indice connu – à venir"))))</f>
        <v/>
      </c>
      <c r="W36" s="29" t="n"/>
      <c r="X36" s="13" t="n"/>
      <c r="Y36" s="14" t="n"/>
      <c r="Z36" s="14" t="n"/>
      <c r="AA36" s="13" t="n"/>
      <c r="AB36" s="17">
        <f>IF(A36="","",A36&amp;"#"&amp;C36)</f>
        <v/>
      </c>
      <c r="AC36" s="17">
        <f>IF(AND(AD36=1,D36&lt;=TODAY(),N36&lt;&gt;""),1,0)</f>
        <v/>
      </c>
      <c r="AD36" s="17">
        <f>IF(OR(A36="",D36=""),0,IF(AND(ISNUMBER(Baux!$H$4),D36&gt;Baux!$H$4),0,1))</f>
        <v/>
      </c>
    </row>
    <row r="37">
      <c r="A37" s="17">
        <f>IF(Baux!$A$4="","",Baux!$A$4)</f>
        <v/>
      </c>
      <c r="B37" s="17">
        <f>IF(A37="","",Baux!$B$4)</f>
        <v/>
      </c>
      <c r="C37" s="17" t="n">
        <v>12</v>
      </c>
      <c r="D37" s="15">
        <f>IF(OR(A37="",Baux!$F$4="",Baux!$O$4=""),"",EDATE(Baux!$F$4,12*Baux!$O$4*C37))</f>
        <v/>
      </c>
      <c r="E37" s="17">
        <f>IF(AD37=0,"",Baux!$M$4)</f>
        <v/>
      </c>
      <c r="F37" s="17">
        <f>IF(AD37=0,"",IFERROR(TEXT(VALUE(LEFT(Baux!$N$4,4))+C37*Baux!$O$4,"0")&amp;RIGHT(Baux!$N$4,3),""))</f>
        <v/>
      </c>
      <c r="G37" s="25">
        <f>IF(AD37=0,"",IF(F37="","",IF(SUMIFS(Indices_long!$C:$C,Indices_long!$A:$A,E37,Indices_long!$B:$B,F37)=0,"",SUMIFS(Indices_long!$C:$C,Indices_long!$A:$A,E37,Indices_long!$B:$B,F37))))</f>
        <v/>
      </c>
      <c r="H37" s="17">
        <f>IF(AD37=0,"",IF(Baux!$P$4="Base fixe",Baux!$N$4,IF(K36="Geler – rattrapage possible",H36,F36)))</f>
        <v/>
      </c>
      <c r="I37" s="25">
        <f>IF(AD37=0,"",IF(H37="","",IF(SUMIFS(Indices_long!$C:$C,Indices_long!$A:$A,E37,Indices_long!$B:$B,H37)=0,"",SUMIFS(Indices_long!$C:$C,Indices_long!$A:$A,E37,Indices_long!$B:$B,H37))))</f>
        <v/>
      </c>
      <c r="J37" s="26">
        <f>IF(OR(G37="",I37=""),"",G37/I37)</f>
        <v/>
      </c>
      <c r="K37" s="13" t="n"/>
      <c r="L37" s="27">
        <f>IF(AD37=0,"",IF(Baux!$P$4="Base fixe",Baux!$I$4,N36))</f>
        <v/>
      </c>
      <c r="M37" s="27">
        <f>IF(OR(J37="",L37=""),"",ROUND(L37*J37,2))</f>
        <v/>
      </c>
      <c r="N37" s="27">
        <f>IF(AD37=0,"",IF(LEFT(K37,5)="Geler",O37,IF(M37="","",IF(Baux!$Q$4="",M37,MIN(M37,ROUND(L37*(1+Baux!$Q$4/100)^IF(Baux!$P$4="Base fixe",C37*Baux!$O$4,VALUE(LEFT(F37,4))-VALUE(LEFT(H37,4))),2))))))</f>
        <v/>
      </c>
      <c r="O37" s="27">
        <f>IF(AD37=0,"",N36)</f>
        <v/>
      </c>
      <c r="P37" s="28">
        <f>IF(OR(N37="",O37=""),"",N37/O37-1)</f>
        <v/>
      </c>
      <c r="Q37" s="27">
        <f>IF(N37="","",N37/12)</f>
        <v/>
      </c>
      <c r="R37" s="27">
        <f>IF(N37="","",N37/IF(Baux!$L$4="Mensuelle",12,IF(Baux!$L$4="Trimestrielle",4,IF(Baux!$L$4="Semestrielle",2,1))))</f>
        <v/>
      </c>
      <c r="S37" s="27">
        <f>IF(AD37=0,"",IF(Baux!$J$4="",0,Baux!$J$4)/IF(Baux!$L$4="Mensuelle",12,IF(Baux!$L$4="Trimestrielle",4,IF(Baux!$L$4="Semestrielle",2,1))))</f>
        <v/>
      </c>
      <c r="T37" s="27">
        <f>IF(R37="","",(R37+S37)*Baux!$K$4/100)</f>
        <v/>
      </c>
      <c r="U37" s="27">
        <f>IF(R37="","",R37+S37+T37)</f>
        <v/>
      </c>
      <c r="V37" s="17">
        <f>IF(AD37=0,"",IF(LEFT(K37,5)="Geler","❄ Gelée",IF(G37="",IF(D37&lt;=TODAY(),"⚠ Indice attendu","À venir"),IF(D37&lt;=TODAY(),"✔ Calculable","Indice connu – à venir"))))</f>
        <v/>
      </c>
      <c r="W37" s="29" t="n"/>
      <c r="X37" s="13" t="n"/>
      <c r="Y37" s="14" t="n"/>
      <c r="Z37" s="14" t="n"/>
      <c r="AA37" s="13" t="n"/>
      <c r="AB37" s="17">
        <f>IF(A37="","",A37&amp;"#"&amp;C37)</f>
        <v/>
      </c>
      <c r="AC37" s="17">
        <f>IF(AND(AD37=1,D37&lt;=TODAY(),N37&lt;&gt;""),1,0)</f>
        <v/>
      </c>
      <c r="AD37" s="17">
        <f>IF(OR(A37="",D37=""),0,IF(AND(ISNUMBER(Baux!$H$4),D37&gt;Baux!$H$4),0,1))</f>
        <v/>
      </c>
    </row>
    <row r="38">
      <c r="A38" s="17">
        <f>IF(Baux!$A$5="","",Baux!$A$5)</f>
        <v/>
      </c>
      <c r="B38" s="17">
        <f>IF(A38="","",Baux!$B$5)</f>
        <v/>
      </c>
      <c r="C38" s="17" t="n">
        <v>1</v>
      </c>
      <c r="D38" s="15">
        <f>IF(OR(A38="",Baux!$F$5="",Baux!$O$5=""),"",EDATE(Baux!$F$5,12*Baux!$O$5*C38))</f>
        <v/>
      </c>
      <c r="E38" s="17">
        <f>IF(AD38=0,"",Baux!$M$5)</f>
        <v/>
      </c>
      <c r="F38" s="17">
        <f>IF(AD38=0,"",IFERROR(TEXT(VALUE(LEFT(Baux!$N$5,4))+C38*Baux!$O$5,"0")&amp;RIGHT(Baux!$N$5,3),""))</f>
        <v/>
      </c>
      <c r="G38" s="25">
        <f>IF(AD38=0,"",IF(F38="","",IF(SUMIFS(Indices_long!$C:$C,Indices_long!$A:$A,E38,Indices_long!$B:$B,F38)=0,"",SUMIFS(Indices_long!$C:$C,Indices_long!$A:$A,E38,Indices_long!$B:$B,F38))))</f>
        <v/>
      </c>
      <c r="H38" s="17">
        <f>IF(AD38=0,"",Baux!$N$5)</f>
        <v/>
      </c>
      <c r="I38" s="25">
        <f>IF(AD38=0,"",IF(H38="","",IF(SUMIFS(Indices_long!$C:$C,Indices_long!$A:$A,E38,Indices_long!$B:$B,H38)=0,"",SUMIFS(Indices_long!$C:$C,Indices_long!$A:$A,E38,Indices_long!$B:$B,H38))))</f>
        <v/>
      </c>
      <c r="J38" s="26">
        <f>IF(OR(G38="",I38=""),"",G38/I38)</f>
        <v/>
      </c>
      <c r="K38" s="13" t="n"/>
      <c r="L38" s="27">
        <f>IF(AD38=0,"",Baux!$I$5)</f>
        <v/>
      </c>
      <c r="M38" s="27">
        <f>IF(OR(J38="",L38=""),"",ROUND(L38*J38,2))</f>
        <v/>
      </c>
      <c r="N38" s="27">
        <f>IF(AD38=0,"",IF(LEFT(K38,5)="Geler",O38,IF(M38="","",IF(Baux!$Q$5="",M38,MIN(M38,ROUND(L38*(1+Baux!$Q$5/100)^IF(Baux!$P$5="Base fixe",C38*Baux!$O$5,VALUE(LEFT(F38,4))-VALUE(LEFT(H38,4))),2))))))</f>
        <v/>
      </c>
      <c r="O38" s="27">
        <f>IF(AD38=0,"",Baux!$I$5)</f>
        <v/>
      </c>
      <c r="P38" s="28">
        <f>IF(OR(N38="",O38=""),"",N38/O38-1)</f>
        <v/>
      </c>
      <c r="Q38" s="27">
        <f>IF(N38="","",N38/12)</f>
        <v/>
      </c>
      <c r="R38" s="27">
        <f>IF(N38="","",N38/IF(Baux!$L$5="Mensuelle",12,IF(Baux!$L$5="Trimestrielle",4,IF(Baux!$L$5="Semestrielle",2,1))))</f>
        <v/>
      </c>
      <c r="S38" s="27">
        <f>IF(AD38=0,"",IF(Baux!$J$5="",0,Baux!$J$5)/IF(Baux!$L$5="Mensuelle",12,IF(Baux!$L$5="Trimestrielle",4,IF(Baux!$L$5="Semestrielle",2,1))))</f>
        <v/>
      </c>
      <c r="T38" s="27">
        <f>IF(R38="","",(R38+S38)*Baux!$K$5/100)</f>
        <v/>
      </c>
      <c r="U38" s="27">
        <f>IF(R38="","",R38+S38+T38)</f>
        <v/>
      </c>
      <c r="V38" s="17">
        <f>IF(AD38=0,"",IF(LEFT(K38,5)="Geler","❄ Gelée",IF(G38="",IF(D38&lt;=TODAY(),"⚠ Indice attendu","À venir"),IF(D38&lt;=TODAY(),"✔ Calculable","Indice connu – à venir"))))</f>
        <v/>
      </c>
      <c r="W38" s="29" t="n"/>
      <c r="X38" s="13" t="n"/>
      <c r="Y38" s="14" t="n"/>
      <c r="Z38" s="14" t="n"/>
      <c r="AA38" s="13" t="n"/>
      <c r="AB38" s="17">
        <f>IF(A38="","",A38&amp;"#"&amp;C38)</f>
        <v/>
      </c>
      <c r="AC38" s="17">
        <f>IF(AND(AD38=1,D38&lt;=TODAY(),N38&lt;&gt;""),1,0)</f>
        <v/>
      </c>
      <c r="AD38" s="17">
        <f>IF(OR(A38="",D38=""),0,IF(AND(ISNUMBER(Baux!$H$5),D38&gt;Baux!$H$5),0,1))</f>
        <v/>
      </c>
    </row>
    <row r="39">
      <c r="A39" s="17">
        <f>IF(Baux!$A$5="","",Baux!$A$5)</f>
        <v/>
      </c>
      <c r="B39" s="17">
        <f>IF(A39="","",Baux!$B$5)</f>
        <v/>
      </c>
      <c r="C39" s="17" t="n">
        <v>2</v>
      </c>
      <c r="D39" s="15">
        <f>IF(OR(A39="",Baux!$F$5="",Baux!$O$5=""),"",EDATE(Baux!$F$5,12*Baux!$O$5*C39))</f>
        <v/>
      </c>
      <c r="E39" s="17">
        <f>IF(AD39=0,"",Baux!$M$5)</f>
        <v/>
      </c>
      <c r="F39" s="17">
        <f>IF(AD39=0,"",IFERROR(TEXT(VALUE(LEFT(Baux!$N$5,4))+C39*Baux!$O$5,"0")&amp;RIGHT(Baux!$N$5,3),""))</f>
        <v/>
      </c>
      <c r="G39" s="25">
        <f>IF(AD39=0,"",IF(F39="","",IF(SUMIFS(Indices_long!$C:$C,Indices_long!$A:$A,E39,Indices_long!$B:$B,F39)=0,"",SUMIFS(Indices_long!$C:$C,Indices_long!$A:$A,E39,Indices_long!$B:$B,F39))))</f>
        <v/>
      </c>
      <c r="H39" s="17">
        <f>IF(AD39=0,"",IF(Baux!$P$5="Base fixe",Baux!$N$5,IF(K38="Geler – rattrapage possible",H38,F38)))</f>
        <v/>
      </c>
      <c r="I39" s="25">
        <f>IF(AD39=0,"",IF(H39="","",IF(SUMIFS(Indices_long!$C:$C,Indices_long!$A:$A,E39,Indices_long!$B:$B,H39)=0,"",SUMIFS(Indices_long!$C:$C,Indices_long!$A:$A,E39,Indices_long!$B:$B,H39))))</f>
        <v/>
      </c>
      <c r="J39" s="26">
        <f>IF(OR(G39="",I39=""),"",G39/I39)</f>
        <v/>
      </c>
      <c r="K39" s="13" t="n"/>
      <c r="L39" s="27">
        <f>IF(AD39=0,"",IF(Baux!$P$5="Base fixe",Baux!$I$5,N38))</f>
        <v/>
      </c>
      <c r="M39" s="27">
        <f>IF(OR(J39="",L39=""),"",ROUND(L39*J39,2))</f>
        <v/>
      </c>
      <c r="N39" s="27">
        <f>IF(AD39=0,"",IF(LEFT(K39,5)="Geler",O39,IF(M39="","",IF(Baux!$Q$5="",M39,MIN(M39,ROUND(L39*(1+Baux!$Q$5/100)^IF(Baux!$P$5="Base fixe",C39*Baux!$O$5,VALUE(LEFT(F39,4))-VALUE(LEFT(H39,4))),2))))))</f>
        <v/>
      </c>
      <c r="O39" s="27">
        <f>IF(AD39=0,"",N38)</f>
        <v/>
      </c>
      <c r="P39" s="28">
        <f>IF(OR(N39="",O39=""),"",N39/O39-1)</f>
        <v/>
      </c>
      <c r="Q39" s="27">
        <f>IF(N39="","",N39/12)</f>
        <v/>
      </c>
      <c r="R39" s="27">
        <f>IF(N39="","",N39/IF(Baux!$L$5="Mensuelle",12,IF(Baux!$L$5="Trimestrielle",4,IF(Baux!$L$5="Semestrielle",2,1))))</f>
        <v/>
      </c>
      <c r="S39" s="27">
        <f>IF(AD39=0,"",IF(Baux!$J$5="",0,Baux!$J$5)/IF(Baux!$L$5="Mensuelle",12,IF(Baux!$L$5="Trimestrielle",4,IF(Baux!$L$5="Semestrielle",2,1))))</f>
        <v/>
      </c>
      <c r="T39" s="27">
        <f>IF(R39="","",(R39+S39)*Baux!$K$5/100)</f>
        <v/>
      </c>
      <c r="U39" s="27">
        <f>IF(R39="","",R39+S39+T39)</f>
        <v/>
      </c>
      <c r="V39" s="17">
        <f>IF(AD39=0,"",IF(LEFT(K39,5)="Geler","❄ Gelée",IF(G39="",IF(D39&lt;=TODAY(),"⚠ Indice attendu","À venir"),IF(D39&lt;=TODAY(),"✔ Calculable","Indice connu – à venir"))))</f>
        <v/>
      </c>
      <c r="W39" s="29" t="n"/>
      <c r="X39" s="13" t="n"/>
      <c r="Y39" s="14" t="n"/>
      <c r="Z39" s="14" t="n"/>
      <c r="AA39" s="13" t="n"/>
      <c r="AB39" s="17">
        <f>IF(A39="","",A39&amp;"#"&amp;C39)</f>
        <v/>
      </c>
      <c r="AC39" s="17">
        <f>IF(AND(AD39=1,D39&lt;=TODAY(),N39&lt;&gt;""),1,0)</f>
        <v/>
      </c>
      <c r="AD39" s="17">
        <f>IF(OR(A39="",D39=""),0,IF(AND(ISNUMBER(Baux!$H$5),D39&gt;Baux!$H$5),0,1))</f>
        <v/>
      </c>
    </row>
    <row r="40">
      <c r="A40" s="17">
        <f>IF(Baux!$A$5="","",Baux!$A$5)</f>
        <v/>
      </c>
      <c r="B40" s="17">
        <f>IF(A40="","",Baux!$B$5)</f>
        <v/>
      </c>
      <c r="C40" s="17" t="n">
        <v>3</v>
      </c>
      <c r="D40" s="15">
        <f>IF(OR(A40="",Baux!$F$5="",Baux!$O$5=""),"",EDATE(Baux!$F$5,12*Baux!$O$5*C40))</f>
        <v/>
      </c>
      <c r="E40" s="17">
        <f>IF(AD40=0,"",Baux!$M$5)</f>
        <v/>
      </c>
      <c r="F40" s="17">
        <f>IF(AD40=0,"",IFERROR(TEXT(VALUE(LEFT(Baux!$N$5,4))+C40*Baux!$O$5,"0")&amp;RIGHT(Baux!$N$5,3),""))</f>
        <v/>
      </c>
      <c r="G40" s="25">
        <f>IF(AD40=0,"",IF(F40="","",IF(SUMIFS(Indices_long!$C:$C,Indices_long!$A:$A,E40,Indices_long!$B:$B,F40)=0,"",SUMIFS(Indices_long!$C:$C,Indices_long!$A:$A,E40,Indices_long!$B:$B,F40))))</f>
        <v/>
      </c>
      <c r="H40" s="17">
        <f>IF(AD40=0,"",IF(Baux!$P$5="Base fixe",Baux!$N$5,IF(K39="Geler – rattrapage possible",H39,F39)))</f>
        <v/>
      </c>
      <c r="I40" s="25">
        <f>IF(AD40=0,"",IF(H40="","",IF(SUMIFS(Indices_long!$C:$C,Indices_long!$A:$A,E40,Indices_long!$B:$B,H40)=0,"",SUMIFS(Indices_long!$C:$C,Indices_long!$A:$A,E40,Indices_long!$B:$B,H40))))</f>
        <v/>
      </c>
      <c r="J40" s="26">
        <f>IF(OR(G40="",I40=""),"",G40/I40)</f>
        <v/>
      </c>
      <c r="K40" s="13" t="n"/>
      <c r="L40" s="27">
        <f>IF(AD40=0,"",IF(Baux!$P$5="Base fixe",Baux!$I$5,N39))</f>
        <v/>
      </c>
      <c r="M40" s="27">
        <f>IF(OR(J40="",L40=""),"",ROUND(L40*J40,2))</f>
        <v/>
      </c>
      <c r="N40" s="27">
        <f>IF(AD40=0,"",IF(LEFT(K40,5)="Geler",O40,IF(M40="","",IF(Baux!$Q$5="",M40,MIN(M40,ROUND(L40*(1+Baux!$Q$5/100)^IF(Baux!$P$5="Base fixe",C40*Baux!$O$5,VALUE(LEFT(F40,4))-VALUE(LEFT(H40,4))),2))))))</f>
        <v/>
      </c>
      <c r="O40" s="27">
        <f>IF(AD40=0,"",N39)</f>
        <v/>
      </c>
      <c r="P40" s="28">
        <f>IF(OR(N40="",O40=""),"",N40/O40-1)</f>
        <v/>
      </c>
      <c r="Q40" s="27">
        <f>IF(N40="","",N40/12)</f>
        <v/>
      </c>
      <c r="R40" s="27">
        <f>IF(N40="","",N40/IF(Baux!$L$5="Mensuelle",12,IF(Baux!$L$5="Trimestrielle",4,IF(Baux!$L$5="Semestrielle",2,1))))</f>
        <v/>
      </c>
      <c r="S40" s="27">
        <f>IF(AD40=0,"",IF(Baux!$J$5="",0,Baux!$J$5)/IF(Baux!$L$5="Mensuelle",12,IF(Baux!$L$5="Trimestrielle",4,IF(Baux!$L$5="Semestrielle",2,1))))</f>
        <v/>
      </c>
      <c r="T40" s="27">
        <f>IF(R40="","",(R40+S40)*Baux!$K$5/100)</f>
        <v/>
      </c>
      <c r="U40" s="27">
        <f>IF(R40="","",R40+S40+T40)</f>
        <v/>
      </c>
      <c r="V40" s="17">
        <f>IF(AD40=0,"",IF(LEFT(K40,5)="Geler","❄ Gelée",IF(G40="",IF(D40&lt;=TODAY(),"⚠ Indice attendu","À venir"),IF(D40&lt;=TODAY(),"✔ Calculable","Indice connu – à venir"))))</f>
        <v/>
      </c>
      <c r="W40" s="29" t="n"/>
      <c r="X40" s="13" t="n"/>
      <c r="Y40" s="14" t="n"/>
      <c r="Z40" s="14" t="n"/>
      <c r="AA40" s="13" t="n"/>
      <c r="AB40" s="17">
        <f>IF(A40="","",A40&amp;"#"&amp;C40)</f>
        <v/>
      </c>
      <c r="AC40" s="17">
        <f>IF(AND(AD40=1,D40&lt;=TODAY(),N40&lt;&gt;""),1,0)</f>
        <v/>
      </c>
      <c r="AD40" s="17">
        <f>IF(OR(A40="",D40=""),0,IF(AND(ISNUMBER(Baux!$H$5),D40&gt;Baux!$H$5),0,1))</f>
        <v/>
      </c>
    </row>
    <row r="41">
      <c r="A41" s="17">
        <f>IF(Baux!$A$5="","",Baux!$A$5)</f>
        <v/>
      </c>
      <c r="B41" s="17">
        <f>IF(A41="","",Baux!$B$5)</f>
        <v/>
      </c>
      <c r="C41" s="17" t="n">
        <v>4</v>
      </c>
      <c r="D41" s="15">
        <f>IF(OR(A41="",Baux!$F$5="",Baux!$O$5=""),"",EDATE(Baux!$F$5,12*Baux!$O$5*C41))</f>
        <v/>
      </c>
      <c r="E41" s="17">
        <f>IF(AD41=0,"",Baux!$M$5)</f>
        <v/>
      </c>
      <c r="F41" s="17">
        <f>IF(AD41=0,"",IFERROR(TEXT(VALUE(LEFT(Baux!$N$5,4))+C41*Baux!$O$5,"0")&amp;RIGHT(Baux!$N$5,3),""))</f>
        <v/>
      </c>
      <c r="G41" s="25">
        <f>IF(AD41=0,"",IF(F41="","",IF(SUMIFS(Indices_long!$C:$C,Indices_long!$A:$A,E41,Indices_long!$B:$B,F41)=0,"",SUMIFS(Indices_long!$C:$C,Indices_long!$A:$A,E41,Indices_long!$B:$B,F41))))</f>
        <v/>
      </c>
      <c r="H41" s="17">
        <f>IF(AD41=0,"",IF(Baux!$P$5="Base fixe",Baux!$N$5,IF(K40="Geler – rattrapage possible",H40,F40)))</f>
        <v/>
      </c>
      <c r="I41" s="25">
        <f>IF(AD41=0,"",IF(H41="","",IF(SUMIFS(Indices_long!$C:$C,Indices_long!$A:$A,E41,Indices_long!$B:$B,H41)=0,"",SUMIFS(Indices_long!$C:$C,Indices_long!$A:$A,E41,Indices_long!$B:$B,H41))))</f>
        <v/>
      </c>
      <c r="J41" s="26">
        <f>IF(OR(G41="",I41=""),"",G41/I41)</f>
        <v/>
      </c>
      <c r="K41" s="13" t="n"/>
      <c r="L41" s="27">
        <f>IF(AD41=0,"",IF(Baux!$P$5="Base fixe",Baux!$I$5,N40))</f>
        <v/>
      </c>
      <c r="M41" s="27">
        <f>IF(OR(J41="",L41=""),"",ROUND(L41*J41,2))</f>
        <v/>
      </c>
      <c r="N41" s="27">
        <f>IF(AD41=0,"",IF(LEFT(K41,5)="Geler",O41,IF(M41="","",IF(Baux!$Q$5="",M41,MIN(M41,ROUND(L41*(1+Baux!$Q$5/100)^IF(Baux!$P$5="Base fixe",C41*Baux!$O$5,VALUE(LEFT(F41,4))-VALUE(LEFT(H41,4))),2))))))</f>
        <v/>
      </c>
      <c r="O41" s="27">
        <f>IF(AD41=0,"",N40)</f>
        <v/>
      </c>
      <c r="P41" s="28">
        <f>IF(OR(N41="",O41=""),"",N41/O41-1)</f>
        <v/>
      </c>
      <c r="Q41" s="27">
        <f>IF(N41="","",N41/12)</f>
        <v/>
      </c>
      <c r="R41" s="27">
        <f>IF(N41="","",N41/IF(Baux!$L$5="Mensuelle",12,IF(Baux!$L$5="Trimestrielle",4,IF(Baux!$L$5="Semestrielle",2,1))))</f>
        <v/>
      </c>
      <c r="S41" s="27">
        <f>IF(AD41=0,"",IF(Baux!$J$5="",0,Baux!$J$5)/IF(Baux!$L$5="Mensuelle",12,IF(Baux!$L$5="Trimestrielle",4,IF(Baux!$L$5="Semestrielle",2,1))))</f>
        <v/>
      </c>
      <c r="T41" s="27">
        <f>IF(R41="","",(R41+S41)*Baux!$K$5/100)</f>
        <v/>
      </c>
      <c r="U41" s="27">
        <f>IF(R41="","",R41+S41+T41)</f>
        <v/>
      </c>
      <c r="V41" s="17">
        <f>IF(AD41=0,"",IF(LEFT(K41,5)="Geler","❄ Gelée",IF(G41="",IF(D41&lt;=TODAY(),"⚠ Indice attendu","À venir"),IF(D41&lt;=TODAY(),"✔ Calculable","Indice connu – à venir"))))</f>
        <v/>
      </c>
      <c r="W41" s="29" t="n"/>
      <c r="X41" s="13" t="n"/>
      <c r="Y41" s="14" t="n"/>
      <c r="Z41" s="14" t="n"/>
      <c r="AA41" s="13" t="n"/>
      <c r="AB41" s="17">
        <f>IF(A41="","",A41&amp;"#"&amp;C41)</f>
        <v/>
      </c>
      <c r="AC41" s="17">
        <f>IF(AND(AD41=1,D41&lt;=TODAY(),N41&lt;&gt;""),1,0)</f>
        <v/>
      </c>
      <c r="AD41" s="17">
        <f>IF(OR(A41="",D41=""),0,IF(AND(ISNUMBER(Baux!$H$5),D41&gt;Baux!$H$5),0,1))</f>
        <v/>
      </c>
    </row>
    <row r="42">
      <c r="A42" s="17">
        <f>IF(Baux!$A$5="","",Baux!$A$5)</f>
        <v/>
      </c>
      <c r="B42" s="17">
        <f>IF(A42="","",Baux!$B$5)</f>
        <v/>
      </c>
      <c r="C42" s="17" t="n">
        <v>5</v>
      </c>
      <c r="D42" s="15">
        <f>IF(OR(A42="",Baux!$F$5="",Baux!$O$5=""),"",EDATE(Baux!$F$5,12*Baux!$O$5*C42))</f>
        <v/>
      </c>
      <c r="E42" s="17">
        <f>IF(AD42=0,"",Baux!$M$5)</f>
        <v/>
      </c>
      <c r="F42" s="17">
        <f>IF(AD42=0,"",IFERROR(TEXT(VALUE(LEFT(Baux!$N$5,4))+C42*Baux!$O$5,"0")&amp;RIGHT(Baux!$N$5,3),""))</f>
        <v/>
      </c>
      <c r="G42" s="25">
        <f>IF(AD42=0,"",IF(F42="","",IF(SUMIFS(Indices_long!$C:$C,Indices_long!$A:$A,E42,Indices_long!$B:$B,F42)=0,"",SUMIFS(Indices_long!$C:$C,Indices_long!$A:$A,E42,Indices_long!$B:$B,F42))))</f>
        <v/>
      </c>
      <c r="H42" s="17">
        <f>IF(AD42=0,"",IF(Baux!$P$5="Base fixe",Baux!$N$5,IF(K41="Geler – rattrapage possible",H41,F41)))</f>
        <v/>
      </c>
      <c r="I42" s="25">
        <f>IF(AD42=0,"",IF(H42="","",IF(SUMIFS(Indices_long!$C:$C,Indices_long!$A:$A,E42,Indices_long!$B:$B,H42)=0,"",SUMIFS(Indices_long!$C:$C,Indices_long!$A:$A,E42,Indices_long!$B:$B,H42))))</f>
        <v/>
      </c>
      <c r="J42" s="26">
        <f>IF(OR(G42="",I42=""),"",G42/I42)</f>
        <v/>
      </c>
      <c r="K42" s="13" t="n"/>
      <c r="L42" s="27">
        <f>IF(AD42=0,"",IF(Baux!$P$5="Base fixe",Baux!$I$5,N41))</f>
        <v/>
      </c>
      <c r="M42" s="27">
        <f>IF(OR(J42="",L42=""),"",ROUND(L42*J42,2))</f>
        <v/>
      </c>
      <c r="N42" s="27">
        <f>IF(AD42=0,"",IF(LEFT(K42,5)="Geler",O42,IF(M42="","",IF(Baux!$Q$5="",M42,MIN(M42,ROUND(L42*(1+Baux!$Q$5/100)^IF(Baux!$P$5="Base fixe",C42*Baux!$O$5,VALUE(LEFT(F42,4))-VALUE(LEFT(H42,4))),2))))))</f>
        <v/>
      </c>
      <c r="O42" s="27">
        <f>IF(AD42=0,"",N41)</f>
        <v/>
      </c>
      <c r="P42" s="28">
        <f>IF(OR(N42="",O42=""),"",N42/O42-1)</f>
        <v/>
      </c>
      <c r="Q42" s="27">
        <f>IF(N42="","",N42/12)</f>
        <v/>
      </c>
      <c r="R42" s="27">
        <f>IF(N42="","",N42/IF(Baux!$L$5="Mensuelle",12,IF(Baux!$L$5="Trimestrielle",4,IF(Baux!$L$5="Semestrielle",2,1))))</f>
        <v/>
      </c>
      <c r="S42" s="27">
        <f>IF(AD42=0,"",IF(Baux!$J$5="",0,Baux!$J$5)/IF(Baux!$L$5="Mensuelle",12,IF(Baux!$L$5="Trimestrielle",4,IF(Baux!$L$5="Semestrielle",2,1))))</f>
        <v/>
      </c>
      <c r="T42" s="27">
        <f>IF(R42="","",(R42+S42)*Baux!$K$5/100)</f>
        <v/>
      </c>
      <c r="U42" s="27">
        <f>IF(R42="","",R42+S42+T42)</f>
        <v/>
      </c>
      <c r="V42" s="17">
        <f>IF(AD42=0,"",IF(LEFT(K42,5)="Geler","❄ Gelée",IF(G42="",IF(D42&lt;=TODAY(),"⚠ Indice attendu","À venir"),IF(D42&lt;=TODAY(),"✔ Calculable","Indice connu – à venir"))))</f>
        <v/>
      </c>
      <c r="W42" s="29" t="n"/>
      <c r="X42" s="13" t="n"/>
      <c r="Y42" s="14" t="n"/>
      <c r="Z42" s="14" t="n"/>
      <c r="AA42" s="13" t="n"/>
      <c r="AB42" s="17">
        <f>IF(A42="","",A42&amp;"#"&amp;C42)</f>
        <v/>
      </c>
      <c r="AC42" s="17">
        <f>IF(AND(AD42=1,D42&lt;=TODAY(),N42&lt;&gt;""),1,0)</f>
        <v/>
      </c>
      <c r="AD42" s="17">
        <f>IF(OR(A42="",D42=""),0,IF(AND(ISNUMBER(Baux!$H$5),D42&gt;Baux!$H$5),0,1))</f>
        <v/>
      </c>
    </row>
    <row r="43">
      <c r="A43" s="17">
        <f>IF(Baux!$A$5="","",Baux!$A$5)</f>
        <v/>
      </c>
      <c r="B43" s="17">
        <f>IF(A43="","",Baux!$B$5)</f>
        <v/>
      </c>
      <c r="C43" s="17" t="n">
        <v>6</v>
      </c>
      <c r="D43" s="15">
        <f>IF(OR(A43="",Baux!$F$5="",Baux!$O$5=""),"",EDATE(Baux!$F$5,12*Baux!$O$5*C43))</f>
        <v/>
      </c>
      <c r="E43" s="17">
        <f>IF(AD43=0,"",Baux!$M$5)</f>
        <v/>
      </c>
      <c r="F43" s="17">
        <f>IF(AD43=0,"",IFERROR(TEXT(VALUE(LEFT(Baux!$N$5,4))+C43*Baux!$O$5,"0")&amp;RIGHT(Baux!$N$5,3),""))</f>
        <v/>
      </c>
      <c r="G43" s="25">
        <f>IF(AD43=0,"",IF(F43="","",IF(SUMIFS(Indices_long!$C:$C,Indices_long!$A:$A,E43,Indices_long!$B:$B,F43)=0,"",SUMIFS(Indices_long!$C:$C,Indices_long!$A:$A,E43,Indices_long!$B:$B,F43))))</f>
        <v/>
      </c>
      <c r="H43" s="17">
        <f>IF(AD43=0,"",IF(Baux!$P$5="Base fixe",Baux!$N$5,IF(K42="Geler – rattrapage possible",H42,F42)))</f>
        <v/>
      </c>
      <c r="I43" s="25">
        <f>IF(AD43=0,"",IF(H43="","",IF(SUMIFS(Indices_long!$C:$C,Indices_long!$A:$A,E43,Indices_long!$B:$B,H43)=0,"",SUMIFS(Indices_long!$C:$C,Indices_long!$A:$A,E43,Indices_long!$B:$B,H43))))</f>
        <v/>
      </c>
      <c r="J43" s="26">
        <f>IF(OR(G43="",I43=""),"",G43/I43)</f>
        <v/>
      </c>
      <c r="K43" s="13" t="n"/>
      <c r="L43" s="27">
        <f>IF(AD43=0,"",IF(Baux!$P$5="Base fixe",Baux!$I$5,N42))</f>
        <v/>
      </c>
      <c r="M43" s="27">
        <f>IF(OR(J43="",L43=""),"",ROUND(L43*J43,2))</f>
        <v/>
      </c>
      <c r="N43" s="27">
        <f>IF(AD43=0,"",IF(LEFT(K43,5)="Geler",O43,IF(M43="","",IF(Baux!$Q$5="",M43,MIN(M43,ROUND(L43*(1+Baux!$Q$5/100)^IF(Baux!$P$5="Base fixe",C43*Baux!$O$5,VALUE(LEFT(F43,4))-VALUE(LEFT(H43,4))),2))))))</f>
        <v/>
      </c>
      <c r="O43" s="27">
        <f>IF(AD43=0,"",N42)</f>
        <v/>
      </c>
      <c r="P43" s="28">
        <f>IF(OR(N43="",O43=""),"",N43/O43-1)</f>
        <v/>
      </c>
      <c r="Q43" s="27">
        <f>IF(N43="","",N43/12)</f>
        <v/>
      </c>
      <c r="R43" s="27">
        <f>IF(N43="","",N43/IF(Baux!$L$5="Mensuelle",12,IF(Baux!$L$5="Trimestrielle",4,IF(Baux!$L$5="Semestrielle",2,1))))</f>
        <v/>
      </c>
      <c r="S43" s="27">
        <f>IF(AD43=0,"",IF(Baux!$J$5="",0,Baux!$J$5)/IF(Baux!$L$5="Mensuelle",12,IF(Baux!$L$5="Trimestrielle",4,IF(Baux!$L$5="Semestrielle",2,1))))</f>
        <v/>
      </c>
      <c r="T43" s="27">
        <f>IF(R43="","",(R43+S43)*Baux!$K$5/100)</f>
        <v/>
      </c>
      <c r="U43" s="27">
        <f>IF(R43="","",R43+S43+T43)</f>
        <v/>
      </c>
      <c r="V43" s="17">
        <f>IF(AD43=0,"",IF(LEFT(K43,5)="Geler","❄ Gelée",IF(G43="",IF(D43&lt;=TODAY(),"⚠ Indice attendu","À venir"),IF(D43&lt;=TODAY(),"✔ Calculable","Indice connu – à venir"))))</f>
        <v/>
      </c>
      <c r="W43" s="29" t="n"/>
      <c r="X43" s="13" t="n"/>
      <c r="Y43" s="14" t="n"/>
      <c r="Z43" s="14" t="n"/>
      <c r="AA43" s="13" t="n"/>
      <c r="AB43" s="17">
        <f>IF(A43="","",A43&amp;"#"&amp;C43)</f>
        <v/>
      </c>
      <c r="AC43" s="17">
        <f>IF(AND(AD43=1,D43&lt;=TODAY(),N43&lt;&gt;""),1,0)</f>
        <v/>
      </c>
      <c r="AD43" s="17">
        <f>IF(OR(A43="",D43=""),0,IF(AND(ISNUMBER(Baux!$H$5),D43&gt;Baux!$H$5),0,1))</f>
        <v/>
      </c>
    </row>
    <row r="44">
      <c r="A44" s="17">
        <f>IF(Baux!$A$5="","",Baux!$A$5)</f>
        <v/>
      </c>
      <c r="B44" s="17">
        <f>IF(A44="","",Baux!$B$5)</f>
        <v/>
      </c>
      <c r="C44" s="17" t="n">
        <v>7</v>
      </c>
      <c r="D44" s="15">
        <f>IF(OR(A44="",Baux!$F$5="",Baux!$O$5=""),"",EDATE(Baux!$F$5,12*Baux!$O$5*C44))</f>
        <v/>
      </c>
      <c r="E44" s="17">
        <f>IF(AD44=0,"",Baux!$M$5)</f>
        <v/>
      </c>
      <c r="F44" s="17">
        <f>IF(AD44=0,"",IFERROR(TEXT(VALUE(LEFT(Baux!$N$5,4))+C44*Baux!$O$5,"0")&amp;RIGHT(Baux!$N$5,3),""))</f>
        <v/>
      </c>
      <c r="G44" s="25">
        <f>IF(AD44=0,"",IF(F44="","",IF(SUMIFS(Indices_long!$C:$C,Indices_long!$A:$A,E44,Indices_long!$B:$B,F44)=0,"",SUMIFS(Indices_long!$C:$C,Indices_long!$A:$A,E44,Indices_long!$B:$B,F44))))</f>
        <v/>
      </c>
      <c r="H44" s="17">
        <f>IF(AD44=0,"",IF(Baux!$P$5="Base fixe",Baux!$N$5,IF(K43="Geler – rattrapage possible",H43,F43)))</f>
        <v/>
      </c>
      <c r="I44" s="25">
        <f>IF(AD44=0,"",IF(H44="","",IF(SUMIFS(Indices_long!$C:$C,Indices_long!$A:$A,E44,Indices_long!$B:$B,H44)=0,"",SUMIFS(Indices_long!$C:$C,Indices_long!$A:$A,E44,Indices_long!$B:$B,H44))))</f>
        <v/>
      </c>
      <c r="J44" s="26">
        <f>IF(OR(G44="",I44=""),"",G44/I44)</f>
        <v/>
      </c>
      <c r="K44" s="13" t="n"/>
      <c r="L44" s="27">
        <f>IF(AD44=0,"",IF(Baux!$P$5="Base fixe",Baux!$I$5,N43))</f>
        <v/>
      </c>
      <c r="M44" s="27">
        <f>IF(OR(J44="",L44=""),"",ROUND(L44*J44,2))</f>
        <v/>
      </c>
      <c r="N44" s="27">
        <f>IF(AD44=0,"",IF(LEFT(K44,5)="Geler",O44,IF(M44="","",IF(Baux!$Q$5="",M44,MIN(M44,ROUND(L44*(1+Baux!$Q$5/100)^IF(Baux!$P$5="Base fixe",C44*Baux!$O$5,VALUE(LEFT(F44,4))-VALUE(LEFT(H44,4))),2))))))</f>
        <v/>
      </c>
      <c r="O44" s="27">
        <f>IF(AD44=0,"",N43)</f>
        <v/>
      </c>
      <c r="P44" s="28">
        <f>IF(OR(N44="",O44=""),"",N44/O44-1)</f>
        <v/>
      </c>
      <c r="Q44" s="27">
        <f>IF(N44="","",N44/12)</f>
        <v/>
      </c>
      <c r="R44" s="27">
        <f>IF(N44="","",N44/IF(Baux!$L$5="Mensuelle",12,IF(Baux!$L$5="Trimestrielle",4,IF(Baux!$L$5="Semestrielle",2,1))))</f>
        <v/>
      </c>
      <c r="S44" s="27">
        <f>IF(AD44=0,"",IF(Baux!$J$5="",0,Baux!$J$5)/IF(Baux!$L$5="Mensuelle",12,IF(Baux!$L$5="Trimestrielle",4,IF(Baux!$L$5="Semestrielle",2,1))))</f>
        <v/>
      </c>
      <c r="T44" s="27">
        <f>IF(R44="","",(R44+S44)*Baux!$K$5/100)</f>
        <v/>
      </c>
      <c r="U44" s="27">
        <f>IF(R44="","",R44+S44+T44)</f>
        <v/>
      </c>
      <c r="V44" s="17">
        <f>IF(AD44=0,"",IF(LEFT(K44,5)="Geler","❄ Gelée",IF(G44="",IF(D44&lt;=TODAY(),"⚠ Indice attendu","À venir"),IF(D44&lt;=TODAY(),"✔ Calculable","Indice connu – à venir"))))</f>
        <v/>
      </c>
      <c r="W44" s="29" t="n"/>
      <c r="X44" s="13" t="n"/>
      <c r="Y44" s="14" t="n"/>
      <c r="Z44" s="14" t="n"/>
      <c r="AA44" s="13" t="n"/>
      <c r="AB44" s="17">
        <f>IF(A44="","",A44&amp;"#"&amp;C44)</f>
        <v/>
      </c>
      <c r="AC44" s="17">
        <f>IF(AND(AD44=1,D44&lt;=TODAY(),N44&lt;&gt;""),1,0)</f>
        <v/>
      </c>
      <c r="AD44" s="17">
        <f>IF(OR(A44="",D44=""),0,IF(AND(ISNUMBER(Baux!$H$5),D44&gt;Baux!$H$5),0,1))</f>
        <v/>
      </c>
    </row>
    <row r="45">
      <c r="A45" s="17">
        <f>IF(Baux!$A$5="","",Baux!$A$5)</f>
        <v/>
      </c>
      <c r="B45" s="17">
        <f>IF(A45="","",Baux!$B$5)</f>
        <v/>
      </c>
      <c r="C45" s="17" t="n">
        <v>8</v>
      </c>
      <c r="D45" s="15">
        <f>IF(OR(A45="",Baux!$F$5="",Baux!$O$5=""),"",EDATE(Baux!$F$5,12*Baux!$O$5*C45))</f>
        <v/>
      </c>
      <c r="E45" s="17">
        <f>IF(AD45=0,"",Baux!$M$5)</f>
        <v/>
      </c>
      <c r="F45" s="17">
        <f>IF(AD45=0,"",IFERROR(TEXT(VALUE(LEFT(Baux!$N$5,4))+C45*Baux!$O$5,"0")&amp;RIGHT(Baux!$N$5,3),""))</f>
        <v/>
      </c>
      <c r="G45" s="25">
        <f>IF(AD45=0,"",IF(F45="","",IF(SUMIFS(Indices_long!$C:$C,Indices_long!$A:$A,E45,Indices_long!$B:$B,F45)=0,"",SUMIFS(Indices_long!$C:$C,Indices_long!$A:$A,E45,Indices_long!$B:$B,F45))))</f>
        <v/>
      </c>
      <c r="H45" s="17">
        <f>IF(AD45=0,"",IF(Baux!$P$5="Base fixe",Baux!$N$5,IF(K44="Geler – rattrapage possible",H44,F44)))</f>
        <v/>
      </c>
      <c r="I45" s="25">
        <f>IF(AD45=0,"",IF(H45="","",IF(SUMIFS(Indices_long!$C:$C,Indices_long!$A:$A,E45,Indices_long!$B:$B,H45)=0,"",SUMIFS(Indices_long!$C:$C,Indices_long!$A:$A,E45,Indices_long!$B:$B,H45))))</f>
        <v/>
      </c>
      <c r="J45" s="26">
        <f>IF(OR(G45="",I45=""),"",G45/I45)</f>
        <v/>
      </c>
      <c r="K45" s="13" t="n"/>
      <c r="L45" s="27">
        <f>IF(AD45=0,"",IF(Baux!$P$5="Base fixe",Baux!$I$5,N44))</f>
        <v/>
      </c>
      <c r="M45" s="27">
        <f>IF(OR(J45="",L45=""),"",ROUND(L45*J45,2))</f>
        <v/>
      </c>
      <c r="N45" s="27">
        <f>IF(AD45=0,"",IF(LEFT(K45,5)="Geler",O45,IF(M45="","",IF(Baux!$Q$5="",M45,MIN(M45,ROUND(L45*(1+Baux!$Q$5/100)^IF(Baux!$P$5="Base fixe",C45*Baux!$O$5,VALUE(LEFT(F45,4))-VALUE(LEFT(H45,4))),2))))))</f>
        <v/>
      </c>
      <c r="O45" s="27">
        <f>IF(AD45=0,"",N44)</f>
        <v/>
      </c>
      <c r="P45" s="28">
        <f>IF(OR(N45="",O45=""),"",N45/O45-1)</f>
        <v/>
      </c>
      <c r="Q45" s="27">
        <f>IF(N45="","",N45/12)</f>
        <v/>
      </c>
      <c r="R45" s="27">
        <f>IF(N45="","",N45/IF(Baux!$L$5="Mensuelle",12,IF(Baux!$L$5="Trimestrielle",4,IF(Baux!$L$5="Semestrielle",2,1))))</f>
        <v/>
      </c>
      <c r="S45" s="27">
        <f>IF(AD45=0,"",IF(Baux!$J$5="",0,Baux!$J$5)/IF(Baux!$L$5="Mensuelle",12,IF(Baux!$L$5="Trimestrielle",4,IF(Baux!$L$5="Semestrielle",2,1))))</f>
        <v/>
      </c>
      <c r="T45" s="27">
        <f>IF(R45="","",(R45+S45)*Baux!$K$5/100)</f>
        <v/>
      </c>
      <c r="U45" s="27">
        <f>IF(R45="","",R45+S45+T45)</f>
        <v/>
      </c>
      <c r="V45" s="17">
        <f>IF(AD45=0,"",IF(LEFT(K45,5)="Geler","❄ Gelée",IF(G45="",IF(D45&lt;=TODAY(),"⚠ Indice attendu","À venir"),IF(D45&lt;=TODAY(),"✔ Calculable","Indice connu – à venir"))))</f>
        <v/>
      </c>
      <c r="W45" s="29" t="n"/>
      <c r="X45" s="13" t="n"/>
      <c r="Y45" s="14" t="n"/>
      <c r="Z45" s="14" t="n"/>
      <c r="AA45" s="13" t="n"/>
      <c r="AB45" s="17">
        <f>IF(A45="","",A45&amp;"#"&amp;C45)</f>
        <v/>
      </c>
      <c r="AC45" s="17">
        <f>IF(AND(AD45=1,D45&lt;=TODAY(),N45&lt;&gt;""),1,0)</f>
        <v/>
      </c>
      <c r="AD45" s="17">
        <f>IF(OR(A45="",D45=""),0,IF(AND(ISNUMBER(Baux!$H$5),D45&gt;Baux!$H$5),0,1))</f>
        <v/>
      </c>
    </row>
    <row r="46">
      <c r="A46" s="17">
        <f>IF(Baux!$A$5="","",Baux!$A$5)</f>
        <v/>
      </c>
      <c r="B46" s="17">
        <f>IF(A46="","",Baux!$B$5)</f>
        <v/>
      </c>
      <c r="C46" s="17" t="n">
        <v>9</v>
      </c>
      <c r="D46" s="15">
        <f>IF(OR(A46="",Baux!$F$5="",Baux!$O$5=""),"",EDATE(Baux!$F$5,12*Baux!$O$5*C46))</f>
        <v/>
      </c>
      <c r="E46" s="17">
        <f>IF(AD46=0,"",Baux!$M$5)</f>
        <v/>
      </c>
      <c r="F46" s="17">
        <f>IF(AD46=0,"",IFERROR(TEXT(VALUE(LEFT(Baux!$N$5,4))+C46*Baux!$O$5,"0")&amp;RIGHT(Baux!$N$5,3),""))</f>
        <v/>
      </c>
      <c r="G46" s="25">
        <f>IF(AD46=0,"",IF(F46="","",IF(SUMIFS(Indices_long!$C:$C,Indices_long!$A:$A,E46,Indices_long!$B:$B,F46)=0,"",SUMIFS(Indices_long!$C:$C,Indices_long!$A:$A,E46,Indices_long!$B:$B,F46))))</f>
        <v/>
      </c>
      <c r="H46" s="17">
        <f>IF(AD46=0,"",IF(Baux!$P$5="Base fixe",Baux!$N$5,IF(K45="Geler – rattrapage possible",H45,F45)))</f>
        <v/>
      </c>
      <c r="I46" s="25">
        <f>IF(AD46=0,"",IF(H46="","",IF(SUMIFS(Indices_long!$C:$C,Indices_long!$A:$A,E46,Indices_long!$B:$B,H46)=0,"",SUMIFS(Indices_long!$C:$C,Indices_long!$A:$A,E46,Indices_long!$B:$B,H46))))</f>
        <v/>
      </c>
      <c r="J46" s="26">
        <f>IF(OR(G46="",I46=""),"",G46/I46)</f>
        <v/>
      </c>
      <c r="K46" s="13" t="n"/>
      <c r="L46" s="27">
        <f>IF(AD46=0,"",IF(Baux!$P$5="Base fixe",Baux!$I$5,N45))</f>
        <v/>
      </c>
      <c r="M46" s="27">
        <f>IF(OR(J46="",L46=""),"",ROUND(L46*J46,2))</f>
        <v/>
      </c>
      <c r="N46" s="27">
        <f>IF(AD46=0,"",IF(LEFT(K46,5)="Geler",O46,IF(M46="","",IF(Baux!$Q$5="",M46,MIN(M46,ROUND(L46*(1+Baux!$Q$5/100)^IF(Baux!$P$5="Base fixe",C46*Baux!$O$5,VALUE(LEFT(F46,4))-VALUE(LEFT(H46,4))),2))))))</f>
        <v/>
      </c>
      <c r="O46" s="27">
        <f>IF(AD46=0,"",N45)</f>
        <v/>
      </c>
      <c r="P46" s="28">
        <f>IF(OR(N46="",O46=""),"",N46/O46-1)</f>
        <v/>
      </c>
      <c r="Q46" s="27">
        <f>IF(N46="","",N46/12)</f>
        <v/>
      </c>
      <c r="R46" s="27">
        <f>IF(N46="","",N46/IF(Baux!$L$5="Mensuelle",12,IF(Baux!$L$5="Trimestrielle",4,IF(Baux!$L$5="Semestrielle",2,1))))</f>
        <v/>
      </c>
      <c r="S46" s="27">
        <f>IF(AD46=0,"",IF(Baux!$J$5="",0,Baux!$J$5)/IF(Baux!$L$5="Mensuelle",12,IF(Baux!$L$5="Trimestrielle",4,IF(Baux!$L$5="Semestrielle",2,1))))</f>
        <v/>
      </c>
      <c r="T46" s="27">
        <f>IF(R46="","",(R46+S46)*Baux!$K$5/100)</f>
        <v/>
      </c>
      <c r="U46" s="27">
        <f>IF(R46="","",R46+S46+T46)</f>
        <v/>
      </c>
      <c r="V46" s="17">
        <f>IF(AD46=0,"",IF(LEFT(K46,5)="Geler","❄ Gelée",IF(G46="",IF(D46&lt;=TODAY(),"⚠ Indice attendu","À venir"),IF(D46&lt;=TODAY(),"✔ Calculable","Indice connu – à venir"))))</f>
        <v/>
      </c>
      <c r="W46" s="29" t="n"/>
      <c r="X46" s="13" t="n"/>
      <c r="Y46" s="14" t="n"/>
      <c r="Z46" s="14" t="n"/>
      <c r="AA46" s="13" t="n"/>
      <c r="AB46" s="17">
        <f>IF(A46="","",A46&amp;"#"&amp;C46)</f>
        <v/>
      </c>
      <c r="AC46" s="17">
        <f>IF(AND(AD46=1,D46&lt;=TODAY(),N46&lt;&gt;""),1,0)</f>
        <v/>
      </c>
      <c r="AD46" s="17">
        <f>IF(OR(A46="",D46=""),0,IF(AND(ISNUMBER(Baux!$H$5),D46&gt;Baux!$H$5),0,1))</f>
        <v/>
      </c>
    </row>
    <row r="47">
      <c r="A47" s="17">
        <f>IF(Baux!$A$5="","",Baux!$A$5)</f>
        <v/>
      </c>
      <c r="B47" s="17">
        <f>IF(A47="","",Baux!$B$5)</f>
        <v/>
      </c>
      <c r="C47" s="17" t="n">
        <v>10</v>
      </c>
      <c r="D47" s="15">
        <f>IF(OR(A47="",Baux!$F$5="",Baux!$O$5=""),"",EDATE(Baux!$F$5,12*Baux!$O$5*C47))</f>
        <v/>
      </c>
      <c r="E47" s="17">
        <f>IF(AD47=0,"",Baux!$M$5)</f>
        <v/>
      </c>
      <c r="F47" s="17">
        <f>IF(AD47=0,"",IFERROR(TEXT(VALUE(LEFT(Baux!$N$5,4))+C47*Baux!$O$5,"0")&amp;RIGHT(Baux!$N$5,3),""))</f>
        <v/>
      </c>
      <c r="G47" s="25">
        <f>IF(AD47=0,"",IF(F47="","",IF(SUMIFS(Indices_long!$C:$C,Indices_long!$A:$A,E47,Indices_long!$B:$B,F47)=0,"",SUMIFS(Indices_long!$C:$C,Indices_long!$A:$A,E47,Indices_long!$B:$B,F47))))</f>
        <v/>
      </c>
      <c r="H47" s="17">
        <f>IF(AD47=0,"",IF(Baux!$P$5="Base fixe",Baux!$N$5,IF(K46="Geler – rattrapage possible",H46,F46)))</f>
        <v/>
      </c>
      <c r="I47" s="25">
        <f>IF(AD47=0,"",IF(H47="","",IF(SUMIFS(Indices_long!$C:$C,Indices_long!$A:$A,E47,Indices_long!$B:$B,H47)=0,"",SUMIFS(Indices_long!$C:$C,Indices_long!$A:$A,E47,Indices_long!$B:$B,H47))))</f>
        <v/>
      </c>
      <c r="J47" s="26">
        <f>IF(OR(G47="",I47=""),"",G47/I47)</f>
        <v/>
      </c>
      <c r="K47" s="13" t="n"/>
      <c r="L47" s="27">
        <f>IF(AD47=0,"",IF(Baux!$P$5="Base fixe",Baux!$I$5,N46))</f>
        <v/>
      </c>
      <c r="M47" s="27">
        <f>IF(OR(J47="",L47=""),"",ROUND(L47*J47,2))</f>
        <v/>
      </c>
      <c r="N47" s="27">
        <f>IF(AD47=0,"",IF(LEFT(K47,5)="Geler",O47,IF(M47="","",IF(Baux!$Q$5="",M47,MIN(M47,ROUND(L47*(1+Baux!$Q$5/100)^IF(Baux!$P$5="Base fixe",C47*Baux!$O$5,VALUE(LEFT(F47,4))-VALUE(LEFT(H47,4))),2))))))</f>
        <v/>
      </c>
      <c r="O47" s="27">
        <f>IF(AD47=0,"",N46)</f>
        <v/>
      </c>
      <c r="P47" s="28">
        <f>IF(OR(N47="",O47=""),"",N47/O47-1)</f>
        <v/>
      </c>
      <c r="Q47" s="27">
        <f>IF(N47="","",N47/12)</f>
        <v/>
      </c>
      <c r="R47" s="27">
        <f>IF(N47="","",N47/IF(Baux!$L$5="Mensuelle",12,IF(Baux!$L$5="Trimestrielle",4,IF(Baux!$L$5="Semestrielle",2,1))))</f>
        <v/>
      </c>
      <c r="S47" s="27">
        <f>IF(AD47=0,"",IF(Baux!$J$5="",0,Baux!$J$5)/IF(Baux!$L$5="Mensuelle",12,IF(Baux!$L$5="Trimestrielle",4,IF(Baux!$L$5="Semestrielle",2,1))))</f>
        <v/>
      </c>
      <c r="T47" s="27">
        <f>IF(R47="","",(R47+S47)*Baux!$K$5/100)</f>
        <v/>
      </c>
      <c r="U47" s="27">
        <f>IF(R47="","",R47+S47+T47)</f>
        <v/>
      </c>
      <c r="V47" s="17">
        <f>IF(AD47=0,"",IF(LEFT(K47,5)="Geler","❄ Gelée",IF(G47="",IF(D47&lt;=TODAY(),"⚠ Indice attendu","À venir"),IF(D47&lt;=TODAY(),"✔ Calculable","Indice connu – à venir"))))</f>
        <v/>
      </c>
      <c r="W47" s="29" t="n"/>
      <c r="X47" s="13" t="n"/>
      <c r="Y47" s="14" t="n"/>
      <c r="Z47" s="14" t="n"/>
      <c r="AA47" s="13" t="n"/>
      <c r="AB47" s="17">
        <f>IF(A47="","",A47&amp;"#"&amp;C47)</f>
        <v/>
      </c>
      <c r="AC47" s="17">
        <f>IF(AND(AD47=1,D47&lt;=TODAY(),N47&lt;&gt;""),1,0)</f>
        <v/>
      </c>
      <c r="AD47" s="17">
        <f>IF(OR(A47="",D47=""),0,IF(AND(ISNUMBER(Baux!$H$5),D47&gt;Baux!$H$5),0,1))</f>
        <v/>
      </c>
    </row>
    <row r="48">
      <c r="A48" s="17">
        <f>IF(Baux!$A$5="","",Baux!$A$5)</f>
        <v/>
      </c>
      <c r="B48" s="17">
        <f>IF(A48="","",Baux!$B$5)</f>
        <v/>
      </c>
      <c r="C48" s="17" t="n">
        <v>11</v>
      </c>
      <c r="D48" s="15">
        <f>IF(OR(A48="",Baux!$F$5="",Baux!$O$5=""),"",EDATE(Baux!$F$5,12*Baux!$O$5*C48))</f>
        <v/>
      </c>
      <c r="E48" s="17">
        <f>IF(AD48=0,"",Baux!$M$5)</f>
        <v/>
      </c>
      <c r="F48" s="17">
        <f>IF(AD48=0,"",IFERROR(TEXT(VALUE(LEFT(Baux!$N$5,4))+C48*Baux!$O$5,"0")&amp;RIGHT(Baux!$N$5,3),""))</f>
        <v/>
      </c>
      <c r="G48" s="25">
        <f>IF(AD48=0,"",IF(F48="","",IF(SUMIFS(Indices_long!$C:$C,Indices_long!$A:$A,E48,Indices_long!$B:$B,F48)=0,"",SUMIFS(Indices_long!$C:$C,Indices_long!$A:$A,E48,Indices_long!$B:$B,F48))))</f>
        <v/>
      </c>
      <c r="H48" s="17">
        <f>IF(AD48=0,"",IF(Baux!$P$5="Base fixe",Baux!$N$5,IF(K47="Geler – rattrapage possible",H47,F47)))</f>
        <v/>
      </c>
      <c r="I48" s="25">
        <f>IF(AD48=0,"",IF(H48="","",IF(SUMIFS(Indices_long!$C:$C,Indices_long!$A:$A,E48,Indices_long!$B:$B,H48)=0,"",SUMIFS(Indices_long!$C:$C,Indices_long!$A:$A,E48,Indices_long!$B:$B,H48))))</f>
        <v/>
      </c>
      <c r="J48" s="26">
        <f>IF(OR(G48="",I48=""),"",G48/I48)</f>
        <v/>
      </c>
      <c r="K48" s="13" t="n"/>
      <c r="L48" s="27">
        <f>IF(AD48=0,"",IF(Baux!$P$5="Base fixe",Baux!$I$5,N47))</f>
        <v/>
      </c>
      <c r="M48" s="27">
        <f>IF(OR(J48="",L48=""),"",ROUND(L48*J48,2))</f>
        <v/>
      </c>
      <c r="N48" s="27">
        <f>IF(AD48=0,"",IF(LEFT(K48,5)="Geler",O48,IF(M48="","",IF(Baux!$Q$5="",M48,MIN(M48,ROUND(L48*(1+Baux!$Q$5/100)^IF(Baux!$P$5="Base fixe",C48*Baux!$O$5,VALUE(LEFT(F48,4))-VALUE(LEFT(H48,4))),2))))))</f>
        <v/>
      </c>
      <c r="O48" s="27">
        <f>IF(AD48=0,"",N47)</f>
        <v/>
      </c>
      <c r="P48" s="28">
        <f>IF(OR(N48="",O48=""),"",N48/O48-1)</f>
        <v/>
      </c>
      <c r="Q48" s="27">
        <f>IF(N48="","",N48/12)</f>
        <v/>
      </c>
      <c r="R48" s="27">
        <f>IF(N48="","",N48/IF(Baux!$L$5="Mensuelle",12,IF(Baux!$L$5="Trimestrielle",4,IF(Baux!$L$5="Semestrielle",2,1))))</f>
        <v/>
      </c>
      <c r="S48" s="27">
        <f>IF(AD48=0,"",IF(Baux!$J$5="",0,Baux!$J$5)/IF(Baux!$L$5="Mensuelle",12,IF(Baux!$L$5="Trimestrielle",4,IF(Baux!$L$5="Semestrielle",2,1))))</f>
        <v/>
      </c>
      <c r="T48" s="27">
        <f>IF(R48="","",(R48+S48)*Baux!$K$5/100)</f>
        <v/>
      </c>
      <c r="U48" s="27">
        <f>IF(R48="","",R48+S48+T48)</f>
        <v/>
      </c>
      <c r="V48" s="17">
        <f>IF(AD48=0,"",IF(LEFT(K48,5)="Geler","❄ Gelée",IF(G48="",IF(D48&lt;=TODAY(),"⚠ Indice attendu","À venir"),IF(D48&lt;=TODAY(),"✔ Calculable","Indice connu – à venir"))))</f>
        <v/>
      </c>
      <c r="W48" s="29" t="n"/>
      <c r="X48" s="13" t="n"/>
      <c r="Y48" s="14" t="n"/>
      <c r="Z48" s="14" t="n"/>
      <c r="AA48" s="13" t="n"/>
      <c r="AB48" s="17">
        <f>IF(A48="","",A48&amp;"#"&amp;C48)</f>
        <v/>
      </c>
      <c r="AC48" s="17">
        <f>IF(AND(AD48=1,D48&lt;=TODAY(),N48&lt;&gt;""),1,0)</f>
        <v/>
      </c>
      <c r="AD48" s="17">
        <f>IF(OR(A48="",D48=""),0,IF(AND(ISNUMBER(Baux!$H$5),D48&gt;Baux!$H$5),0,1))</f>
        <v/>
      </c>
    </row>
    <row r="49">
      <c r="A49" s="17">
        <f>IF(Baux!$A$5="","",Baux!$A$5)</f>
        <v/>
      </c>
      <c r="B49" s="17">
        <f>IF(A49="","",Baux!$B$5)</f>
        <v/>
      </c>
      <c r="C49" s="17" t="n">
        <v>12</v>
      </c>
      <c r="D49" s="15">
        <f>IF(OR(A49="",Baux!$F$5="",Baux!$O$5=""),"",EDATE(Baux!$F$5,12*Baux!$O$5*C49))</f>
        <v/>
      </c>
      <c r="E49" s="17">
        <f>IF(AD49=0,"",Baux!$M$5)</f>
        <v/>
      </c>
      <c r="F49" s="17">
        <f>IF(AD49=0,"",IFERROR(TEXT(VALUE(LEFT(Baux!$N$5,4))+C49*Baux!$O$5,"0")&amp;RIGHT(Baux!$N$5,3),""))</f>
        <v/>
      </c>
      <c r="G49" s="25">
        <f>IF(AD49=0,"",IF(F49="","",IF(SUMIFS(Indices_long!$C:$C,Indices_long!$A:$A,E49,Indices_long!$B:$B,F49)=0,"",SUMIFS(Indices_long!$C:$C,Indices_long!$A:$A,E49,Indices_long!$B:$B,F49))))</f>
        <v/>
      </c>
      <c r="H49" s="17">
        <f>IF(AD49=0,"",IF(Baux!$P$5="Base fixe",Baux!$N$5,IF(K48="Geler – rattrapage possible",H48,F48)))</f>
        <v/>
      </c>
      <c r="I49" s="25">
        <f>IF(AD49=0,"",IF(H49="","",IF(SUMIFS(Indices_long!$C:$C,Indices_long!$A:$A,E49,Indices_long!$B:$B,H49)=0,"",SUMIFS(Indices_long!$C:$C,Indices_long!$A:$A,E49,Indices_long!$B:$B,H49))))</f>
        <v/>
      </c>
      <c r="J49" s="26">
        <f>IF(OR(G49="",I49=""),"",G49/I49)</f>
        <v/>
      </c>
      <c r="K49" s="13" t="n"/>
      <c r="L49" s="27">
        <f>IF(AD49=0,"",IF(Baux!$P$5="Base fixe",Baux!$I$5,N48))</f>
        <v/>
      </c>
      <c r="M49" s="27">
        <f>IF(OR(J49="",L49=""),"",ROUND(L49*J49,2))</f>
        <v/>
      </c>
      <c r="N49" s="27">
        <f>IF(AD49=0,"",IF(LEFT(K49,5)="Geler",O49,IF(M49="","",IF(Baux!$Q$5="",M49,MIN(M49,ROUND(L49*(1+Baux!$Q$5/100)^IF(Baux!$P$5="Base fixe",C49*Baux!$O$5,VALUE(LEFT(F49,4))-VALUE(LEFT(H49,4))),2))))))</f>
        <v/>
      </c>
      <c r="O49" s="27">
        <f>IF(AD49=0,"",N48)</f>
        <v/>
      </c>
      <c r="P49" s="28">
        <f>IF(OR(N49="",O49=""),"",N49/O49-1)</f>
        <v/>
      </c>
      <c r="Q49" s="27">
        <f>IF(N49="","",N49/12)</f>
        <v/>
      </c>
      <c r="R49" s="27">
        <f>IF(N49="","",N49/IF(Baux!$L$5="Mensuelle",12,IF(Baux!$L$5="Trimestrielle",4,IF(Baux!$L$5="Semestrielle",2,1))))</f>
        <v/>
      </c>
      <c r="S49" s="27">
        <f>IF(AD49=0,"",IF(Baux!$J$5="",0,Baux!$J$5)/IF(Baux!$L$5="Mensuelle",12,IF(Baux!$L$5="Trimestrielle",4,IF(Baux!$L$5="Semestrielle",2,1))))</f>
        <v/>
      </c>
      <c r="T49" s="27">
        <f>IF(R49="","",(R49+S49)*Baux!$K$5/100)</f>
        <v/>
      </c>
      <c r="U49" s="27">
        <f>IF(R49="","",R49+S49+T49)</f>
        <v/>
      </c>
      <c r="V49" s="17">
        <f>IF(AD49=0,"",IF(LEFT(K49,5)="Geler","❄ Gelée",IF(G49="",IF(D49&lt;=TODAY(),"⚠ Indice attendu","À venir"),IF(D49&lt;=TODAY(),"✔ Calculable","Indice connu – à venir"))))</f>
        <v/>
      </c>
      <c r="W49" s="29" t="n"/>
      <c r="X49" s="13" t="n"/>
      <c r="Y49" s="14" t="n"/>
      <c r="Z49" s="14" t="n"/>
      <c r="AA49" s="13" t="n"/>
      <c r="AB49" s="17">
        <f>IF(A49="","",A49&amp;"#"&amp;C49)</f>
        <v/>
      </c>
      <c r="AC49" s="17">
        <f>IF(AND(AD49=1,D49&lt;=TODAY(),N49&lt;&gt;""),1,0)</f>
        <v/>
      </c>
      <c r="AD49" s="17">
        <f>IF(OR(A49="",D49=""),0,IF(AND(ISNUMBER(Baux!$H$5),D49&gt;Baux!$H$5),0,1))</f>
        <v/>
      </c>
    </row>
    <row r="50">
      <c r="A50" s="17">
        <f>IF(Baux!$A$6="","",Baux!$A$6)</f>
        <v/>
      </c>
      <c r="B50" s="17">
        <f>IF(A50="","",Baux!$B$6)</f>
        <v/>
      </c>
      <c r="C50" s="17" t="n">
        <v>1</v>
      </c>
      <c r="D50" s="15">
        <f>IF(OR(A50="",Baux!$F$6="",Baux!$O$6=""),"",EDATE(Baux!$F$6,12*Baux!$O$6*C50))</f>
        <v/>
      </c>
      <c r="E50" s="17">
        <f>IF(AD50=0,"",Baux!$M$6)</f>
        <v/>
      </c>
      <c r="F50" s="17">
        <f>IF(AD50=0,"",IFERROR(TEXT(VALUE(LEFT(Baux!$N$6,4))+C50*Baux!$O$6,"0")&amp;RIGHT(Baux!$N$6,3),""))</f>
        <v/>
      </c>
      <c r="G50" s="25">
        <f>IF(AD50=0,"",IF(F50="","",IF(SUMIFS(Indices_long!$C:$C,Indices_long!$A:$A,E50,Indices_long!$B:$B,F50)=0,"",SUMIFS(Indices_long!$C:$C,Indices_long!$A:$A,E50,Indices_long!$B:$B,F50))))</f>
        <v/>
      </c>
      <c r="H50" s="17">
        <f>IF(AD50=0,"",Baux!$N$6)</f>
        <v/>
      </c>
      <c r="I50" s="25">
        <f>IF(AD50=0,"",IF(H50="","",IF(SUMIFS(Indices_long!$C:$C,Indices_long!$A:$A,E50,Indices_long!$B:$B,H50)=0,"",SUMIFS(Indices_long!$C:$C,Indices_long!$A:$A,E50,Indices_long!$B:$B,H50))))</f>
        <v/>
      </c>
      <c r="J50" s="26">
        <f>IF(OR(G50="",I50=""),"",G50/I50)</f>
        <v/>
      </c>
      <c r="K50" s="13" t="n"/>
      <c r="L50" s="27">
        <f>IF(AD50=0,"",Baux!$I$6)</f>
        <v/>
      </c>
      <c r="M50" s="27">
        <f>IF(OR(J50="",L50=""),"",ROUND(L50*J50,2))</f>
        <v/>
      </c>
      <c r="N50" s="27">
        <f>IF(AD50=0,"",IF(LEFT(K50,5)="Geler",O50,IF(M50="","",IF(Baux!$Q$6="",M50,MIN(M50,ROUND(L50*(1+Baux!$Q$6/100)^IF(Baux!$P$6="Base fixe",C50*Baux!$O$6,VALUE(LEFT(F50,4))-VALUE(LEFT(H50,4))),2))))))</f>
        <v/>
      </c>
      <c r="O50" s="27">
        <f>IF(AD50=0,"",Baux!$I$6)</f>
        <v/>
      </c>
      <c r="P50" s="28">
        <f>IF(OR(N50="",O50=""),"",N50/O50-1)</f>
        <v/>
      </c>
      <c r="Q50" s="27">
        <f>IF(N50="","",N50/12)</f>
        <v/>
      </c>
      <c r="R50" s="27">
        <f>IF(N50="","",N50/IF(Baux!$L$6="Mensuelle",12,IF(Baux!$L$6="Trimestrielle",4,IF(Baux!$L$6="Semestrielle",2,1))))</f>
        <v/>
      </c>
      <c r="S50" s="27">
        <f>IF(AD50=0,"",IF(Baux!$J$6="",0,Baux!$J$6)/IF(Baux!$L$6="Mensuelle",12,IF(Baux!$L$6="Trimestrielle",4,IF(Baux!$L$6="Semestrielle",2,1))))</f>
        <v/>
      </c>
      <c r="T50" s="27">
        <f>IF(R50="","",(R50+S50)*Baux!$K$6/100)</f>
        <v/>
      </c>
      <c r="U50" s="27">
        <f>IF(R50="","",R50+S50+T50)</f>
        <v/>
      </c>
      <c r="V50" s="17">
        <f>IF(AD50=0,"",IF(LEFT(K50,5)="Geler","❄ Gelée",IF(G50="",IF(D50&lt;=TODAY(),"⚠ Indice attendu","À venir"),IF(D50&lt;=TODAY(),"✔ Calculable","Indice connu – à venir"))))</f>
        <v/>
      </c>
      <c r="W50" s="29" t="n"/>
      <c r="X50" s="13" t="n"/>
      <c r="Y50" s="14" t="n"/>
      <c r="Z50" s="14" t="n"/>
      <c r="AA50" s="13" t="n"/>
      <c r="AB50" s="17">
        <f>IF(A50="","",A50&amp;"#"&amp;C50)</f>
        <v/>
      </c>
      <c r="AC50" s="17">
        <f>IF(AND(AD50=1,D50&lt;=TODAY(),N50&lt;&gt;""),1,0)</f>
        <v/>
      </c>
      <c r="AD50" s="17">
        <f>IF(OR(A50="",D50=""),0,IF(AND(ISNUMBER(Baux!$H$6),D50&gt;Baux!$H$6),0,1))</f>
        <v/>
      </c>
    </row>
    <row r="51">
      <c r="A51" s="17">
        <f>IF(Baux!$A$6="","",Baux!$A$6)</f>
        <v/>
      </c>
      <c r="B51" s="17">
        <f>IF(A51="","",Baux!$B$6)</f>
        <v/>
      </c>
      <c r="C51" s="17" t="n">
        <v>2</v>
      </c>
      <c r="D51" s="15">
        <f>IF(OR(A51="",Baux!$F$6="",Baux!$O$6=""),"",EDATE(Baux!$F$6,12*Baux!$O$6*C51))</f>
        <v/>
      </c>
      <c r="E51" s="17">
        <f>IF(AD51=0,"",Baux!$M$6)</f>
        <v/>
      </c>
      <c r="F51" s="17">
        <f>IF(AD51=0,"",IFERROR(TEXT(VALUE(LEFT(Baux!$N$6,4))+C51*Baux!$O$6,"0")&amp;RIGHT(Baux!$N$6,3),""))</f>
        <v/>
      </c>
      <c r="G51" s="25">
        <f>IF(AD51=0,"",IF(F51="","",IF(SUMIFS(Indices_long!$C:$C,Indices_long!$A:$A,E51,Indices_long!$B:$B,F51)=0,"",SUMIFS(Indices_long!$C:$C,Indices_long!$A:$A,E51,Indices_long!$B:$B,F51))))</f>
        <v/>
      </c>
      <c r="H51" s="17">
        <f>IF(AD51=0,"",IF(Baux!$P$6="Base fixe",Baux!$N$6,IF(K50="Geler – rattrapage possible",H50,F50)))</f>
        <v/>
      </c>
      <c r="I51" s="25">
        <f>IF(AD51=0,"",IF(H51="","",IF(SUMIFS(Indices_long!$C:$C,Indices_long!$A:$A,E51,Indices_long!$B:$B,H51)=0,"",SUMIFS(Indices_long!$C:$C,Indices_long!$A:$A,E51,Indices_long!$B:$B,H51))))</f>
        <v/>
      </c>
      <c r="J51" s="26">
        <f>IF(OR(G51="",I51=""),"",G51/I51)</f>
        <v/>
      </c>
      <c r="K51" s="13" t="n"/>
      <c r="L51" s="27">
        <f>IF(AD51=0,"",IF(Baux!$P$6="Base fixe",Baux!$I$6,N50))</f>
        <v/>
      </c>
      <c r="M51" s="27">
        <f>IF(OR(J51="",L51=""),"",ROUND(L51*J51,2))</f>
        <v/>
      </c>
      <c r="N51" s="27">
        <f>IF(AD51=0,"",IF(LEFT(K51,5)="Geler",O51,IF(M51="","",IF(Baux!$Q$6="",M51,MIN(M51,ROUND(L51*(1+Baux!$Q$6/100)^IF(Baux!$P$6="Base fixe",C51*Baux!$O$6,VALUE(LEFT(F51,4))-VALUE(LEFT(H51,4))),2))))))</f>
        <v/>
      </c>
      <c r="O51" s="27">
        <f>IF(AD51=0,"",N50)</f>
        <v/>
      </c>
      <c r="P51" s="28">
        <f>IF(OR(N51="",O51=""),"",N51/O51-1)</f>
        <v/>
      </c>
      <c r="Q51" s="27">
        <f>IF(N51="","",N51/12)</f>
        <v/>
      </c>
      <c r="R51" s="27">
        <f>IF(N51="","",N51/IF(Baux!$L$6="Mensuelle",12,IF(Baux!$L$6="Trimestrielle",4,IF(Baux!$L$6="Semestrielle",2,1))))</f>
        <v/>
      </c>
      <c r="S51" s="27">
        <f>IF(AD51=0,"",IF(Baux!$J$6="",0,Baux!$J$6)/IF(Baux!$L$6="Mensuelle",12,IF(Baux!$L$6="Trimestrielle",4,IF(Baux!$L$6="Semestrielle",2,1))))</f>
        <v/>
      </c>
      <c r="T51" s="27">
        <f>IF(R51="","",(R51+S51)*Baux!$K$6/100)</f>
        <v/>
      </c>
      <c r="U51" s="27">
        <f>IF(R51="","",R51+S51+T51)</f>
        <v/>
      </c>
      <c r="V51" s="17">
        <f>IF(AD51=0,"",IF(LEFT(K51,5)="Geler","❄ Gelée",IF(G51="",IF(D51&lt;=TODAY(),"⚠ Indice attendu","À venir"),IF(D51&lt;=TODAY(),"✔ Calculable","Indice connu – à venir"))))</f>
        <v/>
      </c>
      <c r="W51" s="29" t="n"/>
      <c r="X51" s="13" t="n"/>
      <c r="Y51" s="14" t="n"/>
      <c r="Z51" s="14" t="n"/>
      <c r="AA51" s="13" t="n"/>
      <c r="AB51" s="17">
        <f>IF(A51="","",A51&amp;"#"&amp;C51)</f>
        <v/>
      </c>
      <c r="AC51" s="17">
        <f>IF(AND(AD51=1,D51&lt;=TODAY(),N51&lt;&gt;""),1,0)</f>
        <v/>
      </c>
      <c r="AD51" s="17">
        <f>IF(OR(A51="",D51=""),0,IF(AND(ISNUMBER(Baux!$H$6),D51&gt;Baux!$H$6),0,1))</f>
        <v/>
      </c>
    </row>
    <row r="52">
      <c r="A52" s="17">
        <f>IF(Baux!$A$6="","",Baux!$A$6)</f>
        <v/>
      </c>
      <c r="B52" s="17">
        <f>IF(A52="","",Baux!$B$6)</f>
        <v/>
      </c>
      <c r="C52" s="17" t="n">
        <v>3</v>
      </c>
      <c r="D52" s="15">
        <f>IF(OR(A52="",Baux!$F$6="",Baux!$O$6=""),"",EDATE(Baux!$F$6,12*Baux!$O$6*C52))</f>
        <v/>
      </c>
      <c r="E52" s="17">
        <f>IF(AD52=0,"",Baux!$M$6)</f>
        <v/>
      </c>
      <c r="F52" s="17">
        <f>IF(AD52=0,"",IFERROR(TEXT(VALUE(LEFT(Baux!$N$6,4))+C52*Baux!$O$6,"0")&amp;RIGHT(Baux!$N$6,3),""))</f>
        <v/>
      </c>
      <c r="G52" s="25">
        <f>IF(AD52=0,"",IF(F52="","",IF(SUMIFS(Indices_long!$C:$C,Indices_long!$A:$A,E52,Indices_long!$B:$B,F52)=0,"",SUMIFS(Indices_long!$C:$C,Indices_long!$A:$A,E52,Indices_long!$B:$B,F52))))</f>
        <v/>
      </c>
      <c r="H52" s="17">
        <f>IF(AD52=0,"",IF(Baux!$P$6="Base fixe",Baux!$N$6,IF(K51="Geler – rattrapage possible",H51,F51)))</f>
        <v/>
      </c>
      <c r="I52" s="25">
        <f>IF(AD52=0,"",IF(H52="","",IF(SUMIFS(Indices_long!$C:$C,Indices_long!$A:$A,E52,Indices_long!$B:$B,H52)=0,"",SUMIFS(Indices_long!$C:$C,Indices_long!$A:$A,E52,Indices_long!$B:$B,H52))))</f>
        <v/>
      </c>
      <c r="J52" s="26">
        <f>IF(OR(G52="",I52=""),"",G52/I52)</f>
        <v/>
      </c>
      <c r="K52" s="13" t="n"/>
      <c r="L52" s="27">
        <f>IF(AD52=0,"",IF(Baux!$P$6="Base fixe",Baux!$I$6,N51))</f>
        <v/>
      </c>
      <c r="M52" s="27">
        <f>IF(OR(J52="",L52=""),"",ROUND(L52*J52,2))</f>
        <v/>
      </c>
      <c r="N52" s="27">
        <f>IF(AD52=0,"",IF(LEFT(K52,5)="Geler",O52,IF(M52="","",IF(Baux!$Q$6="",M52,MIN(M52,ROUND(L52*(1+Baux!$Q$6/100)^IF(Baux!$P$6="Base fixe",C52*Baux!$O$6,VALUE(LEFT(F52,4))-VALUE(LEFT(H52,4))),2))))))</f>
        <v/>
      </c>
      <c r="O52" s="27">
        <f>IF(AD52=0,"",N51)</f>
        <v/>
      </c>
      <c r="P52" s="28">
        <f>IF(OR(N52="",O52=""),"",N52/O52-1)</f>
        <v/>
      </c>
      <c r="Q52" s="27">
        <f>IF(N52="","",N52/12)</f>
        <v/>
      </c>
      <c r="R52" s="27">
        <f>IF(N52="","",N52/IF(Baux!$L$6="Mensuelle",12,IF(Baux!$L$6="Trimestrielle",4,IF(Baux!$L$6="Semestrielle",2,1))))</f>
        <v/>
      </c>
      <c r="S52" s="27">
        <f>IF(AD52=0,"",IF(Baux!$J$6="",0,Baux!$J$6)/IF(Baux!$L$6="Mensuelle",12,IF(Baux!$L$6="Trimestrielle",4,IF(Baux!$L$6="Semestrielle",2,1))))</f>
        <v/>
      </c>
      <c r="T52" s="27">
        <f>IF(R52="","",(R52+S52)*Baux!$K$6/100)</f>
        <v/>
      </c>
      <c r="U52" s="27">
        <f>IF(R52="","",R52+S52+T52)</f>
        <v/>
      </c>
      <c r="V52" s="17">
        <f>IF(AD52=0,"",IF(LEFT(K52,5)="Geler","❄ Gelée",IF(G52="",IF(D52&lt;=TODAY(),"⚠ Indice attendu","À venir"),IF(D52&lt;=TODAY(),"✔ Calculable","Indice connu – à venir"))))</f>
        <v/>
      </c>
      <c r="W52" s="29" t="n"/>
      <c r="X52" s="13" t="n"/>
      <c r="Y52" s="14" t="n"/>
      <c r="Z52" s="14" t="n"/>
      <c r="AA52" s="13" t="n"/>
      <c r="AB52" s="17">
        <f>IF(A52="","",A52&amp;"#"&amp;C52)</f>
        <v/>
      </c>
      <c r="AC52" s="17">
        <f>IF(AND(AD52=1,D52&lt;=TODAY(),N52&lt;&gt;""),1,0)</f>
        <v/>
      </c>
      <c r="AD52" s="17">
        <f>IF(OR(A52="",D52=""),0,IF(AND(ISNUMBER(Baux!$H$6),D52&gt;Baux!$H$6),0,1))</f>
        <v/>
      </c>
    </row>
    <row r="53">
      <c r="A53" s="17">
        <f>IF(Baux!$A$6="","",Baux!$A$6)</f>
        <v/>
      </c>
      <c r="B53" s="17">
        <f>IF(A53="","",Baux!$B$6)</f>
        <v/>
      </c>
      <c r="C53" s="17" t="n">
        <v>4</v>
      </c>
      <c r="D53" s="15">
        <f>IF(OR(A53="",Baux!$F$6="",Baux!$O$6=""),"",EDATE(Baux!$F$6,12*Baux!$O$6*C53))</f>
        <v/>
      </c>
      <c r="E53" s="17">
        <f>IF(AD53=0,"",Baux!$M$6)</f>
        <v/>
      </c>
      <c r="F53" s="17">
        <f>IF(AD53=0,"",IFERROR(TEXT(VALUE(LEFT(Baux!$N$6,4))+C53*Baux!$O$6,"0")&amp;RIGHT(Baux!$N$6,3),""))</f>
        <v/>
      </c>
      <c r="G53" s="25">
        <f>IF(AD53=0,"",IF(F53="","",IF(SUMIFS(Indices_long!$C:$C,Indices_long!$A:$A,E53,Indices_long!$B:$B,F53)=0,"",SUMIFS(Indices_long!$C:$C,Indices_long!$A:$A,E53,Indices_long!$B:$B,F53))))</f>
        <v/>
      </c>
      <c r="H53" s="17">
        <f>IF(AD53=0,"",IF(Baux!$P$6="Base fixe",Baux!$N$6,IF(K52="Geler – rattrapage possible",H52,F52)))</f>
        <v/>
      </c>
      <c r="I53" s="25">
        <f>IF(AD53=0,"",IF(H53="","",IF(SUMIFS(Indices_long!$C:$C,Indices_long!$A:$A,E53,Indices_long!$B:$B,H53)=0,"",SUMIFS(Indices_long!$C:$C,Indices_long!$A:$A,E53,Indices_long!$B:$B,H53))))</f>
        <v/>
      </c>
      <c r="J53" s="26">
        <f>IF(OR(G53="",I53=""),"",G53/I53)</f>
        <v/>
      </c>
      <c r="K53" s="13" t="n"/>
      <c r="L53" s="27">
        <f>IF(AD53=0,"",IF(Baux!$P$6="Base fixe",Baux!$I$6,N52))</f>
        <v/>
      </c>
      <c r="M53" s="27">
        <f>IF(OR(J53="",L53=""),"",ROUND(L53*J53,2))</f>
        <v/>
      </c>
      <c r="N53" s="27">
        <f>IF(AD53=0,"",IF(LEFT(K53,5)="Geler",O53,IF(M53="","",IF(Baux!$Q$6="",M53,MIN(M53,ROUND(L53*(1+Baux!$Q$6/100)^IF(Baux!$P$6="Base fixe",C53*Baux!$O$6,VALUE(LEFT(F53,4))-VALUE(LEFT(H53,4))),2))))))</f>
        <v/>
      </c>
      <c r="O53" s="27">
        <f>IF(AD53=0,"",N52)</f>
        <v/>
      </c>
      <c r="P53" s="28">
        <f>IF(OR(N53="",O53=""),"",N53/O53-1)</f>
        <v/>
      </c>
      <c r="Q53" s="27">
        <f>IF(N53="","",N53/12)</f>
        <v/>
      </c>
      <c r="R53" s="27">
        <f>IF(N53="","",N53/IF(Baux!$L$6="Mensuelle",12,IF(Baux!$L$6="Trimestrielle",4,IF(Baux!$L$6="Semestrielle",2,1))))</f>
        <v/>
      </c>
      <c r="S53" s="27">
        <f>IF(AD53=0,"",IF(Baux!$J$6="",0,Baux!$J$6)/IF(Baux!$L$6="Mensuelle",12,IF(Baux!$L$6="Trimestrielle",4,IF(Baux!$L$6="Semestrielle",2,1))))</f>
        <v/>
      </c>
      <c r="T53" s="27">
        <f>IF(R53="","",(R53+S53)*Baux!$K$6/100)</f>
        <v/>
      </c>
      <c r="U53" s="27">
        <f>IF(R53="","",R53+S53+T53)</f>
        <v/>
      </c>
      <c r="V53" s="17">
        <f>IF(AD53=0,"",IF(LEFT(K53,5)="Geler","❄ Gelée",IF(G53="",IF(D53&lt;=TODAY(),"⚠ Indice attendu","À venir"),IF(D53&lt;=TODAY(),"✔ Calculable","Indice connu – à venir"))))</f>
        <v/>
      </c>
      <c r="W53" s="29" t="n"/>
      <c r="X53" s="13" t="n"/>
      <c r="Y53" s="14" t="n"/>
      <c r="Z53" s="14" t="n"/>
      <c r="AA53" s="13" t="n"/>
      <c r="AB53" s="17">
        <f>IF(A53="","",A53&amp;"#"&amp;C53)</f>
        <v/>
      </c>
      <c r="AC53" s="17">
        <f>IF(AND(AD53=1,D53&lt;=TODAY(),N53&lt;&gt;""),1,0)</f>
        <v/>
      </c>
      <c r="AD53" s="17">
        <f>IF(OR(A53="",D53=""),0,IF(AND(ISNUMBER(Baux!$H$6),D53&gt;Baux!$H$6),0,1))</f>
        <v/>
      </c>
    </row>
    <row r="54">
      <c r="A54" s="17">
        <f>IF(Baux!$A$6="","",Baux!$A$6)</f>
        <v/>
      </c>
      <c r="B54" s="17">
        <f>IF(A54="","",Baux!$B$6)</f>
        <v/>
      </c>
      <c r="C54" s="17" t="n">
        <v>5</v>
      </c>
      <c r="D54" s="15">
        <f>IF(OR(A54="",Baux!$F$6="",Baux!$O$6=""),"",EDATE(Baux!$F$6,12*Baux!$O$6*C54))</f>
        <v/>
      </c>
      <c r="E54" s="17">
        <f>IF(AD54=0,"",Baux!$M$6)</f>
        <v/>
      </c>
      <c r="F54" s="17">
        <f>IF(AD54=0,"",IFERROR(TEXT(VALUE(LEFT(Baux!$N$6,4))+C54*Baux!$O$6,"0")&amp;RIGHT(Baux!$N$6,3),""))</f>
        <v/>
      </c>
      <c r="G54" s="25">
        <f>IF(AD54=0,"",IF(F54="","",IF(SUMIFS(Indices_long!$C:$C,Indices_long!$A:$A,E54,Indices_long!$B:$B,F54)=0,"",SUMIFS(Indices_long!$C:$C,Indices_long!$A:$A,E54,Indices_long!$B:$B,F54))))</f>
        <v/>
      </c>
      <c r="H54" s="17">
        <f>IF(AD54=0,"",IF(Baux!$P$6="Base fixe",Baux!$N$6,IF(K53="Geler – rattrapage possible",H53,F53)))</f>
        <v/>
      </c>
      <c r="I54" s="25">
        <f>IF(AD54=0,"",IF(H54="","",IF(SUMIFS(Indices_long!$C:$C,Indices_long!$A:$A,E54,Indices_long!$B:$B,H54)=0,"",SUMIFS(Indices_long!$C:$C,Indices_long!$A:$A,E54,Indices_long!$B:$B,H54))))</f>
        <v/>
      </c>
      <c r="J54" s="26">
        <f>IF(OR(G54="",I54=""),"",G54/I54)</f>
        <v/>
      </c>
      <c r="K54" s="13" t="n"/>
      <c r="L54" s="27">
        <f>IF(AD54=0,"",IF(Baux!$P$6="Base fixe",Baux!$I$6,N53))</f>
        <v/>
      </c>
      <c r="M54" s="27">
        <f>IF(OR(J54="",L54=""),"",ROUND(L54*J54,2))</f>
        <v/>
      </c>
      <c r="N54" s="27">
        <f>IF(AD54=0,"",IF(LEFT(K54,5)="Geler",O54,IF(M54="","",IF(Baux!$Q$6="",M54,MIN(M54,ROUND(L54*(1+Baux!$Q$6/100)^IF(Baux!$P$6="Base fixe",C54*Baux!$O$6,VALUE(LEFT(F54,4))-VALUE(LEFT(H54,4))),2))))))</f>
        <v/>
      </c>
      <c r="O54" s="27">
        <f>IF(AD54=0,"",N53)</f>
        <v/>
      </c>
      <c r="P54" s="28">
        <f>IF(OR(N54="",O54=""),"",N54/O54-1)</f>
        <v/>
      </c>
      <c r="Q54" s="27">
        <f>IF(N54="","",N54/12)</f>
        <v/>
      </c>
      <c r="R54" s="27">
        <f>IF(N54="","",N54/IF(Baux!$L$6="Mensuelle",12,IF(Baux!$L$6="Trimestrielle",4,IF(Baux!$L$6="Semestrielle",2,1))))</f>
        <v/>
      </c>
      <c r="S54" s="27">
        <f>IF(AD54=0,"",IF(Baux!$J$6="",0,Baux!$J$6)/IF(Baux!$L$6="Mensuelle",12,IF(Baux!$L$6="Trimestrielle",4,IF(Baux!$L$6="Semestrielle",2,1))))</f>
        <v/>
      </c>
      <c r="T54" s="27">
        <f>IF(R54="","",(R54+S54)*Baux!$K$6/100)</f>
        <v/>
      </c>
      <c r="U54" s="27">
        <f>IF(R54="","",R54+S54+T54)</f>
        <v/>
      </c>
      <c r="V54" s="17">
        <f>IF(AD54=0,"",IF(LEFT(K54,5)="Geler","❄ Gelée",IF(G54="",IF(D54&lt;=TODAY(),"⚠ Indice attendu","À venir"),IF(D54&lt;=TODAY(),"✔ Calculable","Indice connu – à venir"))))</f>
        <v/>
      </c>
      <c r="W54" s="29" t="n"/>
      <c r="X54" s="13" t="n"/>
      <c r="Y54" s="14" t="n"/>
      <c r="Z54" s="14" t="n"/>
      <c r="AA54" s="13" t="n"/>
      <c r="AB54" s="17">
        <f>IF(A54="","",A54&amp;"#"&amp;C54)</f>
        <v/>
      </c>
      <c r="AC54" s="17">
        <f>IF(AND(AD54=1,D54&lt;=TODAY(),N54&lt;&gt;""),1,0)</f>
        <v/>
      </c>
      <c r="AD54" s="17">
        <f>IF(OR(A54="",D54=""),0,IF(AND(ISNUMBER(Baux!$H$6),D54&gt;Baux!$H$6),0,1))</f>
        <v/>
      </c>
    </row>
    <row r="55">
      <c r="A55" s="17">
        <f>IF(Baux!$A$6="","",Baux!$A$6)</f>
        <v/>
      </c>
      <c r="B55" s="17">
        <f>IF(A55="","",Baux!$B$6)</f>
        <v/>
      </c>
      <c r="C55" s="17" t="n">
        <v>6</v>
      </c>
      <c r="D55" s="15">
        <f>IF(OR(A55="",Baux!$F$6="",Baux!$O$6=""),"",EDATE(Baux!$F$6,12*Baux!$O$6*C55))</f>
        <v/>
      </c>
      <c r="E55" s="17">
        <f>IF(AD55=0,"",Baux!$M$6)</f>
        <v/>
      </c>
      <c r="F55" s="17">
        <f>IF(AD55=0,"",IFERROR(TEXT(VALUE(LEFT(Baux!$N$6,4))+C55*Baux!$O$6,"0")&amp;RIGHT(Baux!$N$6,3),""))</f>
        <v/>
      </c>
      <c r="G55" s="25">
        <f>IF(AD55=0,"",IF(F55="","",IF(SUMIFS(Indices_long!$C:$C,Indices_long!$A:$A,E55,Indices_long!$B:$B,F55)=0,"",SUMIFS(Indices_long!$C:$C,Indices_long!$A:$A,E55,Indices_long!$B:$B,F55))))</f>
        <v/>
      </c>
      <c r="H55" s="17">
        <f>IF(AD55=0,"",IF(Baux!$P$6="Base fixe",Baux!$N$6,IF(K54="Geler – rattrapage possible",H54,F54)))</f>
        <v/>
      </c>
      <c r="I55" s="25">
        <f>IF(AD55=0,"",IF(H55="","",IF(SUMIFS(Indices_long!$C:$C,Indices_long!$A:$A,E55,Indices_long!$B:$B,H55)=0,"",SUMIFS(Indices_long!$C:$C,Indices_long!$A:$A,E55,Indices_long!$B:$B,H55))))</f>
        <v/>
      </c>
      <c r="J55" s="26">
        <f>IF(OR(G55="",I55=""),"",G55/I55)</f>
        <v/>
      </c>
      <c r="K55" s="13" t="n"/>
      <c r="L55" s="27">
        <f>IF(AD55=0,"",IF(Baux!$P$6="Base fixe",Baux!$I$6,N54))</f>
        <v/>
      </c>
      <c r="M55" s="27">
        <f>IF(OR(J55="",L55=""),"",ROUND(L55*J55,2))</f>
        <v/>
      </c>
      <c r="N55" s="27">
        <f>IF(AD55=0,"",IF(LEFT(K55,5)="Geler",O55,IF(M55="","",IF(Baux!$Q$6="",M55,MIN(M55,ROUND(L55*(1+Baux!$Q$6/100)^IF(Baux!$P$6="Base fixe",C55*Baux!$O$6,VALUE(LEFT(F55,4))-VALUE(LEFT(H55,4))),2))))))</f>
        <v/>
      </c>
      <c r="O55" s="27">
        <f>IF(AD55=0,"",N54)</f>
        <v/>
      </c>
      <c r="P55" s="28">
        <f>IF(OR(N55="",O55=""),"",N55/O55-1)</f>
        <v/>
      </c>
      <c r="Q55" s="27">
        <f>IF(N55="","",N55/12)</f>
        <v/>
      </c>
      <c r="R55" s="27">
        <f>IF(N55="","",N55/IF(Baux!$L$6="Mensuelle",12,IF(Baux!$L$6="Trimestrielle",4,IF(Baux!$L$6="Semestrielle",2,1))))</f>
        <v/>
      </c>
      <c r="S55" s="27">
        <f>IF(AD55=0,"",IF(Baux!$J$6="",0,Baux!$J$6)/IF(Baux!$L$6="Mensuelle",12,IF(Baux!$L$6="Trimestrielle",4,IF(Baux!$L$6="Semestrielle",2,1))))</f>
        <v/>
      </c>
      <c r="T55" s="27">
        <f>IF(R55="","",(R55+S55)*Baux!$K$6/100)</f>
        <v/>
      </c>
      <c r="U55" s="27">
        <f>IF(R55="","",R55+S55+T55)</f>
        <v/>
      </c>
      <c r="V55" s="17">
        <f>IF(AD55=0,"",IF(LEFT(K55,5)="Geler","❄ Gelée",IF(G55="",IF(D55&lt;=TODAY(),"⚠ Indice attendu","À venir"),IF(D55&lt;=TODAY(),"✔ Calculable","Indice connu – à venir"))))</f>
        <v/>
      </c>
      <c r="W55" s="29" t="n"/>
      <c r="X55" s="13" t="n"/>
      <c r="Y55" s="14" t="n"/>
      <c r="Z55" s="14" t="n"/>
      <c r="AA55" s="13" t="n"/>
      <c r="AB55" s="17">
        <f>IF(A55="","",A55&amp;"#"&amp;C55)</f>
        <v/>
      </c>
      <c r="AC55" s="17">
        <f>IF(AND(AD55=1,D55&lt;=TODAY(),N55&lt;&gt;""),1,0)</f>
        <v/>
      </c>
      <c r="AD55" s="17">
        <f>IF(OR(A55="",D55=""),0,IF(AND(ISNUMBER(Baux!$H$6),D55&gt;Baux!$H$6),0,1))</f>
        <v/>
      </c>
    </row>
    <row r="56">
      <c r="A56" s="17">
        <f>IF(Baux!$A$6="","",Baux!$A$6)</f>
        <v/>
      </c>
      <c r="B56" s="17">
        <f>IF(A56="","",Baux!$B$6)</f>
        <v/>
      </c>
      <c r="C56" s="17" t="n">
        <v>7</v>
      </c>
      <c r="D56" s="15">
        <f>IF(OR(A56="",Baux!$F$6="",Baux!$O$6=""),"",EDATE(Baux!$F$6,12*Baux!$O$6*C56))</f>
        <v/>
      </c>
      <c r="E56" s="17">
        <f>IF(AD56=0,"",Baux!$M$6)</f>
        <v/>
      </c>
      <c r="F56" s="17">
        <f>IF(AD56=0,"",IFERROR(TEXT(VALUE(LEFT(Baux!$N$6,4))+C56*Baux!$O$6,"0")&amp;RIGHT(Baux!$N$6,3),""))</f>
        <v/>
      </c>
      <c r="G56" s="25">
        <f>IF(AD56=0,"",IF(F56="","",IF(SUMIFS(Indices_long!$C:$C,Indices_long!$A:$A,E56,Indices_long!$B:$B,F56)=0,"",SUMIFS(Indices_long!$C:$C,Indices_long!$A:$A,E56,Indices_long!$B:$B,F56))))</f>
        <v/>
      </c>
      <c r="H56" s="17">
        <f>IF(AD56=0,"",IF(Baux!$P$6="Base fixe",Baux!$N$6,IF(K55="Geler – rattrapage possible",H55,F55)))</f>
        <v/>
      </c>
      <c r="I56" s="25">
        <f>IF(AD56=0,"",IF(H56="","",IF(SUMIFS(Indices_long!$C:$C,Indices_long!$A:$A,E56,Indices_long!$B:$B,H56)=0,"",SUMIFS(Indices_long!$C:$C,Indices_long!$A:$A,E56,Indices_long!$B:$B,H56))))</f>
        <v/>
      </c>
      <c r="J56" s="26">
        <f>IF(OR(G56="",I56=""),"",G56/I56)</f>
        <v/>
      </c>
      <c r="K56" s="13" t="n"/>
      <c r="L56" s="27">
        <f>IF(AD56=0,"",IF(Baux!$P$6="Base fixe",Baux!$I$6,N55))</f>
        <v/>
      </c>
      <c r="M56" s="27">
        <f>IF(OR(J56="",L56=""),"",ROUND(L56*J56,2))</f>
        <v/>
      </c>
      <c r="N56" s="27">
        <f>IF(AD56=0,"",IF(LEFT(K56,5)="Geler",O56,IF(M56="","",IF(Baux!$Q$6="",M56,MIN(M56,ROUND(L56*(1+Baux!$Q$6/100)^IF(Baux!$P$6="Base fixe",C56*Baux!$O$6,VALUE(LEFT(F56,4))-VALUE(LEFT(H56,4))),2))))))</f>
        <v/>
      </c>
      <c r="O56" s="27">
        <f>IF(AD56=0,"",N55)</f>
        <v/>
      </c>
      <c r="P56" s="28">
        <f>IF(OR(N56="",O56=""),"",N56/O56-1)</f>
        <v/>
      </c>
      <c r="Q56" s="27">
        <f>IF(N56="","",N56/12)</f>
        <v/>
      </c>
      <c r="R56" s="27">
        <f>IF(N56="","",N56/IF(Baux!$L$6="Mensuelle",12,IF(Baux!$L$6="Trimestrielle",4,IF(Baux!$L$6="Semestrielle",2,1))))</f>
        <v/>
      </c>
      <c r="S56" s="27">
        <f>IF(AD56=0,"",IF(Baux!$J$6="",0,Baux!$J$6)/IF(Baux!$L$6="Mensuelle",12,IF(Baux!$L$6="Trimestrielle",4,IF(Baux!$L$6="Semestrielle",2,1))))</f>
        <v/>
      </c>
      <c r="T56" s="27">
        <f>IF(R56="","",(R56+S56)*Baux!$K$6/100)</f>
        <v/>
      </c>
      <c r="U56" s="27">
        <f>IF(R56="","",R56+S56+T56)</f>
        <v/>
      </c>
      <c r="V56" s="17">
        <f>IF(AD56=0,"",IF(LEFT(K56,5)="Geler","❄ Gelée",IF(G56="",IF(D56&lt;=TODAY(),"⚠ Indice attendu","À venir"),IF(D56&lt;=TODAY(),"✔ Calculable","Indice connu – à venir"))))</f>
        <v/>
      </c>
      <c r="W56" s="29" t="n"/>
      <c r="X56" s="13" t="n"/>
      <c r="Y56" s="14" t="n"/>
      <c r="Z56" s="14" t="n"/>
      <c r="AA56" s="13" t="n"/>
      <c r="AB56" s="17">
        <f>IF(A56="","",A56&amp;"#"&amp;C56)</f>
        <v/>
      </c>
      <c r="AC56" s="17">
        <f>IF(AND(AD56=1,D56&lt;=TODAY(),N56&lt;&gt;""),1,0)</f>
        <v/>
      </c>
      <c r="AD56" s="17">
        <f>IF(OR(A56="",D56=""),0,IF(AND(ISNUMBER(Baux!$H$6),D56&gt;Baux!$H$6),0,1))</f>
        <v/>
      </c>
    </row>
    <row r="57">
      <c r="A57" s="17">
        <f>IF(Baux!$A$6="","",Baux!$A$6)</f>
        <v/>
      </c>
      <c r="B57" s="17">
        <f>IF(A57="","",Baux!$B$6)</f>
        <v/>
      </c>
      <c r="C57" s="17" t="n">
        <v>8</v>
      </c>
      <c r="D57" s="15">
        <f>IF(OR(A57="",Baux!$F$6="",Baux!$O$6=""),"",EDATE(Baux!$F$6,12*Baux!$O$6*C57))</f>
        <v/>
      </c>
      <c r="E57" s="17">
        <f>IF(AD57=0,"",Baux!$M$6)</f>
        <v/>
      </c>
      <c r="F57" s="17">
        <f>IF(AD57=0,"",IFERROR(TEXT(VALUE(LEFT(Baux!$N$6,4))+C57*Baux!$O$6,"0")&amp;RIGHT(Baux!$N$6,3),""))</f>
        <v/>
      </c>
      <c r="G57" s="25">
        <f>IF(AD57=0,"",IF(F57="","",IF(SUMIFS(Indices_long!$C:$C,Indices_long!$A:$A,E57,Indices_long!$B:$B,F57)=0,"",SUMIFS(Indices_long!$C:$C,Indices_long!$A:$A,E57,Indices_long!$B:$B,F57))))</f>
        <v/>
      </c>
      <c r="H57" s="17">
        <f>IF(AD57=0,"",IF(Baux!$P$6="Base fixe",Baux!$N$6,IF(K56="Geler – rattrapage possible",H56,F56)))</f>
        <v/>
      </c>
      <c r="I57" s="25">
        <f>IF(AD57=0,"",IF(H57="","",IF(SUMIFS(Indices_long!$C:$C,Indices_long!$A:$A,E57,Indices_long!$B:$B,H57)=0,"",SUMIFS(Indices_long!$C:$C,Indices_long!$A:$A,E57,Indices_long!$B:$B,H57))))</f>
        <v/>
      </c>
      <c r="J57" s="26">
        <f>IF(OR(G57="",I57=""),"",G57/I57)</f>
        <v/>
      </c>
      <c r="K57" s="13" t="n"/>
      <c r="L57" s="27">
        <f>IF(AD57=0,"",IF(Baux!$P$6="Base fixe",Baux!$I$6,N56))</f>
        <v/>
      </c>
      <c r="M57" s="27">
        <f>IF(OR(J57="",L57=""),"",ROUND(L57*J57,2))</f>
        <v/>
      </c>
      <c r="N57" s="27">
        <f>IF(AD57=0,"",IF(LEFT(K57,5)="Geler",O57,IF(M57="","",IF(Baux!$Q$6="",M57,MIN(M57,ROUND(L57*(1+Baux!$Q$6/100)^IF(Baux!$P$6="Base fixe",C57*Baux!$O$6,VALUE(LEFT(F57,4))-VALUE(LEFT(H57,4))),2))))))</f>
        <v/>
      </c>
      <c r="O57" s="27">
        <f>IF(AD57=0,"",N56)</f>
        <v/>
      </c>
      <c r="P57" s="28">
        <f>IF(OR(N57="",O57=""),"",N57/O57-1)</f>
        <v/>
      </c>
      <c r="Q57" s="27">
        <f>IF(N57="","",N57/12)</f>
        <v/>
      </c>
      <c r="R57" s="27">
        <f>IF(N57="","",N57/IF(Baux!$L$6="Mensuelle",12,IF(Baux!$L$6="Trimestrielle",4,IF(Baux!$L$6="Semestrielle",2,1))))</f>
        <v/>
      </c>
      <c r="S57" s="27">
        <f>IF(AD57=0,"",IF(Baux!$J$6="",0,Baux!$J$6)/IF(Baux!$L$6="Mensuelle",12,IF(Baux!$L$6="Trimestrielle",4,IF(Baux!$L$6="Semestrielle",2,1))))</f>
        <v/>
      </c>
      <c r="T57" s="27">
        <f>IF(R57="","",(R57+S57)*Baux!$K$6/100)</f>
        <v/>
      </c>
      <c r="U57" s="27">
        <f>IF(R57="","",R57+S57+T57)</f>
        <v/>
      </c>
      <c r="V57" s="17">
        <f>IF(AD57=0,"",IF(LEFT(K57,5)="Geler","❄ Gelée",IF(G57="",IF(D57&lt;=TODAY(),"⚠ Indice attendu","À venir"),IF(D57&lt;=TODAY(),"✔ Calculable","Indice connu – à venir"))))</f>
        <v/>
      </c>
      <c r="W57" s="29" t="n"/>
      <c r="X57" s="13" t="n"/>
      <c r="Y57" s="14" t="n"/>
      <c r="Z57" s="14" t="n"/>
      <c r="AA57" s="13" t="n"/>
      <c r="AB57" s="17">
        <f>IF(A57="","",A57&amp;"#"&amp;C57)</f>
        <v/>
      </c>
      <c r="AC57" s="17">
        <f>IF(AND(AD57=1,D57&lt;=TODAY(),N57&lt;&gt;""),1,0)</f>
        <v/>
      </c>
      <c r="AD57" s="17">
        <f>IF(OR(A57="",D57=""),0,IF(AND(ISNUMBER(Baux!$H$6),D57&gt;Baux!$H$6),0,1))</f>
        <v/>
      </c>
    </row>
    <row r="58">
      <c r="A58" s="17">
        <f>IF(Baux!$A$6="","",Baux!$A$6)</f>
        <v/>
      </c>
      <c r="B58" s="17">
        <f>IF(A58="","",Baux!$B$6)</f>
        <v/>
      </c>
      <c r="C58" s="17" t="n">
        <v>9</v>
      </c>
      <c r="D58" s="15">
        <f>IF(OR(A58="",Baux!$F$6="",Baux!$O$6=""),"",EDATE(Baux!$F$6,12*Baux!$O$6*C58))</f>
        <v/>
      </c>
      <c r="E58" s="17">
        <f>IF(AD58=0,"",Baux!$M$6)</f>
        <v/>
      </c>
      <c r="F58" s="17">
        <f>IF(AD58=0,"",IFERROR(TEXT(VALUE(LEFT(Baux!$N$6,4))+C58*Baux!$O$6,"0")&amp;RIGHT(Baux!$N$6,3),""))</f>
        <v/>
      </c>
      <c r="G58" s="25">
        <f>IF(AD58=0,"",IF(F58="","",IF(SUMIFS(Indices_long!$C:$C,Indices_long!$A:$A,E58,Indices_long!$B:$B,F58)=0,"",SUMIFS(Indices_long!$C:$C,Indices_long!$A:$A,E58,Indices_long!$B:$B,F58))))</f>
        <v/>
      </c>
      <c r="H58" s="17">
        <f>IF(AD58=0,"",IF(Baux!$P$6="Base fixe",Baux!$N$6,IF(K57="Geler – rattrapage possible",H57,F57)))</f>
        <v/>
      </c>
      <c r="I58" s="25">
        <f>IF(AD58=0,"",IF(H58="","",IF(SUMIFS(Indices_long!$C:$C,Indices_long!$A:$A,E58,Indices_long!$B:$B,H58)=0,"",SUMIFS(Indices_long!$C:$C,Indices_long!$A:$A,E58,Indices_long!$B:$B,H58))))</f>
        <v/>
      </c>
      <c r="J58" s="26">
        <f>IF(OR(G58="",I58=""),"",G58/I58)</f>
        <v/>
      </c>
      <c r="K58" s="13" t="n"/>
      <c r="L58" s="27">
        <f>IF(AD58=0,"",IF(Baux!$P$6="Base fixe",Baux!$I$6,N57))</f>
        <v/>
      </c>
      <c r="M58" s="27">
        <f>IF(OR(J58="",L58=""),"",ROUND(L58*J58,2))</f>
        <v/>
      </c>
      <c r="N58" s="27">
        <f>IF(AD58=0,"",IF(LEFT(K58,5)="Geler",O58,IF(M58="","",IF(Baux!$Q$6="",M58,MIN(M58,ROUND(L58*(1+Baux!$Q$6/100)^IF(Baux!$P$6="Base fixe",C58*Baux!$O$6,VALUE(LEFT(F58,4))-VALUE(LEFT(H58,4))),2))))))</f>
        <v/>
      </c>
      <c r="O58" s="27">
        <f>IF(AD58=0,"",N57)</f>
        <v/>
      </c>
      <c r="P58" s="28">
        <f>IF(OR(N58="",O58=""),"",N58/O58-1)</f>
        <v/>
      </c>
      <c r="Q58" s="27">
        <f>IF(N58="","",N58/12)</f>
        <v/>
      </c>
      <c r="R58" s="27">
        <f>IF(N58="","",N58/IF(Baux!$L$6="Mensuelle",12,IF(Baux!$L$6="Trimestrielle",4,IF(Baux!$L$6="Semestrielle",2,1))))</f>
        <v/>
      </c>
      <c r="S58" s="27">
        <f>IF(AD58=0,"",IF(Baux!$J$6="",0,Baux!$J$6)/IF(Baux!$L$6="Mensuelle",12,IF(Baux!$L$6="Trimestrielle",4,IF(Baux!$L$6="Semestrielle",2,1))))</f>
        <v/>
      </c>
      <c r="T58" s="27">
        <f>IF(R58="","",(R58+S58)*Baux!$K$6/100)</f>
        <v/>
      </c>
      <c r="U58" s="27">
        <f>IF(R58="","",R58+S58+T58)</f>
        <v/>
      </c>
      <c r="V58" s="17">
        <f>IF(AD58=0,"",IF(LEFT(K58,5)="Geler","❄ Gelée",IF(G58="",IF(D58&lt;=TODAY(),"⚠ Indice attendu","À venir"),IF(D58&lt;=TODAY(),"✔ Calculable","Indice connu – à venir"))))</f>
        <v/>
      </c>
      <c r="W58" s="29" t="n"/>
      <c r="X58" s="13" t="n"/>
      <c r="Y58" s="14" t="n"/>
      <c r="Z58" s="14" t="n"/>
      <c r="AA58" s="13" t="n"/>
      <c r="AB58" s="17">
        <f>IF(A58="","",A58&amp;"#"&amp;C58)</f>
        <v/>
      </c>
      <c r="AC58" s="17">
        <f>IF(AND(AD58=1,D58&lt;=TODAY(),N58&lt;&gt;""),1,0)</f>
        <v/>
      </c>
      <c r="AD58" s="17">
        <f>IF(OR(A58="",D58=""),0,IF(AND(ISNUMBER(Baux!$H$6),D58&gt;Baux!$H$6),0,1))</f>
        <v/>
      </c>
    </row>
    <row r="59">
      <c r="A59" s="17">
        <f>IF(Baux!$A$6="","",Baux!$A$6)</f>
        <v/>
      </c>
      <c r="B59" s="17">
        <f>IF(A59="","",Baux!$B$6)</f>
        <v/>
      </c>
      <c r="C59" s="17" t="n">
        <v>10</v>
      </c>
      <c r="D59" s="15">
        <f>IF(OR(A59="",Baux!$F$6="",Baux!$O$6=""),"",EDATE(Baux!$F$6,12*Baux!$O$6*C59))</f>
        <v/>
      </c>
      <c r="E59" s="17">
        <f>IF(AD59=0,"",Baux!$M$6)</f>
        <v/>
      </c>
      <c r="F59" s="17">
        <f>IF(AD59=0,"",IFERROR(TEXT(VALUE(LEFT(Baux!$N$6,4))+C59*Baux!$O$6,"0")&amp;RIGHT(Baux!$N$6,3),""))</f>
        <v/>
      </c>
      <c r="G59" s="25">
        <f>IF(AD59=0,"",IF(F59="","",IF(SUMIFS(Indices_long!$C:$C,Indices_long!$A:$A,E59,Indices_long!$B:$B,F59)=0,"",SUMIFS(Indices_long!$C:$C,Indices_long!$A:$A,E59,Indices_long!$B:$B,F59))))</f>
        <v/>
      </c>
      <c r="H59" s="17">
        <f>IF(AD59=0,"",IF(Baux!$P$6="Base fixe",Baux!$N$6,IF(K58="Geler – rattrapage possible",H58,F58)))</f>
        <v/>
      </c>
      <c r="I59" s="25">
        <f>IF(AD59=0,"",IF(H59="","",IF(SUMIFS(Indices_long!$C:$C,Indices_long!$A:$A,E59,Indices_long!$B:$B,H59)=0,"",SUMIFS(Indices_long!$C:$C,Indices_long!$A:$A,E59,Indices_long!$B:$B,H59))))</f>
        <v/>
      </c>
      <c r="J59" s="26">
        <f>IF(OR(G59="",I59=""),"",G59/I59)</f>
        <v/>
      </c>
      <c r="K59" s="13" t="n"/>
      <c r="L59" s="27">
        <f>IF(AD59=0,"",IF(Baux!$P$6="Base fixe",Baux!$I$6,N58))</f>
        <v/>
      </c>
      <c r="M59" s="27">
        <f>IF(OR(J59="",L59=""),"",ROUND(L59*J59,2))</f>
        <v/>
      </c>
      <c r="N59" s="27">
        <f>IF(AD59=0,"",IF(LEFT(K59,5)="Geler",O59,IF(M59="","",IF(Baux!$Q$6="",M59,MIN(M59,ROUND(L59*(1+Baux!$Q$6/100)^IF(Baux!$P$6="Base fixe",C59*Baux!$O$6,VALUE(LEFT(F59,4))-VALUE(LEFT(H59,4))),2))))))</f>
        <v/>
      </c>
      <c r="O59" s="27">
        <f>IF(AD59=0,"",N58)</f>
        <v/>
      </c>
      <c r="P59" s="28">
        <f>IF(OR(N59="",O59=""),"",N59/O59-1)</f>
        <v/>
      </c>
      <c r="Q59" s="27">
        <f>IF(N59="","",N59/12)</f>
        <v/>
      </c>
      <c r="R59" s="27">
        <f>IF(N59="","",N59/IF(Baux!$L$6="Mensuelle",12,IF(Baux!$L$6="Trimestrielle",4,IF(Baux!$L$6="Semestrielle",2,1))))</f>
        <v/>
      </c>
      <c r="S59" s="27">
        <f>IF(AD59=0,"",IF(Baux!$J$6="",0,Baux!$J$6)/IF(Baux!$L$6="Mensuelle",12,IF(Baux!$L$6="Trimestrielle",4,IF(Baux!$L$6="Semestrielle",2,1))))</f>
        <v/>
      </c>
      <c r="T59" s="27">
        <f>IF(R59="","",(R59+S59)*Baux!$K$6/100)</f>
        <v/>
      </c>
      <c r="U59" s="27">
        <f>IF(R59="","",R59+S59+T59)</f>
        <v/>
      </c>
      <c r="V59" s="17">
        <f>IF(AD59=0,"",IF(LEFT(K59,5)="Geler","❄ Gelée",IF(G59="",IF(D59&lt;=TODAY(),"⚠ Indice attendu","À venir"),IF(D59&lt;=TODAY(),"✔ Calculable","Indice connu – à venir"))))</f>
        <v/>
      </c>
      <c r="W59" s="29" t="n"/>
      <c r="X59" s="13" t="n"/>
      <c r="Y59" s="14" t="n"/>
      <c r="Z59" s="14" t="n"/>
      <c r="AA59" s="13" t="n"/>
      <c r="AB59" s="17">
        <f>IF(A59="","",A59&amp;"#"&amp;C59)</f>
        <v/>
      </c>
      <c r="AC59" s="17">
        <f>IF(AND(AD59=1,D59&lt;=TODAY(),N59&lt;&gt;""),1,0)</f>
        <v/>
      </c>
      <c r="AD59" s="17">
        <f>IF(OR(A59="",D59=""),0,IF(AND(ISNUMBER(Baux!$H$6),D59&gt;Baux!$H$6),0,1))</f>
        <v/>
      </c>
    </row>
    <row r="60">
      <c r="A60" s="17">
        <f>IF(Baux!$A$6="","",Baux!$A$6)</f>
        <v/>
      </c>
      <c r="B60" s="17">
        <f>IF(A60="","",Baux!$B$6)</f>
        <v/>
      </c>
      <c r="C60" s="17" t="n">
        <v>11</v>
      </c>
      <c r="D60" s="15">
        <f>IF(OR(A60="",Baux!$F$6="",Baux!$O$6=""),"",EDATE(Baux!$F$6,12*Baux!$O$6*C60))</f>
        <v/>
      </c>
      <c r="E60" s="17">
        <f>IF(AD60=0,"",Baux!$M$6)</f>
        <v/>
      </c>
      <c r="F60" s="17">
        <f>IF(AD60=0,"",IFERROR(TEXT(VALUE(LEFT(Baux!$N$6,4))+C60*Baux!$O$6,"0")&amp;RIGHT(Baux!$N$6,3),""))</f>
        <v/>
      </c>
      <c r="G60" s="25">
        <f>IF(AD60=0,"",IF(F60="","",IF(SUMIFS(Indices_long!$C:$C,Indices_long!$A:$A,E60,Indices_long!$B:$B,F60)=0,"",SUMIFS(Indices_long!$C:$C,Indices_long!$A:$A,E60,Indices_long!$B:$B,F60))))</f>
        <v/>
      </c>
      <c r="H60" s="17">
        <f>IF(AD60=0,"",IF(Baux!$P$6="Base fixe",Baux!$N$6,IF(K59="Geler – rattrapage possible",H59,F59)))</f>
        <v/>
      </c>
      <c r="I60" s="25">
        <f>IF(AD60=0,"",IF(H60="","",IF(SUMIFS(Indices_long!$C:$C,Indices_long!$A:$A,E60,Indices_long!$B:$B,H60)=0,"",SUMIFS(Indices_long!$C:$C,Indices_long!$A:$A,E60,Indices_long!$B:$B,H60))))</f>
        <v/>
      </c>
      <c r="J60" s="26">
        <f>IF(OR(G60="",I60=""),"",G60/I60)</f>
        <v/>
      </c>
      <c r="K60" s="13" t="n"/>
      <c r="L60" s="27">
        <f>IF(AD60=0,"",IF(Baux!$P$6="Base fixe",Baux!$I$6,N59))</f>
        <v/>
      </c>
      <c r="M60" s="27">
        <f>IF(OR(J60="",L60=""),"",ROUND(L60*J60,2))</f>
        <v/>
      </c>
      <c r="N60" s="27">
        <f>IF(AD60=0,"",IF(LEFT(K60,5)="Geler",O60,IF(M60="","",IF(Baux!$Q$6="",M60,MIN(M60,ROUND(L60*(1+Baux!$Q$6/100)^IF(Baux!$P$6="Base fixe",C60*Baux!$O$6,VALUE(LEFT(F60,4))-VALUE(LEFT(H60,4))),2))))))</f>
        <v/>
      </c>
      <c r="O60" s="27">
        <f>IF(AD60=0,"",N59)</f>
        <v/>
      </c>
      <c r="P60" s="28">
        <f>IF(OR(N60="",O60=""),"",N60/O60-1)</f>
        <v/>
      </c>
      <c r="Q60" s="27">
        <f>IF(N60="","",N60/12)</f>
        <v/>
      </c>
      <c r="R60" s="27">
        <f>IF(N60="","",N60/IF(Baux!$L$6="Mensuelle",12,IF(Baux!$L$6="Trimestrielle",4,IF(Baux!$L$6="Semestrielle",2,1))))</f>
        <v/>
      </c>
      <c r="S60" s="27">
        <f>IF(AD60=0,"",IF(Baux!$J$6="",0,Baux!$J$6)/IF(Baux!$L$6="Mensuelle",12,IF(Baux!$L$6="Trimestrielle",4,IF(Baux!$L$6="Semestrielle",2,1))))</f>
        <v/>
      </c>
      <c r="T60" s="27">
        <f>IF(R60="","",(R60+S60)*Baux!$K$6/100)</f>
        <v/>
      </c>
      <c r="U60" s="27">
        <f>IF(R60="","",R60+S60+T60)</f>
        <v/>
      </c>
      <c r="V60" s="17">
        <f>IF(AD60=0,"",IF(LEFT(K60,5)="Geler","❄ Gelée",IF(G60="",IF(D60&lt;=TODAY(),"⚠ Indice attendu","À venir"),IF(D60&lt;=TODAY(),"✔ Calculable","Indice connu – à venir"))))</f>
        <v/>
      </c>
      <c r="W60" s="29" t="n"/>
      <c r="X60" s="13" t="n"/>
      <c r="Y60" s="14" t="n"/>
      <c r="Z60" s="14" t="n"/>
      <c r="AA60" s="13" t="n"/>
      <c r="AB60" s="17">
        <f>IF(A60="","",A60&amp;"#"&amp;C60)</f>
        <v/>
      </c>
      <c r="AC60" s="17">
        <f>IF(AND(AD60=1,D60&lt;=TODAY(),N60&lt;&gt;""),1,0)</f>
        <v/>
      </c>
      <c r="AD60" s="17">
        <f>IF(OR(A60="",D60=""),0,IF(AND(ISNUMBER(Baux!$H$6),D60&gt;Baux!$H$6),0,1))</f>
        <v/>
      </c>
    </row>
    <row r="61">
      <c r="A61" s="17">
        <f>IF(Baux!$A$6="","",Baux!$A$6)</f>
        <v/>
      </c>
      <c r="B61" s="17">
        <f>IF(A61="","",Baux!$B$6)</f>
        <v/>
      </c>
      <c r="C61" s="17" t="n">
        <v>12</v>
      </c>
      <c r="D61" s="15">
        <f>IF(OR(A61="",Baux!$F$6="",Baux!$O$6=""),"",EDATE(Baux!$F$6,12*Baux!$O$6*C61))</f>
        <v/>
      </c>
      <c r="E61" s="17">
        <f>IF(AD61=0,"",Baux!$M$6)</f>
        <v/>
      </c>
      <c r="F61" s="17">
        <f>IF(AD61=0,"",IFERROR(TEXT(VALUE(LEFT(Baux!$N$6,4))+C61*Baux!$O$6,"0")&amp;RIGHT(Baux!$N$6,3),""))</f>
        <v/>
      </c>
      <c r="G61" s="25">
        <f>IF(AD61=0,"",IF(F61="","",IF(SUMIFS(Indices_long!$C:$C,Indices_long!$A:$A,E61,Indices_long!$B:$B,F61)=0,"",SUMIFS(Indices_long!$C:$C,Indices_long!$A:$A,E61,Indices_long!$B:$B,F61))))</f>
        <v/>
      </c>
      <c r="H61" s="17">
        <f>IF(AD61=0,"",IF(Baux!$P$6="Base fixe",Baux!$N$6,IF(K60="Geler – rattrapage possible",H60,F60)))</f>
        <v/>
      </c>
      <c r="I61" s="25">
        <f>IF(AD61=0,"",IF(H61="","",IF(SUMIFS(Indices_long!$C:$C,Indices_long!$A:$A,E61,Indices_long!$B:$B,H61)=0,"",SUMIFS(Indices_long!$C:$C,Indices_long!$A:$A,E61,Indices_long!$B:$B,H61))))</f>
        <v/>
      </c>
      <c r="J61" s="26">
        <f>IF(OR(G61="",I61=""),"",G61/I61)</f>
        <v/>
      </c>
      <c r="K61" s="13" t="n"/>
      <c r="L61" s="27">
        <f>IF(AD61=0,"",IF(Baux!$P$6="Base fixe",Baux!$I$6,N60))</f>
        <v/>
      </c>
      <c r="M61" s="27">
        <f>IF(OR(J61="",L61=""),"",ROUND(L61*J61,2))</f>
        <v/>
      </c>
      <c r="N61" s="27">
        <f>IF(AD61=0,"",IF(LEFT(K61,5)="Geler",O61,IF(M61="","",IF(Baux!$Q$6="",M61,MIN(M61,ROUND(L61*(1+Baux!$Q$6/100)^IF(Baux!$P$6="Base fixe",C61*Baux!$O$6,VALUE(LEFT(F61,4))-VALUE(LEFT(H61,4))),2))))))</f>
        <v/>
      </c>
      <c r="O61" s="27">
        <f>IF(AD61=0,"",N60)</f>
        <v/>
      </c>
      <c r="P61" s="28">
        <f>IF(OR(N61="",O61=""),"",N61/O61-1)</f>
        <v/>
      </c>
      <c r="Q61" s="27">
        <f>IF(N61="","",N61/12)</f>
        <v/>
      </c>
      <c r="R61" s="27">
        <f>IF(N61="","",N61/IF(Baux!$L$6="Mensuelle",12,IF(Baux!$L$6="Trimestrielle",4,IF(Baux!$L$6="Semestrielle",2,1))))</f>
        <v/>
      </c>
      <c r="S61" s="27">
        <f>IF(AD61=0,"",IF(Baux!$J$6="",0,Baux!$J$6)/IF(Baux!$L$6="Mensuelle",12,IF(Baux!$L$6="Trimestrielle",4,IF(Baux!$L$6="Semestrielle",2,1))))</f>
        <v/>
      </c>
      <c r="T61" s="27">
        <f>IF(R61="","",(R61+S61)*Baux!$K$6/100)</f>
        <v/>
      </c>
      <c r="U61" s="27">
        <f>IF(R61="","",R61+S61+T61)</f>
        <v/>
      </c>
      <c r="V61" s="17">
        <f>IF(AD61=0,"",IF(LEFT(K61,5)="Geler","❄ Gelée",IF(G61="",IF(D61&lt;=TODAY(),"⚠ Indice attendu","À venir"),IF(D61&lt;=TODAY(),"✔ Calculable","Indice connu – à venir"))))</f>
        <v/>
      </c>
      <c r="W61" s="29" t="n"/>
      <c r="X61" s="13" t="n"/>
      <c r="Y61" s="14" t="n"/>
      <c r="Z61" s="14" t="n"/>
      <c r="AA61" s="13" t="n"/>
      <c r="AB61" s="17">
        <f>IF(A61="","",A61&amp;"#"&amp;C61)</f>
        <v/>
      </c>
      <c r="AC61" s="17">
        <f>IF(AND(AD61=1,D61&lt;=TODAY(),N61&lt;&gt;""),1,0)</f>
        <v/>
      </c>
      <c r="AD61" s="17">
        <f>IF(OR(A61="",D61=""),0,IF(AND(ISNUMBER(Baux!$H$6),D61&gt;Baux!$H$6),0,1))</f>
        <v/>
      </c>
    </row>
    <row r="62">
      <c r="A62" s="17">
        <f>IF(Baux!$A$7="","",Baux!$A$7)</f>
        <v/>
      </c>
      <c r="B62" s="17">
        <f>IF(A62="","",Baux!$B$7)</f>
        <v/>
      </c>
      <c r="C62" s="17" t="n">
        <v>1</v>
      </c>
      <c r="D62" s="15">
        <f>IF(OR(A62="",Baux!$F$7="",Baux!$O$7=""),"",EDATE(Baux!$F$7,12*Baux!$O$7*C62))</f>
        <v/>
      </c>
      <c r="E62" s="17">
        <f>IF(AD62=0,"",Baux!$M$7)</f>
        <v/>
      </c>
      <c r="F62" s="17">
        <f>IF(AD62=0,"",IFERROR(TEXT(VALUE(LEFT(Baux!$N$7,4))+C62*Baux!$O$7,"0")&amp;RIGHT(Baux!$N$7,3),""))</f>
        <v/>
      </c>
      <c r="G62" s="25">
        <f>IF(AD62=0,"",IF(F62="","",IF(SUMIFS(Indices_long!$C:$C,Indices_long!$A:$A,E62,Indices_long!$B:$B,F62)=0,"",SUMIFS(Indices_long!$C:$C,Indices_long!$A:$A,E62,Indices_long!$B:$B,F62))))</f>
        <v/>
      </c>
      <c r="H62" s="17">
        <f>IF(AD62=0,"",Baux!$N$7)</f>
        <v/>
      </c>
      <c r="I62" s="25">
        <f>IF(AD62=0,"",IF(H62="","",IF(SUMIFS(Indices_long!$C:$C,Indices_long!$A:$A,E62,Indices_long!$B:$B,H62)=0,"",SUMIFS(Indices_long!$C:$C,Indices_long!$A:$A,E62,Indices_long!$B:$B,H62))))</f>
        <v/>
      </c>
      <c r="J62" s="26">
        <f>IF(OR(G62="",I62=""),"",G62/I62)</f>
        <v/>
      </c>
      <c r="K62" s="13" t="n"/>
      <c r="L62" s="27">
        <f>IF(AD62=0,"",Baux!$I$7)</f>
        <v/>
      </c>
      <c r="M62" s="27">
        <f>IF(OR(J62="",L62=""),"",ROUND(L62*J62,2))</f>
        <v/>
      </c>
      <c r="N62" s="27">
        <f>IF(AD62=0,"",IF(LEFT(K62,5)="Geler",O62,IF(M62="","",IF(Baux!$Q$7="",M62,MIN(M62,ROUND(L62*(1+Baux!$Q$7/100)^IF(Baux!$P$7="Base fixe",C62*Baux!$O$7,VALUE(LEFT(F62,4))-VALUE(LEFT(H62,4))),2))))))</f>
        <v/>
      </c>
      <c r="O62" s="27">
        <f>IF(AD62=0,"",Baux!$I$7)</f>
        <v/>
      </c>
      <c r="P62" s="28">
        <f>IF(OR(N62="",O62=""),"",N62/O62-1)</f>
        <v/>
      </c>
      <c r="Q62" s="27">
        <f>IF(N62="","",N62/12)</f>
        <v/>
      </c>
      <c r="R62" s="27">
        <f>IF(N62="","",N62/IF(Baux!$L$7="Mensuelle",12,IF(Baux!$L$7="Trimestrielle",4,IF(Baux!$L$7="Semestrielle",2,1))))</f>
        <v/>
      </c>
      <c r="S62" s="27">
        <f>IF(AD62=0,"",IF(Baux!$J$7="",0,Baux!$J$7)/IF(Baux!$L$7="Mensuelle",12,IF(Baux!$L$7="Trimestrielle",4,IF(Baux!$L$7="Semestrielle",2,1))))</f>
        <v/>
      </c>
      <c r="T62" s="27">
        <f>IF(R62="","",(R62+S62)*Baux!$K$7/100)</f>
        <v/>
      </c>
      <c r="U62" s="27">
        <f>IF(R62="","",R62+S62+T62)</f>
        <v/>
      </c>
      <c r="V62" s="17">
        <f>IF(AD62=0,"",IF(LEFT(K62,5)="Geler","❄ Gelée",IF(G62="",IF(D62&lt;=TODAY(),"⚠ Indice attendu","À venir"),IF(D62&lt;=TODAY(),"✔ Calculable","Indice connu – à venir"))))</f>
        <v/>
      </c>
      <c r="W62" s="29" t="n"/>
      <c r="X62" s="13" t="n"/>
      <c r="Y62" s="14" t="n"/>
      <c r="Z62" s="14" t="n"/>
      <c r="AA62" s="13" t="n"/>
      <c r="AB62" s="17">
        <f>IF(A62="","",A62&amp;"#"&amp;C62)</f>
        <v/>
      </c>
      <c r="AC62" s="17">
        <f>IF(AND(AD62=1,D62&lt;=TODAY(),N62&lt;&gt;""),1,0)</f>
        <v/>
      </c>
      <c r="AD62" s="17">
        <f>IF(OR(A62="",D62=""),0,IF(AND(ISNUMBER(Baux!$H$7),D62&gt;Baux!$H$7),0,1))</f>
        <v/>
      </c>
    </row>
    <row r="63">
      <c r="A63" s="17">
        <f>IF(Baux!$A$7="","",Baux!$A$7)</f>
        <v/>
      </c>
      <c r="B63" s="17">
        <f>IF(A63="","",Baux!$B$7)</f>
        <v/>
      </c>
      <c r="C63" s="17" t="n">
        <v>2</v>
      </c>
      <c r="D63" s="15">
        <f>IF(OR(A63="",Baux!$F$7="",Baux!$O$7=""),"",EDATE(Baux!$F$7,12*Baux!$O$7*C63))</f>
        <v/>
      </c>
      <c r="E63" s="17">
        <f>IF(AD63=0,"",Baux!$M$7)</f>
        <v/>
      </c>
      <c r="F63" s="17">
        <f>IF(AD63=0,"",IFERROR(TEXT(VALUE(LEFT(Baux!$N$7,4))+C63*Baux!$O$7,"0")&amp;RIGHT(Baux!$N$7,3),""))</f>
        <v/>
      </c>
      <c r="G63" s="25">
        <f>IF(AD63=0,"",IF(F63="","",IF(SUMIFS(Indices_long!$C:$C,Indices_long!$A:$A,E63,Indices_long!$B:$B,F63)=0,"",SUMIFS(Indices_long!$C:$C,Indices_long!$A:$A,E63,Indices_long!$B:$B,F63))))</f>
        <v/>
      </c>
      <c r="H63" s="17">
        <f>IF(AD63=0,"",IF(Baux!$P$7="Base fixe",Baux!$N$7,IF(K62="Geler – rattrapage possible",H62,F62)))</f>
        <v/>
      </c>
      <c r="I63" s="25">
        <f>IF(AD63=0,"",IF(H63="","",IF(SUMIFS(Indices_long!$C:$C,Indices_long!$A:$A,E63,Indices_long!$B:$B,H63)=0,"",SUMIFS(Indices_long!$C:$C,Indices_long!$A:$A,E63,Indices_long!$B:$B,H63))))</f>
        <v/>
      </c>
      <c r="J63" s="26">
        <f>IF(OR(G63="",I63=""),"",G63/I63)</f>
        <v/>
      </c>
      <c r="K63" s="13" t="n"/>
      <c r="L63" s="27">
        <f>IF(AD63=0,"",IF(Baux!$P$7="Base fixe",Baux!$I$7,N62))</f>
        <v/>
      </c>
      <c r="M63" s="27">
        <f>IF(OR(J63="",L63=""),"",ROUND(L63*J63,2))</f>
        <v/>
      </c>
      <c r="N63" s="27">
        <f>IF(AD63=0,"",IF(LEFT(K63,5)="Geler",O63,IF(M63="","",IF(Baux!$Q$7="",M63,MIN(M63,ROUND(L63*(1+Baux!$Q$7/100)^IF(Baux!$P$7="Base fixe",C63*Baux!$O$7,VALUE(LEFT(F63,4))-VALUE(LEFT(H63,4))),2))))))</f>
        <v/>
      </c>
      <c r="O63" s="27">
        <f>IF(AD63=0,"",N62)</f>
        <v/>
      </c>
      <c r="P63" s="28">
        <f>IF(OR(N63="",O63=""),"",N63/O63-1)</f>
        <v/>
      </c>
      <c r="Q63" s="27">
        <f>IF(N63="","",N63/12)</f>
        <v/>
      </c>
      <c r="R63" s="27">
        <f>IF(N63="","",N63/IF(Baux!$L$7="Mensuelle",12,IF(Baux!$L$7="Trimestrielle",4,IF(Baux!$L$7="Semestrielle",2,1))))</f>
        <v/>
      </c>
      <c r="S63" s="27">
        <f>IF(AD63=0,"",IF(Baux!$J$7="",0,Baux!$J$7)/IF(Baux!$L$7="Mensuelle",12,IF(Baux!$L$7="Trimestrielle",4,IF(Baux!$L$7="Semestrielle",2,1))))</f>
        <v/>
      </c>
      <c r="T63" s="27">
        <f>IF(R63="","",(R63+S63)*Baux!$K$7/100)</f>
        <v/>
      </c>
      <c r="U63" s="27">
        <f>IF(R63="","",R63+S63+T63)</f>
        <v/>
      </c>
      <c r="V63" s="17">
        <f>IF(AD63=0,"",IF(LEFT(K63,5)="Geler","❄ Gelée",IF(G63="",IF(D63&lt;=TODAY(),"⚠ Indice attendu","À venir"),IF(D63&lt;=TODAY(),"✔ Calculable","Indice connu – à venir"))))</f>
        <v/>
      </c>
      <c r="W63" s="29" t="n"/>
      <c r="X63" s="13" t="n"/>
      <c r="Y63" s="14" t="n"/>
      <c r="Z63" s="14" t="n"/>
      <c r="AA63" s="13" t="n"/>
      <c r="AB63" s="17">
        <f>IF(A63="","",A63&amp;"#"&amp;C63)</f>
        <v/>
      </c>
      <c r="AC63" s="17">
        <f>IF(AND(AD63=1,D63&lt;=TODAY(),N63&lt;&gt;""),1,0)</f>
        <v/>
      </c>
      <c r="AD63" s="17">
        <f>IF(OR(A63="",D63=""),0,IF(AND(ISNUMBER(Baux!$H$7),D63&gt;Baux!$H$7),0,1))</f>
        <v/>
      </c>
    </row>
    <row r="64">
      <c r="A64" s="17">
        <f>IF(Baux!$A$7="","",Baux!$A$7)</f>
        <v/>
      </c>
      <c r="B64" s="17">
        <f>IF(A64="","",Baux!$B$7)</f>
        <v/>
      </c>
      <c r="C64" s="17" t="n">
        <v>3</v>
      </c>
      <c r="D64" s="15">
        <f>IF(OR(A64="",Baux!$F$7="",Baux!$O$7=""),"",EDATE(Baux!$F$7,12*Baux!$O$7*C64))</f>
        <v/>
      </c>
      <c r="E64" s="17">
        <f>IF(AD64=0,"",Baux!$M$7)</f>
        <v/>
      </c>
      <c r="F64" s="17">
        <f>IF(AD64=0,"",IFERROR(TEXT(VALUE(LEFT(Baux!$N$7,4))+C64*Baux!$O$7,"0")&amp;RIGHT(Baux!$N$7,3),""))</f>
        <v/>
      </c>
      <c r="G64" s="25">
        <f>IF(AD64=0,"",IF(F64="","",IF(SUMIFS(Indices_long!$C:$C,Indices_long!$A:$A,E64,Indices_long!$B:$B,F64)=0,"",SUMIFS(Indices_long!$C:$C,Indices_long!$A:$A,E64,Indices_long!$B:$B,F64))))</f>
        <v/>
      </c>
      <c r="H64" s="17">
        <f>IF(AD64=0,"",IF(Baux!$P$7="Base fixe",Baux!$N$7,IF(K63="Geler – rattrapage possible",H63,F63)))</f>
        <v/>
      </c>
      <c r="I64" s="25">
        <f>IF(AD64=0,"",IF(H64="","",IF(SUMIFS(Indices_long!$C:$C,Indices_long!$A:$A,E64,Indices_long!$B:$B,H64)=0,"",SUMIFS(Indices_long!$C:$C,Indices_long!$A:$A,E64,Indices_long!$B:$B,H64))))</f>
        <v/>
      </c>
      <c r="J64" s="26">
        <f>IF(OR(G64="",I64=""),"",G64/I64)</f>
        <v/>
      </c>
      <c r="K64" s="13" t="n"/>
      <c r="L64" s="27">
        <f>IF(AD64=0,"",IF(Baux!$P$7="Base fixe",Baux!$I$7,N63))</f>
        <v/>
      </c>
      <c r="M64" s="27">
        <f>IF(OR(J64="",L64=""),"",ROUND(L64*J64,2))</f>
        <v/>
      </c>
      <c r="N64" s="27">
        <f>IF(AD64=0,"",IF(LEFT(K64,5)="Geler",O64,IF(M64="","",IF(Baux!$Q$7="",M64,MIN(M64,ROUND(L64*(1+Baux!$Q$7/100)^IF(Baux!$P$7="Base fixe",C64*Baux!$O$7,VALUE(LEFT(F64,4))-VALUE(LEFT(H64,4))),2))))))</f>
        <v/>
      </c>
      <c r="O64" s="27">
        <f>IF(AD64=0,"",N63)</f>
        <v/>
      </c>
      <c r="P64" s="28">
        <f>IF(OR(N64="",O64=""),"",N64/O64-1)</f>
        <v/>
      </c>
      <c r="Q64" s="27">
        <f>IF(N64="","",N64/12)</f>
        <v/>
      </c>
      <c r="R64" s="27">
        <f>IF(N64="","",N64/IF(Baux!$L$7="Mensuelle",12,IF(Baux!$L$7="Trimestrielle",4,IF(Baux!$L$7="Semestrielle",2,1))))</f>
        <v/>
      </c>
      <c r="S64" s="27">
        <f>IF(AD64=0,"",IF(Baux!$J$7="",0,Baux!$J$7)/IF(Baux!$L$7="Mensuelle",12,IF(Baux!$L$7="Trimestrielle",4,IF(Baux!$L$7="Semestrielle",2,1))))</f>
        <v/>
      </c>
      <c r="T64" s="27">
        <f>IF(R64="","",(R64+S64)*Baux!$K$7/100)</f>
        <v/>
      </c>
      <c r="U64" s="27">
        <f>IF(R64="","",R64+S64+T64)</f>
        <v/>
      </c>
      <c r="V64" s="17">
        <f>IF(AD64=0,"",IF(LEFT(K64,5)="Geler","❄ Gelée",IF(G64="",IF(D64&lt;=TODAY(),"⚠ Indice attendu","À venir"),IF(D64&lt;=TODAY(),"✔ Calculable","Indice connu – à venir"))))</f>
        <v/>
      </c>
      <c r="W64" s="29" t="n"/>
      <c r="X64" s="13" t="n"/>
      <c r="Y64" s="14" t="n"/>
      <c r="Z64" s="14" t="n"/>
      <c r="AA64" s="13" t="n"/>
      <c r="AB64" s="17">
        <f>IF(A64="","",A64&amp;"#"&amp;C64)</f>
        <v/>
      </c>
      <c r="AC64" s="17">
        <f>IF(AND(AD64=1,D64&lt;=TODAY(),N64&lt;&gt;""),1,0)</f>
        <v/>
      </c>
      <c r="AD64" s="17">
        <f>IF(OR(A64="",D64=""),0,IF(AND(ISNUMBER(Baux!$H$7),D64&gt;Baux!$H$7),0,1))</f>
        <v/>
      </c>
    </row>
    <row r="65">
      <c r="A65" s="17">
        <f>IF(Baux!$A$7="","",Baux!$A$7)</f>
        <v/>
      </c>
      <c r="B65" s="17">
        <f>IF(A65="","",Baux!$B$7)</f>
        <v/>
      </c>
      <c r="C65" s="17" t="n">
        <v>4</v>
      </c>
      <c r="D65" s="15">
        <f>IF(OR(A65="",Baux!$F$7="",Baux!$O$7=""),"",EDATE(Baux!$F$7,12*Baux!$O$7*C65))</f>
        <v/>
      </c>
      <c r="E65" s="17">
        <f>IF(AD65=0,"",Baux!$M$7)</f>
        <v/>
      </c>
      <c r="F65" s="17">
        <f>IF(AD65=0,"",IFERROR(TEXT(VALUE(LEFT(Baux!$N$7,4))+C65*Baux!$O$7,"0")&amp;RIGHT(Baux!$N$7,3),""))</f>
        <v/>
      </c>
      <c r="G65" s="25">
        <f>IF(AD65=0,"",IF(F65="","",IF(SUMIFS(Indices_long!$C:$C,Indices_long!$A:$A,E65,Indices_long!$B:$B,F65)=0,"",SUMIFS(Indices_long!$C:$C,Indices_long!$A:$A,E65,Indices_long!$B:$B,F65))))</f>
        <v/>
      </c>
      <c r="H65" s="17">
        <f>IF(AD65=0,"",IF(Baux!$P$7="Base fixe",Baux!$N$7,IF(K64="Geler – rattrapage possible",H64,F64)))</f>
        <v/>
      </c>
      <c r="I65" s="25">
        <f>IF(AD65=0,"",IF(H65="","",IF(SUMIFS(Indices_long!$C:$C,Indices_long!$A:$A,E65,Indices_long!$B:$B,H65)=0,"",SUMIFS(Indices_long!$C:$C,Indices_long!$A:$A,E65,Indices_long!$B:$B,H65))))</f>
        <v/>
      </c>
      <c r="J65" s="26">
        <f>IF(OR(G65="",I65=""),"",G65/I65)</f>
        <v/>
      </c>
      <c r="K65" s="13" t="n"/>
      <c r="L65" s="27">
        <f>IF(AD65=0,"",IF(Baux!$P$7="Base fixe",Baux!$I$7,N64))</f>
        <v/>
      </c>
      <c r="M65" s="27">
        <f>IF(OR(J65="",L65=""),"",ROUND(L65*J65,2))</f>
        <v/>
      </c>
      <c r="N65" s="27">
        <f>IF(AD65=0,"",IF(LEFT(K65,5)="Geler",O65,IF(M65="","",IF(Baux!$Q$7="",M65,MIN(M65,ROUND(L65*(1+Baux!$Q$7/100)^IF(Baux!$P$7="Base fixe",C65*Baux!$O$7,VALUE(LEFT(F65,4))-VALUE(LEFT(H65,4))),2))))))</f>
        <v/>
      </c>
      <c r="O65" s="27">
        <f>IF(AD65=0,"",N64)</f>
        <v/>
      </c>
      <c r="P65" s="28">
        <f>IF(OR(N65="",O65=""),"",N65/O65-1)</f>
        <v/>
      </c>
      <c r="Q65" s="27">
        <f>IF(N65="","",N65/12)</f>
        <v/>
      </c>
      <c r="R65" s="27">
        <f>IF(N65="","",N65/IF(Baux!$L$7="Mensuelle",12,IF(Baux!$L$7="Trimestrielle",4,IF(Baux!$L$7="Semestrielle",2,1))))</f>
        <v/>
      </c>
      <c r="S65" s="27">
        <f>IF(AD65=0,"",IF(Baux!$J$7="",0,Baux!$J$7)/IF(Baux!$L$7="Mensuelle",12,IF(Baux!$L$7="Trimestrielle",4,IF(Baux!$L$7="Semestrielle",2,1))))</f>
        <v/>
      </c>
      <c r="T65" s="27">
        <f>IF(R65="","",(R65+S65)*Baux!$K$7/100)</f>
        <v/>
      </c>
      <c r="U65" s="27">
        <f>IF(R65="","",R65+S65+T65)</f>
        <v/>
      </c>
      <c r="V65" s="17">
        <f>IF(AD65=0,"",IF(LEFT(K65,5)="Geler","❄ Gelée",IF(G65="",IF(D65&lt;=TODAY(),"⚠ Indice attendu","À venir"),IF(D65&lt;=TODAY(),"✔ Calculable","Indice connu – à venir"))))</f>
        <v/>
      </c>
      <c r="W65" s="29" t="n"/>
      <c r="X65" s="13" t="n"/>
      <c r="Y65" s="14" t="n"/>
      <c r="Z65" s="14" t="n"/>
      <c r="AA65" s="13" t="n"/>
      <c r="AB65" s="17">
        <f>IF(A65="","",A65&amp;"#"&amp;C65)</f>
        <v/>
      </c>
      <c r="AC65" s="17">
        <f>IF(AND(AD65=1,D65&lt;=TODAY(),N65&lt;&gt;""),1,0)</f>
        <v/>
      </c>
      <c r="AD65" s="17">
        <f>IF(OR(A65="",D65=""),0,IF(AND(ISNUMBER(Baux!$H$7),D65&gt;Baux!$H$7),0,1))</f>
        <v/>
      </c>
    </row>
    <row r="66">
      <c r="A66" s="17">
        <f>IF(Baux!$A$7="","",Baux!$A$7)</f>
        <v/>
      </c>
      <c r="B66" s="17">
        <f>IF(A66="","",Baux!$B$7)</f>
        <v/>
      </c>
      <c r="C66" s="17" t="n">
        <v>5</v>
      </c>
      <c r="D66" s="15">
        <f>IF(OR(A66="",Baux!$F$7="",Baux!$O$7=""),"",EDATE(Baux!$F$7,12*Baux!$O$7*C66))</f>
        <v/>
      </c>
      <c r="E66" s="17">
        <f>IF(AD66=0,"",Baux!$M$7)</f>
        <v/>
      </c>
      <c r="F66" s="17">
        <f>IF(AD66=0,"",IFERROR(TEXT(VALUE(LEFT(Baux!$N$7,4))+C66*Baux!$O$7,"0")&amp;RIGHT(Baux!$N$7,3),""))</f>
        <v/>
      </c>
      <c r="G66" s="25">
        <f>IF(AD66=0,"",IF(F66="","",IF(SUMIFS(Indices_long!$C:$C,Indices_long!$A:$A,E66,Indices_long!$B:$B,F66)=0,"",SUMIFS(Indices_long!$C:$C,Indices_long!$A:$A,E66,Indices_long!$B:$B,F66))))</f>
        <v/>
      </c>
      <c r="H66" s="17">
        <f>IF(AD66=0,"",IF(Baux!$P$7="Base fixe",Baux!$N$7,IF(K65="Geler – rattrapage possible",H65,F65)))</f>
        <v/>
      </c>
      <c r="I66" s="25">
        <f>IF(AD66=0,"",IF(H66="","",IF(SUMIFS(Indices_long!$C:$C,Indices_long!$A:$A,E66,Indices_long!$B:$B,H66)=0,"",SUMIFS(Indices_long!$C:$C,Indices_long!$A:$A,E66,Indices_long!$B:$B,H66))))</f>
        <v/>
      </c>
      <c r="J66" s="26">
        <f>IF(OR(G66="",I66=""),"",G66/I66)</f>
        <v/>
      </c>
      <c r="K66" s="13" t="n"/>
      <c r="L66" s="27">
        <f>IF(AD66=0,"",IF(Baux!$P$7="Base fixe",Baux!$I$7,N65))</f>
        <v/>
      </c>
      <c r="M66" s="27">
        <f>IF(OR(J66="",L66=""),"",ROUND(L66*J66,2))</f>
        <v/>
      </c>
      <c r="N66" s="27">
        <f>IF(AD66=0,"",IF(LEFT(K66,5)="Geler",O66,IF(M66="","",IF(Baux!$Q$7="",M66,MIN(M66,ROUND(L66*(1+Baux!$Q$7/100)^IF(Baux!$P$7="Base fixe",C66*Baux!$O$7,VALUE(LEFT(F66,4))-VALUE(LEFT(H66,4))),2))))))</f>
        <v/>
      </c>
      <c r="O66" s="27">
        <f>IF(AD66=0,"",N65)</f>
        <v/>
      </c>
      <c r="P66" s="28">
        <f>IF(OR(N66="",O66=""),"",N66/O66-1)</f>
        <v/>
      </c>
      <c r="Q66" s="27">
        <f>IF(N66="","",N66/12)</f>
        <v/>
      </c>
      <c r="R66" s="27">
        <f>IF(N66="","",N66/IF(Baux!$L$7="Mensuelle",12,IF(Baux!$L$7="Trimestrielle",4,IF(Baux!$L$7="Semestrielle",2,1))))</f>
        <v/>
      </c>
      <c r="S66" s="27">
        <f>IF(AD66=0,"",IF(Baux!$J$7="",0,Baux!$J$7)/IF(Baux!$L$7="Mensuelle",12,IF(Baux!$L$7="Trimestrielle",4,IF(Baux!$L$7="Semestrielle",2,1))))</f>
        <v/>
      </c>
      <c r="T66" s="27">
        <f>IF(R66="","",(R66+S66)*Baux!$K$7/100)</f>
        <v/>
      </c>
      <c r="U66" s="27">
        <f>IF(R66="","",R66+S66+T66)</f>
        <v/>
      </c>
      <c r="V66" s="17">
        <f>IF(AD66=0,"",IF(LEFT(K66,5)="Geler","❄ Gelée",IF(G66="",IF(D66&lt;=TODAY(),"⚠ Indice attendu","À venir"),IF(D66&lt;=TODAY(),"✔ Calculable","Indice connu – à venir"))))</f>
        <v/>
      </c>
      <c r="W66" s="29" t="n"/>
      <c r="X66" s="13" t="n"/>
      <c r="Y66" s="14" t="n"/>
      <c r="Z66" s="14" t="n"/>
      <c r="AA66" s="13" t="n"/>
      <c r="AB66" s="17">
        <f>IF(A66="","",A66&amp;"#"&amp;C66)</f>
        <v/>
      </c>
      <c r="AC66" s="17">
        <f>IF(AND(AD66=1,D66&lt;=TODAY(),N66&lt;&gt;""),1,0)</f>
        <v/>
      </c>
      <c r="AD66" s="17">
        <f>IF(OR(A66="",D66=""),0,IF(AND(ISNUMBER(Baux!$H$7),D66&gt;Baux!$H$7),0,1))</f>
        <v/>
      </c>
    </row>
    <row r="67">
      <c r="A67" s="17">
        <f>IF(Baux!$A$7="","",Baux!$A$7)</f>
        <v/>
      </c>
      <c r="B67" s="17">
        <f>IF(A67="","",Baux!$B$7)</f>
        <v/>
      </c>
      <c r="C67" s="17" t="n">
        <v>6</v>
      </c>
      <c r="D67" s="15">
        <f>IF(OR(A67="",Baux!$F$7="",Baux!$O$7=""),"",EDATE(Baux!$F$7,12*Baux!$O$7*C67))</f>
        <v/>
      </c>
      <c r="E67" s="17">
        <f>IF(AD67=0,"",Baux!$M$7)</f>
        <v/>
      </c>
      <c r="F67" s="17">
        <f>IF(AD67=0,"",IFERROR(TEXT(VALUE(LEFT(Baux!$N$7,4))+C67*Baux!$O$7,"0")&amp;RIGHT(Baux!$N$7,3),""))</f>
        <v/>
      </c>
      <c r="G67" s="25">
        <f>IF(AD67=0,"",IF(F67="","",IF(SUMIFS(Indices_long!$C:$C,Indices_long!$A:$A,E67,Indices_long!$B:$B,F67)=0,"",SUMIFS(Indices_long!$C:$C,Indices_long!$A:$A,E67,Indices_long!$B:$B,F67))))</f>
        <v/>
      </c>
      <c r="H67" s="17">
        <f>IF(AD67=0,"",IF(Baux!$P$7="Base fixe",Baux!$N$7,IF(K66="Geler – rattrapage possible",H66,F66)))</f>
        <v/>
      </c>
      <c r="I67" s="25">
        <f>IF(AD67=0,"",IF(H67="","",IF(SUMIFS(Indices_long!$C:$C,Indices_long!$A:$A,E67,Indices_long!$B:$B,H67)=0,"",SUMIFS(Indices_long!$C:$C,Indices_long!$A:$A,E67,Indices_long!$B:$B,H67))))</f>
        <v/>
      </c>
      <c r="J67" s="26">
        <f>IF(OR(G67="",I67=""),"",G67/I67)</f>
        <v/>
      </c>
      <c r="K67" s="13" t="n"/>
      <c r="L67" s="27">
        <f>IF(AD67=0,"",IF(Baux!$P$7="Base fixe",Baux!$I$7,N66))</f>
        <v/>
      </c>
      <c r="M67" s="27">
        <f>IF(OR(J67="",L67=""),"",ROUND(L67*J67,2))</f>
        <v/>
      </c>
      <c r="N67" s="27">
        <f>IF(AD67=0,"",IF(LEFT(K67,5)="Geler",O67,IF(M67="","",IF(Baux!$Q$7="",M67,MIN(M67,ROUND(L67*(1+Baux!$Q$7/100)^IF(Baux!$P$7="Base fixe",C67*Baux!$O$7,VALUE(LEFT(F67,4))-VALUE(LEFT(H67,4))),2))))))</f>
        <v/>
      </c>
      <c r="O67" s="27">
        <f>IF(AD67=0,"",N66)</f>
        <v/>
      </c>
      <c r="P67" s="28">
        <f>IF(OR(N67="",O67=""),"",N67/O67-1)</f>
        <v/>
      </c>
      <c r="Q67" s="27">
        <f>IF(N67="","",N67/12)</f>
        <v/>
      </c>
      <c r="R67" s="27">
        <f>IF(N67="","",N67/IF(Baux!$L$7="Mensuelle",12,IF(Baux!$L$7="Trimestrielle",4,IF(Baux!$L$7="Semestrielle",2,1))))</f>
        <v/>
      </c>
      <c r="S67" s="27">
        <f>IF(AD67=0,"",IF(Baux!$J$7="",0,Baux!$J$7)/IF(Baux!$L$7="Mensuelle",12,IF(Baux!$L$7="Trimestrielle",4,IF(Baux!$L$7="Semestrielle",2,1))))</f>
        <v/>
      </c>
      <c r="T67" s="27">
        <f>IF(R67="","",(R67+S67)*Baux!$K$7/100)</f>
        <v/>
      </c>
      <c r="U67" s="27">
        <f>IF(R67="","",R67+S67+T67)</f>
        <v/>
      </c>
      <c r="V67" s="17">
        <f>IF(AD67=0,"",IF(LEFT(K67,5)="Geler","❄ Gelée",IF(G67="",IF(D67&lt;=TODAY(),"⚠ Indice attendu","À venir"),IF(D67&lt;=TODAY(),"✔ Calculable","Indice connu – à venir"))))</f>
        <v/>
      </c>
      <c r="W67" s="29" t="n"/>
      <c r="X67" s="13" t="n"/>
      <c r="Y67" s="14" t="n"/>
      <c r="Z67" s="14" t="n"/>
      <c r="AA67" s="13" t="n"/>
      <c r="AB67" s="17">
        <f>IF(A67="","",A67&amp;"#"&amp;C67)</f>
        <v/>
      </c>
      <c r="AC67" s="17">
        <f>IF(AND(AD67=1,D67&lt;=TODAY(),N67&lt;&gt;""),1,0)</f>
        <v/>
      </c>
      <c r="AD67" s="17">
        <f>IF(OR(A67="",D67=""),0,IF(AND(ISNUMBER(Baux!$H$7),D67&gt;Baux!$H$7),0,1))</f>
        <v/>
      </c>
    </row>
    <row r="68">
      <c r="A68" s="17">
        <f>IF(Baux!$A$7="","",Baux!$A$7)</f>
        <v/>
      </c>
      <c r="B68" s="17">
        <f>IF(A68="","",Baux!$B$7)</f>
        <v/>
      </c>
      <c r="C68" s="17" t="n">
        <v>7</v>
      </c>
      <c r="D68" s="15">
        <f>IF(OR(A68="",Baux!$F$7="",Baux!$O$7=""),"",EDATE(Baux!$F$7,12*Baux!$O$7*C68))</f>
        <v/>
      </c>
      <c r="E68" s="17">
        <f>IF(AD68=0,"",Baux!$M$7)</f>
        <v/>
      </c>
      <c r="F68" s="17">
        <f>IF(AD68=0,"",IFERROR(TEXT(VALUE(LEFT(Baux!$N$7,4))+C68*Baux!$O$7,"0")&amp;RIGHT(Baux!$N$7,3),""))</f>
        <v/>
      </c>
      <c r="G68" s="25">
        <f>IF(AD68=0,"",IF(F68="","",IF(SUMIFS(Indices_long!$C:$C,Indices_long!$A:$A,E68,Indices_long!$B:$B,F68)=0,"",SUMIFS(Indices_long!$C:$C,Indices_long!$A:$A,E68,Indices_long!$B:$B,F68))))</f>
        <v/>
      </c>
      <c r="H68" s="17">
        <f>IF(AD68=0,"",IF(Baux!$P$7="Base fixe",Baux!$N$7,IF(K67="Geler – rattrapage possible",H67,F67)))</f>
        <v/>
      </c>
      <c r="I68" s="25">
        <f>IF(AD68=0,"",IF(H68="","",IF(SUMIFS(Indices_long!$C:$C,Indices_long!$A:$A,E68,Indices_long!$B:$B,H68)=0,"",SUMIFS(Indices_long!$C:$C,Indices_long!$A:$A,E68,Indices_long!$B:$B,H68))))</f>
        <v/>
      </c>
      <c r="J68" s="26">
        <f>IF(OR(G68="",I68=""),"",G68/I68)</f>
        <v/>
      </c>
      <c r="K68" s="13" t="n"/>
      <c r="L68" s="27">
        <f>IF(AD68=0,"",IF(Baux!$P$7="Base fixe",Baux!$I$7,N67))</f>
        <v/>
      </c>
      <c r="M68" s="27">
        <f>IF(OR(J68="",L68=""),"",ROUND(L68*J68,2))</f>
        <v/>
      </c>
      <c r="N68" s="27">
        <f>IF(AD68=0,"",IF(LEFT(K68,5)="Geler",O68,IF(M68="","",IF(Baux!$Q$7="",M68,MIN(M68,ROUND(L68*(1+Baux!$Q$7/100)^IF(Baux!$P$7="Base fixe",C68*Baux!$O$7,VALUE(LEFT(F68,4))-VALUE(LEFT(H68,4))),2))))))</f>
        <v/>
      </c>
      <c r="O68" s="27">
        <f>IF(AD68=0,"",N67)</f>
        <v/>
      </c>
      <c r="P68" s="28">
        <f>IF(OR(N68="",O68=""),"",N68/O68-1)</f>
        <v/>
      </c>
      <c r="Q68" s="27">
        <f>IF(N68="","",N68/12)</f>
        <v/>
      </c>
      <c r="R68" s="27">
        <f>IF(N68="","",N68/IF(Baux!$L$7="Mensuelle",12,IF(Baux!$L$7="Trimestrielle",4,IF(Baux!$L$7="Semestrielle",2,1))))</f>
        <v/>
      </c>
      <c r="S68" s="27">
        <f>IF(AD68=0,"",IF(Baux!$J$7="",0,Baux!$J$7)/IF(Baux!$L$7="Mensuelle",12,IF(Baux!$L$7="Trimestrielle",4,IF(Baux!$L$7="Semestrielle",2,1))))</f>
        <v/>
      </c>
      <c r="T68" s="27">
        <f>IF(R68="","",(R68+S68)*Baux!$K$7/100)</f>
        <v/>
      </c>
      <c r="U68" s="27">
        <f>IF(R68="","",R68+S68+T68)</f>
        <v/>
      </c>
      <c r="V68" s="17">
        <f>IF(AD68=0,"",IF(LEFT(K68,5)="Geler","❄ Gelée",IF(G68="",IF(D68&lt;=TODAY(),"⚠ Indice attendu","À venir"),IF(D68&lt;=TODAY(),"✔ Calculable","Indice connu – à venir"))))</f>
        <v/>
      </c>
      <c r="W68" s="29" t="n"/>
      <c r="X68" s="13" t="n"/>
      <c r="Y68" s="14" t="n"/>
      <c r="Z68" s="14" t="n"/>
      <c r="AA68" s="13" t="n"/>
      <c r="AB68" s="17">
        <f>IF(A68="","",A68&amp;"#"&amp;C68)</f>
        <v/>
      </c>
      <c r="AC68" s="17">
        <f>IF(AND(AD68=1,D68&lt;=TODAY(),N68&lt;&gt;""),1,0)</f>
        <v/>
      </c>
      <c r="AD68" s="17">
        <f>IF(OR(A68="",D68=""),0,IF(AND(ISNUMBER(Baux!$H$7),D68&gt;Baux!$H$7),0,1))</f>
        <v/>
      </c>
    </row>
    <row r="69">
      <c r="A69" s="17">
        <f>IF(Baux!$A$7="","",Baux!$A$7)</f>
        <v/>
      </c>
      <c r="B69" s="17">
        <f>IF(A69="","",Baux!$B$7)</f>
        <v/>
      </c>
      <c r="C69" s="17" t="n">
        <v>8</v>
      </c>
      <c r="D69" s="15">
        <f>IF(OR(A69="",Baux!$F$7="",Baux!$O$7=""),"",EDATE(Baux!$F$7,12*Baux!$O$7*C69))</f>
        <v/>
      </c>
      <c r="E69" s="17">
        <f>IF(AD69=0,"",Baux!$M$7)</f>
        <v/>
      </c>
      <c r="F69" s="17">
        <f>IF(AD69=0,"",IFERROR(TEXT(VALUE(LEFT(Baux!$N$7,4))+C69*Baux!$O$7,"0")&amp;RIGHT(Baux!$N$7,3),""))</f>
        <v/>
      </c>
      <c r="G69" s="25">
        <f>IF(AD69=0,"",IF(F69="","",IF(SUMIFS(Indices_long!$C:$C,Indices_long!$A:$A,E69,Indices_long!$B:$B,F69)=0,"",SUMIFS(Indices_long!$C:$C,Indices_long!$A:$A,E69,Indices_long!$B:$B,F69))))</f>
        <v/>
      </c>
      <c r="H69" s="17">
        <f>IF(AD69=0,"",IF(Baux!$P$7="Base fixe",Baux!$N$7,IF(K68="Geler – rattrapage possible",H68,F68)))</f>
        <v/>
      </c>
      <c r="I69" s="25">
        <f>IF(AD69=0,"",IF(H69="","",IF(SUMIFS(Indices_long!$C:$C,Indices_long!$A:$A,E69,Indices_long!$B:$B,H69)=0,"",SUMIFS(Indices_long!$C:$C,Indices_long!$A:$A,E69,Indices_long!$B:$B,H69))))</f>
        <v/>
      </c>
      <c r="J69" s="26">
        <f>IF(OR(G69="",I69=""),"",G69/I69)</f>
        <v/>
      </c>
      <c r="K69" s="13" t="n"/>
      <c r="L69" s="27">
        <f>IF(AD69=0,"",IF(Baux!$P$7="Base fixe",Baux!$I$7,N68))</f>
        <v/>
      </c>
      <c r="M69" s="27">
        <f>IF(OR(J69="",L69=""),"",ROUND(L69*J69,2))</f>
        <v/>
      </c>
      <c r="N69" s="27">
        <f>IF(AD69=0,"",IF(LEFT(K69,5)="Geler",O69,IF(M69="","",IF(Baux!$Q$7="",M69,MIN(M69,ROUND(L69*(1+Baux!$Q$7/100)^IF(Baux!$P$7="Base fixe",C69*Baux!$O$7,VALUE(LEFT(F69,4))-VALUE(LEFT(H69,4))),2))))))</f>
        <v/>
      </c>
      <c r="O69" s="27">
        <f>IF(AD69=0,"",N68)</f>
        <v/>
      </c>
      <c r="P69" s="28">
        <f>IF(OR(N69="",O69=""),"",N69/O69-1)</f>
        <v/>
      </c>
      <c r="Q69" s="27">
        <f>IF(N69="","",N69/12)</f>
        <v/>
      </c>
      <c r="R69" s="27">
        <f>IF(N69="","",N69/IF(Baux!$L$7="Mensuelle",12,IF(Baux!$L$7="Trimestrielle",4,IF(Baux!$L$7="Semestrielle",2,1))))</f>
        <v/>
      </c>
      <c r="S69" s="27">
        <f>IF(AD69=0,"",IF(Baux!$J$7="",0,Baux!$J$7)/IF(Baux!$L$7="Mensuelle",12,IF(Baux!$L$7="Trimestrielle",4,IF(Baux!$L$7="Semestrielle",2,1))))</f>
        <v/>
      </c>
      <c r="T69" s="27">
        <f>IF(R69="","",(R69+S69)*Baux!$K$7/100)</f>
        <v/>
      </c>
      <c r="U69" s="27">
        <f>IF(R69="","",R69+S69+T69)</f>
        <v/>
      </c>
      <c r="V69" s="17">
        <f>IF(AD69=0,"",IF(LEFT(K69,5)="Geler","❄ Gelée",IF(G69="",IF(D69&lt;=TODAY(),"⚠ Indice attendu","À venir"),IF(D69&lt;=TODAY(),"✔ Calculable","Indice connu – à venir"))))</f>
        <v/>
      </c>
      <c r="W69" s="29" t="n"/>
      <c r="X69" s="13" t="n"/>
      <c r="Y69" s="14" t="n"/>
      <c r="Z69" s="14" t="n"/>
      <c r="AA69" s="13" t="n"/>
      <c r="AB69" s="17">
        <f>IF(A69="","",A69&amp;"#"&amp;C69)</f>
        <v/>
      </c>
      <c r="AC69" s="17">
        <f>IF(AND(AD69=1,D69&lt;=TODAY(),N69&lt;&gt;""),1,0)</f>
        <v/>
      </c>
      <c r="AD69" s="17">
        <f>IF(OR(A69="",D69=""),0,IF(AND(ISNUMBER(Baux!$H$7),D69&gt;Baux!$H$7),0,1))</f>
        <v/>
      </c>
    </row>
    <row r="70">
      <c r="A70" s="17">
        <f>IF(Baux!$A$7="","",Baux!$A$7)</f>
        <v/>
      </c>
      <c r="B70" s="17">
        <f>IF(A70="","",Baux!$B$7)</f>
        <v/>
      </c>
      <c r="C70" s="17" t="n">
        <v>9</v>
      </c>
      <c r="D70" s="15">
        <f>IF(OR(A70="",Baux!$F$7="",Baux!$O$7=""),"",EDATE(Baux!$F$7,12*Baux!$O$7*C70))</f>
        <v/>
      </c>
      <c r="E70" s="17">
        <f>IF(AD70=0,"",Baux!$M$7)</f>
        <v/>
      </c>
      <c r="F70" s="17">
        <f>IF(AD70=0,"",IFERROR(TEXT(VALUE(LEFT(Baux!$N$7,4))+C70*Baux!$O$7,"0")&amp;RIGHT(Baux!$N$7,3),""))</f>
        <v/>
      </c>
      <c r="G70" s="25">
        <f>IF(AD70=0,"",IF(F70="","",IF(SUMIFS(Indices_long!$C:$C,Indices_long!$A:$A,E70,Indices_long!$B:$B,F70)=0,"",SUMIFS(Indices_long!$C:$C,Indices_long!$A:$A,E70,Indices_long!$B:$B,F70))))</f>
        <v/>
      </c>
      <c r="H70" s="17">
        <f>IF(AD70=0,"",IF(Baux!$P$7="Base fixe",Baux!$N$7,IF(K69="Geler – rattrapage possible",H69,F69)))</f>
        <v/>
      </c>
      <c r="I70" s="25">
        <f>IF(AD70=0,"",IF(H70="","",IF(SUMIFS(Indices_long!$C:$C,Indices_long!$A:$A,E70,Indices_long!$B:$B,H70)=0,"",SUMIFS(Indices_long!$C:$C,Indices_long!$A:$A,E70,Indices_long!$B:$B,H70))))</f>
        <v/>
      </c>
      <c r="J70" s="26">
        <f>IF(OR(G70="",I70=""),"",G70/I70)</f>
        <v/>
      </c>
      <c r="K70" s="13" t="n"/>
      <c r="L70" s="27">
        <f>IF(AD70=0,"",IF(Baux!$P$7="Base fixe",Baux!$I$7,N69))</f>
        <v/>
      </c>
      <c r="M70" s="27">
        <f>IF(OR(J70="",L70=""),"",ROUND(L70*J70,2))</f>
        <v/>
      </c>
      <c r="N70" s="27">
        <f>IF(AD70=0,"",IF(LEFT(K70,5)="Geler",O70,IF(M70="","",IF(Baux!$Q$7="",M70,MIN(M70,ROUND(L70*(1+Baux!$Q$7/100)^IF(Baux!$P$7="Base fixe",C70*Baux!$O$7,VALUE(LEFT(F70,4))-VALUE(LEFT(H70,4))),2))))))</f>
        <v/>
      </c>
      <c r="O70" s="27">
        <f>IF(AD70=0,"",N69)</f>
        <v/>
      </c>
      <c r="P70" s="28">
        <f>IF(OR(N70="",O70=""),"",N70/O70-1)</f>
        <v/>
      </c>
      <c r="Q70" s="27">
        <f>IF(N70="","",N70/12)</f>
        <v/>
      </c>
      <c r="R70" s="27">
        <f>IF(N70="","",N70/IF(Baux!$L$7="Mensuelle",12,IF(Baux!$L$7="Trimestrielle",4,IF(Baux!$L$7="Semestrielle",2,1))))</f>
        <v/>
      </c>
      <c r="S70" s="27">
        <f>IF(AD70=0,"",IF(Baux!$J$7="",0,Baux!$J$7)/IF(Baux!$L$7="Mensuelle",12,IF(Baux!$L$7="Trimestrielle",4,IF(Baux!$L$7="Semestrielle",2,1))))</f>
        <v/>
      </c>
      <c r="T70" s="27">
        <f>IF(R70="","",(R70+S70)*Baux!$K$7/100)</f>
        <v/>
      </c>
      <c r="U70" s="27">
        <f>IF(R70="","",R70+S70+T70)</f>
        <v/>
      </c>
      <c r="V70" s="17">
        <f>IF(AD70=0,"",IF(LEFT(K70,5)="Geler","❄ Gelée",IF(G70="",IF(D70&lt;=TODAY(),"⚠ Indice attendu","À venir"),IF(D70&lt;=TODAY(),"✔ Calculable","Indice connu – à venir"))))</f>
        <v/>
      </c>
      <c r="W70" s="29" t="n"/>
      <c r="X70" s="13" t="n"/>
      <c r="Y70" s="14" t="n"/>
      <c r="Z70" s="14" t="n"/>
      <c r="AA70" s="13" t="n"/>
      <c r="AB70" s="17">
        <f>IF(A70="","",A70&amp;"#"&amp;C70)</f>
        <v/>
      </c>
      <c r="AC70" s="17">
        <f>IF(AND(AD70=1,D70&lt;=TODAY(),N70&lt;&gt;""),1,0)</f>
        <v/>
      </c>
      <c r="AD70" s="17">
        <f>IF(OR(A70="",D70=""),0,IF(AND(ISNUMBER(Baux!$H$7),D70&gt;Baux!$H$7),0,1))</f>
        <v/>
      </c>
    </row>
    <row r="71">
      <c r="A71" s="17">
        <f>IF(Baux!$A$7="","",Baux!$A$7)</f>
        <v/>
      </c>
      <c r="B71" s="17">
        <f>IF(A71="","",Baux!$B$7)</f>
        <v/>
      </c>
      <c r="C71" s="17" t="n">
        <v>10</v>
      </c>
      <c r="D71" s="15">
        <f>IF(OR(A71="",Baux!$F$7="",Baux!$O$7=""),"",EDATE(Baux!$F$7,12*Baux!$O$7*C71))</f>
        <v/>
      </c>
      <c r="E71" s="17">
        <f>IF(AD71=0,"",Baux!$M$7)</f>
        <v/>
      </c>
      <c r="F71" s="17">
        <f>IF(AD71=0,"",IFERROR(TEXT(VALUE(LEFT(Baux!$N$7,4))+C71*Baux!$O$7,"0")&amp;RIGHT(Baux!$N$7,3),""))</f>
        <v/>
      </c>
      <c r="G71" s="25">
        <f>IF(AD71=0,"",IF(F71="","",IF(SUMIFS(Indices_long!$C:$C,Indices_long!$A:$A,E71,Indices_long!$B:$B,F71)=0,"",SUMIFS(Indices_long!$C:$C,Indices_long!$A:$A,E71,Indices_long!$B:$B,F71))))</f>
        <v/>
      </c>
      <c r="H71" s="17">
        <f>IF(AD71=0,"",IF(Baux!$P$7="Base fixe",Baux!$N$7,IF(K70="Geler – rattrapage possible",H70,F70)))</f>
        <v/>
      </c>
      <c r="I71" s="25">
        <f>IF(AD71=0,"",IF(H71="","",IF(SUMIFS(Indices_long!$C:$C,Indices_long!$A:$A,E71,Indices_long!$B:$B,H71)=0,"",SUMIFS(Indices_long!$C:$C,Indices_long!$A:$A,E71,Indices_long!$B:$B,H71))))</f>
        <v/>
      </c>
      <c r="J71" s="26">
        <f>IF(OR(G71="",I71=""),"",G71/I71)</f>
        <v/>
      </c>
      <c r="K71" s="13" t="n"/>
      <c r="L71" s="27">
        <f>IF(AD71=0,"",IF(Baux!$P$7="Base fixe",Baux!$I$7,N70))</f>
        <v/>
      </c>
      <c r="M71" s="27">
        <f>IF(OR(J71="",L71=""),"",ROUND(L71*J71,2))</f>
        <v/>
      </c>
      <c r="N71" s="27">
        <f>IF(AD71=0,"",IF(LEFT(K71,5)="Geler",O71,IF(M71="","",IF(Baux!$Q$7="",M71,MIN(M71,ROUND(L71*(1+Baux!$Q$7/100)^IF(Baux!$P$7="Base fixe",C71*Baux!$O$7,VALUE(LEFT(F71,4))-VALUE(LEFT(H71,4))),2))))))</f>
        <v/>
      </c>
      <c r="O71" s="27">
        <f>IF(AD71=0,"",N70)</f>
        <v/>
      </c>
      <c r="P71" s="28">
        <f>IF(OR(N71="",O71=""),"",N71/O71-1)</f>
        <v/>
      </c>
      <c r="Q71" s="27">
        <f>IF(N71="","",N71/12)</f>
        <v/>
      </c>
      <c r="R71" s="27">
        <f>IF(N71="","",N71/IF(Baux!$L$7="Mensuelle",12,IF(Baux!$L$7="Trimestrielle",4,IF(Baux!$L$7="Semestrielle",2,1))))</f>
        <v/>
      </c>
      <c r="S71" s="27">
        <f>IF(AD71=0,"",IF(Baux!$J$7="",0,Baux!$J$7)/IF(Baux!$L$7="Mensuelle",12,IF(Baux!$L$7="Trimestrielle",4,IF(Baux!$L$7="Semestrielle",2,1))))</f>
        <v/>
      </c>
      <c r="T71" s="27">
        <f>IF(R71="","",(R71+S71)*Baux!$K$7/100)</f>
        <v/>
      </c>
      <c r="U71" s="27">
        <f>IF(R71="","",R71+S71+T71)</f>
        <v/>
      </c>
      <c r="V71" s="17">
        <f>IF(AD71=0,"",IF(LEFT(K71,5)="Geler","❄ Gelée",IF(G71="",IF(D71&lt;=TODAY(),"⚠ Indice attendu","À venir"),IF(D71&lt;=TODAY(),"✔ Calculable","Indice connu – à venir"))))</f>
        <v/>
      </c>
      <c r="W71" s="29" t="n"/>
      <c r="X71" s="13" t="n"/>
      <c r="Y71" s="14" t="n"/>
      <c r="Z71" s="14" t="n"/>
      <c r="AA71" s="13" t="n"/>
      <c r="AB71" s="17">
        <f>IF(A71="","",A71&amp;"#"&amp;C71)</f>
        <v/>
      </c>
      <c r="AC71" s="17">
        <f>IF(AND(AD71=1,D71&lt;=TODAY(),N71&lt;&gt;""),1,0)</f>
        <v/>
      </c>
      <c r="AD71" s="17">
        <f>IF(OR(A71="",D71=""),0,IF(AND(ISNUMBER(Baux!$H$7),D71&gt;Baux!$H$7),0,1))</f>
        <v/>
      </c>
    </row>
    <row r="72">
      <c r="A72" s="17">
        <f>IF(Baux!$A$7="","",Baux!$A$7)</f>
        <v/>
      </c>
      <c r="B72" s="17">
        <f>IF(A72="","",Baux!$B$7)</f>
        <v/>
      </c>
      <c r="C72" s="17" t="n">
        <v>11</v>
      </c>
      <c r="D72" s="15">
        <f>IF(OR(A72="",Baux!$F$7="",Baux!$O$7=""),"",EDATE(Baux!$F$7,12*Baux!$O$7*C72))</f>
        <v/>
      </c>
      <c r="E72" s="17">
        <f>IF(AD72=0,"",Baux!$M$7)</f>
        <v/>
      </c>
      <c r="F72" s="17">
        <f>IF(AD72=0,"",IFERROR(TEXT(VALUE(LEFT(Baux!$N$7,4))+C72*Baux!$O$7,"0")&amp;RIGHT(Baux!$N$7,3),""))</f>
        <v/>
      </c>
      <c r="G72" s="25">
        <f>IF(AD72=0,"",IF(F72="","",IF(SUMIFS(Indices_long!$C:$C,Indices_long!$A:$A,E72,Indices_long!$B:$B,F72)=0,"",SUMIFS(Indices_long!$C:$C,Indices_long!$A:$A,E72,Indices_long!$B:$B,F72))))</f>
        <v/>
      </c>
      <c r="H72" s="17">
        <f>IF(AD72=0,"",IF(Baux!$P$7="Base fixe",Baux!$N$7,IF(K71="Geler – rattrapage possible",H71,F71)))</f>
        <v/>
      </c>
      <c r="I72" s="25">
        <f>IF(AD72=0,"",IF(H72="","",IF(SUMIFS(Indices_long!$C:$C,Indices_long!$A:$A,E72,Indices_long!$B:$B,H72)=0,"",SUMIFS(Indices_long!$C:$C,Indices_long!$A:$A,E72,Indices_long!$B:$B,H72))))</f>
        <v/>
      </c>
      <c r="J72" s="26">
        <f>IF(OR(G72="",I72=""),"",G72/I72)</f>
        <v/>
      </c>
      <c r="K72" s="13" t="n"/>
      <c r="L72" s="27">
        <f>IF(AD72=0,"",IF(Baux!$P$7="Base fixe",Baux!$I$7,N71))</f>
        <v/>
      </c>
      <c r="M72" s="27">
        <f>IF(OR(J72="",L72=""),"",ROUND(L72*J72,2))</f>
        <v/>
      </c>
      <c r="N72" s="27">
        <f>IF(AD72=0,"",IF(LEFT(K72,5)="Geler",O72,IF(M72="","",IF(Baux!$Q$7="",M72,MIN(M72,ROUND(L72*(1+Baux!$Q$7/100)^IF(Baux!$P$7="Base fixe",C72*Baux!$O$7,VALUE(LEFT(F72,4))-VALUE(LEFT(H72,4))),2))))))</f>
        <v/>
      </c>
      <c r="O72" s="27">
        <f>IF(AD72=0,"",N71)</f>
        <v/>
      </c>
      <c r="P72" s="28">
        <f>IF(OR(N72="",O72=""),"",N72/O72-1)</f>
        <v/>
      </c>
      <c r="Q72" s="27">
        <f>IF(N72="","",N72/12)</f>
        <v/>
      </c>
      <c r="R72" s="27">
        <f>IF(N72="","",N72/IF(Baux!$L$7="Mensuelle",12,IF(Baux!$L$7="Trimestrielle",4,IF(Baux!$L$7="Semestrielle",2,1))))</f>
        <v/>
      </c>
      <c r="S72" s="27">
        <f>IF(AD72=0,"",IF(Baux!$J$7="",0,Baux!$J$7)/IF(Baux!$L$7="Mensuelle",12,IF(Baux!$L$7="Trimestrielle",4,IF(Baux!$L$7="Semestrielle",2,1))))</f>
        <v/>
      </c>
      <c r="T72" s="27">
        <f>IF(R72="","",(R72+S72)*Baux!$K$7/100)</f>
        <v/>
      </c>
      <c r="U72" s="27">
        <f>IF(R72="","",R72+S72+T72)</f>
        <v/>
      </c>
      <c r="V72" s="17">
        <f>IF(AD72=0,"",IF(LEFT(K72,5)="Geler","❄ Gelée",IF(G72="",IF(D72&lt;=TODAY(),"⚠ Indice attendu","À venir"),IF(D72&lt;=TODAY(),"✔ Calculable","Indice connu – à venir"))))</f>
        <v/>
      </c>
      <c r="W72" s="29" t="n"/>
      <c r="X72" s="13" t="n"/>
      <c r="Y72" s="14" t="n"/>
      <c r="Z72" s="14" t="n"/>
      <c r="AA72" s="13" t="n"/>
      <c r="AB72" s="17">
        <f>IF(A72="","",A72&amp;"#"&amp;C72)</f>
        <v/>
      </c>
      <c r="AC72" s="17">
        <f>IF(AND(AD72=1,D72&lt;=TODAY(),N72&lt;&gt;""),1,0)</f>
        <v/>
      </c>
      <c r="AD72" s="17">
        <f>IF(OR(A72="",D72=""),0,IF(AND(ISNUMBER(Baux!$H$7),D72&gt;Baux!$H$7),0,1))</f>
        <v/>
      </c>
    </row>
    <row r="73">
      <c r="A73" s="17">
        <f>IF(Baux!$A$7="","",Baux!$A$7)</f>
        <v/>
      </c>
      <c r="B73" s="17">
        <f>IF(A73="","",Baux!$B$7)</f>
        <v/>
      </c>
      <c r="C73" s="17" t="n">
        <v>12</v>
      </c>
      <c r="D73" s="15">
        <f>IF(OR(A73="",Baux!$F$7="",Baux!$O$7=""),"",EDATE(Baux!$F$7,12*Baux!$O$7*C73))</f>
        <v/>
      </c>
      <c r="E73" s="17">
        <f>IF(AD73=0,"",Baux!$M$7)</f>
        <v/>
      </c>
      <c r="F73" s="17">
        <f>IF(AD73=0,"",IFERROR(TEXT(VALUE(LEFT(Baux!$N$7,4))+C73*Baux!$O$7,"0")&amp;RIGHT(Baux!$N$7,3),""))</f>
        <v/>
      </c>
      <c r="G73" s="25">
        <f>IF(AD73=0,"",IF(F73="","",IF(SUMIFS(Indices_long!$C:$C,Indices_long!$A:$A,E73,Indices_long!$B:$B,F73)=0,"",SUMIFS(Indices_long!$C:$C,Indices_long!$A:$A,E73,Indices_long!$B:$B,F73))))</f>
        <v/>
      </c>
      <c r="H73" s="17">
        <f>IF(AD73=0,"",IF(Baux!$P$7="Base fixe",Baux!$N$7,IF(K72="Geler – rattrapage possible",H72,F72)))</f>
        <v/>
      </c>
      <c r="I73" s="25">
        <f>IF(AD73=0,"",IF(H73="","",IF(SUMIFS(Indices_long!$C:$C,Indices_long!$A:$A,E73,Indices_long!$B:$B,H73)=0,"",SUMIFS(Indices_long!$C:$C,Indices_long!$A:$A,E73,Indices_long!$B:$B,H73))))</f>
        <v/>
      </c>
      <c r="J73" s="26">
        <f>IF(OR(G73="",I73=""),"",G73/I73)</f>
        <v/>
      </c>
      <c r="K73" s="13" t="n"/>
      <c r="L73" s="27">
        <f>IF(AD73=0,"",IF(Baux!$P$7="Base fixe",Baux!$I$7,N72))</f>
        <v/>
      </c>
      <c r="M73" s="27">
        <f>IF(OR(J73="",L73=""),"",ROUND(L73*J73,2))</f>
        <v/>
      </c>
      <c r="N73" s="27">
        <f>IF(AD73=0,"",IF(LEFT(K73,5)="Geler",O73,IF(M73="","",IF(Baux!$Q$7="",M73,MIN(M73,ROUND(L73*(1+Baux!$Q$7/100)^IF(Baux!$P$7="Base fixe",C73*Baux!$O$7,VALUE(LEFT(F73,4))-VALUE(LEFT(H73,4))),2))))))</f>
        <v/>
      </c>
      <c r="O73" s="27">
        <f>IF(AD73=0,"",N72)</f>
        <v/>
      </c>
      <c r="P73" s="28">
        <f>IF(OR(N73="",O73=""),"",N73/O73-1)</f>
        <v/>
      </c>
      <c r="Q73" s="27">
        <f>IF(N73="","",N73/12)</f>
        <v/>
      </c>
      <c r="R73" s="27">
        <f>IF(N73="","",N73/IF(Baux!$L$7="Mensuelle",12,IF(Baux!$L$7="Trimestrielle",4,IF(Baux!$L$7="Semestrielle",2,1))))</f>
        <v/>
      </c>
      <c r="S73" s="27">
        <f>IF(AD73=0,"",IF(Baux!$J$7="",0,Baux!$J$7)/IF(Baux!$L$7="Mensuelle",12,IF(Baux!$L$7="Trimestrielle",4,IF(Baux!$L$7="Semestrielle",2,1))))</f>
        <v/>
      </c>
      <c r="T73" s="27">
        <f>IF(R73="","",(R73+S73)*Baux!$K$7/100)</f>
        <v/>
      </c>
      <c r="U73" s="27">
        <f>IF(R73="","",R73+S73+T73)</f>
        <v/>
      </c>
      <c r="V73" s="17">
        <f>IF(AD73=0,"",IF(LEFT(K73,5)="Geler","❄ Gelée",IF(G73="",IF(D73&lt;=TODAY(),"⚠ Indice attendu","À venir"),IF(D73&lt;=TODAY(),"✔ Calculable","Indice connu – à venir"))))</f>
        <v/>
      </c>
      <c r="W73" s="29" t="n"/>
      <c r="X73" s="13" t="n"/>
      <c r="Y73" s="14" t="n"/>
      <c r="Z73" s="14" t="n"/>
      <c r="AA73" s="13" t="n"/>
      <c r="AB73" s="17">
        <f>IF(A73="","",A73&amp;"#"&amp;C73)</f>
        <v/>
      </c>
      <c r="AC73" s="17">
        <f>IF(AND(AD73=1,D73&lt;=TODAY(),N73&lt;&gt;""),1,0)</f>
        <v/>
      </c>
      <c r="AD73" s="17">
        <f>IF(OR(A73="",D73=""),0,IF(AND(ISNUMBER(Baux!$H$7),D73&gt;Baux!$H$7),0,1))</f>
        <v/>
      </c>
    </row>
    <row r="74">
      <c r="A74" s="17">
        <f>IF(Baux!$A$8="","",Baux!$A$8)</f>
        <v/>
      </c>
      <c r="B74" s="17">
        <f>IF(A74="","",Baux!$B$8)</f>
        <v/>
      </c>
      <c r="C74" s="17" t="n">
        <v>1</v>
      </c>
      <c r="D74" s="15">
        <f>IF(OR(A74="",Baux!$F$8="",Baux!$O$8=""),"",EDATE(Baux!$F$8,12*Baux!$O$8*C74))</f>
        <v/>
      </c>
      <c r="E74" s="17">
        <f>IF(AD74=0,"",Baux!$M$8)</f>
        <v/>
      </c>
      <c r="F74" s="17">
        <f>IF(AD74=0,"",IFERROR(TEXT(VALUE(LEFT(Baux!$N$8,4))+C74*Baux!$O$8,"0")&amp;RIGHT(Baux!$N$8,3),""))</f>
        <v/>
      </c>
      <c r="G74" s="25">
        <f>IF(AD74=0,"",IF(F74="","",IF(SUMIFS(Indices_long!$C:$C,Indices_long!$A:$A,E74,Indices_long!$B:$B,F74)=0,"",SUMIFS(Indices_long!$C:$C,Indices_long!$A:$A,E74,Indices_long!$B:$B,F74))))</f>
        <v/>
      </c>
      <c r="H74" s="17">
        <f>IF(AD74=0,"",Baux!$N$8)</f>
        <v/>
      </c>
      <c r="I74" s="25">
        <f>IF(AD74=0,"",IF(H74="","",IF(SUMIFS(Indices_long!$C:$C,Indices_long!$A:$A,E74,Indices_long!$B:$B,H74)=0,"",SUMIFS(Indices_long!$C:$C,Indices_long!$A:$A,E74,Indices_long!$B:$B,H74))))</f>
        <v/>
      </c>
      <c r="J74" s="26">
        <f>IF(OR(G74="",I74=""),"",G74/I74)</f>
        <v/>
      </c>
      <c r="K74" s="13" t="n"/>
      <c r="L74" s="27">
        <f>IF(AD74=0,"",Baux!$I$8)</f>
        <v/>
      </c>
      <c r="M74" s="27">
        <f>IF(OR(J74="",L74=""),"",ROUND(L74*J74,2))</f>
        <v/>
      </c>
      <c r="N74" s="27">
        <f>IF(AD74=0,"",IF(LEFT(K74,5)="Geler",O74,IF(M74="","",IF(Baux!$Q$8="",M74,MIN(M74,ROUND(L74*(1+Baux!$Q$8/100)^IF(Baux!$P$8="Base fixe",C74*Baux!$O$8,VALUE(LEFT(F74,4))-VALUE(LEFT(H74,4))),2))))))</f>
        <v/>
      </c>
      <c r="O74" s="27">
        <f>IF(AD74=0,"",Baux!$I$8)</f>
        <v/>
      </c>
      <c r="P74" s="28">
        <f>IF(OR(N74="",O74=""),"",N74/O74-1)</f>
        <v/>
      </c>
      <c r="Q74" s="27">
        <f>IF(N74="","",N74/12)</f>
        <v/>
      </c>
      <c r="R74" s="27">
        <f>IF(N74="","",N74/IF(Baux!$L$8="Mensuelle",12,IF(Baux!$L$8="Trimestrielle",4,IF(Baux!$L$8="Semestrielle",2,1))))</f>
        <v/>
      </c>
      <c r="S74" s="27">
        <f>IF(AD74=0,"",IF(Baux!$J$8="",0,Baux!$J$8)/IF(Baux!$L$8="Mensuelle",12,IF(Baux!$L$8="Trimestrielle",4,IF(Baux!$L$8="Semestrielle",2,1))))</f>
        <v/>
      </c>
      <c r="T74" s="27">
        <f>IF(R74="","",(R74+S74)*Baux!$K$8/100)</f>
        <v/>
      </c>
      <c r="U74" s="27">
        <f>IF(R74="","",R74+S74+T74)</f>
        <v/>
      </c>
      <c r="V74" s="17">
        <f>IF(AD74=0,"",IF(LEFT(K74,5)="Geler","❄ Gelée",IF(G74="",IF(D74&lt;=TODAY(),"⚠ Indice attendu","À venir"),IF(D74&lt;=TODAY(),"✔ Calculable","Indice connu – à venir"))))</f>
        <v/>
      </c>
      <c r="W74" s="29" t="n"/>
      <c r="X74" s="13" t="n"/>
      <c r="Y74" s="14" t="n"/>
      <c r="Z74" s="14" t="n"/>
      <c r="AA74" s="13" t="n"/>
      <c r="AB74" s="17">
        <f>IF(A74="","",A74&amp;"#"&amp;C74)</f>
        <v/>
      </c>
      <c r="AC74" s="17">
        <f>IF(AND(AD74=1,D74&lt;=TODAY(),N74&lt;&gt;""),1,0)</f>
        <v/>
      </c>
      <c r="AD74" s="17">
        <f>IF(OR(A74="",D74=""),0,IF(AND(ISNUMBER(Baux!$H$8),D74&gt;Baux!$H$8),0,1))</f>
        <v/>
      </c>
    </row>
    <row r="75">
      <c r="A75" s="17">
        <f>IF(Baux!$A$8="","",Baux!$A$8)</f>
        <v/>
      </c>
      <c r="B75" s="17">
        <f>IF(A75="","",Baux!$B$8)</f>
        <v/>
      </c>
      <c r="C75" s="17" t="n">
        <v>2</v>
      </c>
      <c r="D75" s="15">
        <f>IF(OR(A75="",Baux!$F$8="",Baux!$O$8=""),"",EDATE(Baux!$F$8,12*Baux!$O$8*C75))</f>
        <v/>
      </c>
      <c r="E75" s="17">
        <f>IF(AD75=0,"",Baux!$M$8)</f>
        <v/>
      </c>
      <c r="F75" s="17">
        <f>IF(AD75=0,"",IFERROR(TEXT(VALUE(LEFT(Baux!$N$8,4))+C75*Baux!$O$8,"0")&amp;RIGHT(Baux!$N$8,3),""))</f>
        <v/>
      </c>
      <c r="G75" s="25">
        <f>IF(AD75=0,"",IF(F75="","",IF(SUMIFS(Indices_long!$C:$C,Indices_long!$A:$A,E75,Indices_long!$B:$B,F75)=0,"",SUMIFS(Indices_long!$C:$C,Indices_long!$A:$A,E75,Indices_long!$B:$B,F75))))</f>
        <v/>
      </c>
      <c r="H75" s="17">
        <f>IF(AD75=0,"",IF(Baux!$P$8="Base fixe",Baux!$N$8,IF(K74="Geler – rattrapage possible",H74,F74)))</f>
        <v/>
      </c>
      <c r="I75" s="25">
        <f>IF(AD75=0,"",IF(H75="","",IF(SUMIFS(Indices_long!$C:$C,Indices_long!$A:$A,E75,Indices_long!$B:$B,H75)=0,"",SUMIFS(Indices_long!$C:$C,Indices_long!$A:$A,E75,Indices_long!$B:$B,H75))))</f>
        <v/>
      </c>
      <c r="J75" s="26">
        <f>IF(OR(G75="",I75=""),"",G75/I75)</f>
        <v/>
      </c>
      <c r="K75" s="13" t="n"/>
      <c r="L75" s="27">
        <f>IF(AD75=0,"",IF(Baux!$P$8="Base fixe",Baux!$I$8,N74))</f>
        <v/>
      </c>
      <c r="M75" s="27">
        <f>IF(OR(J75="",L75=""),"",ROUND(L75*J75,2))</f>
        <v/>
      </c>
      <c r="N75" s="27">
        <f>IF(AD75=0,"",IF(LEFT(K75,5)="Geler",O75,IF(M75="","",IF(Baux!$Q$8="",M75,MIN(M75,ROUND(L75*(1+Baux!$Q$8/100)^IF(Baux!$P$8="Base fixe",C75*Baux!$O$8,VALUE(LEFT(F75,4))-VALUE(LEFT(H75,4))),2))))))</f>
        <v/>
      </c>
      <c r="O75" s="27">
        <f>IF(AD75=0,"",N74)</f>
        <v/>
      </c>
      <c r="P75" s="28">
        <f>IF(OR(N75="",O75=""),"",N75/O75-1)</f>
        <v/>
      </c>
      <c r="Q75" s="27">
        <f>IF(N75="","",N75/12)</f>
        <v/>
      </c>
      <c r="R75" s="27">
        <f>IF(N75="","",N75/IF(Baux!$L$8="Mensuelle",12,IF(Baux!$L$8="Trimestrielle",4,IF(Baux!$L$8="Semestrielle",2,1))))</f>
        <v/>
      </c>
      <c r="S75" s="27">
        <f>IF(AD75=0,"",IF(Baux!$J$8="",0,Baux!$J$8)/IF(Baux!$L$8="Mensuelle",12,IF(Baux!$L$8="Trimestrielle",4,IF(Baux!$L$8="Semestrielle",2,1))))</f>
        <v/>
      </c>
      <c r="T75" s="27">
        <f>IF(R75="","",(R75+S75)*Baux!$K$8/100)</f>
        <v/>
      </c>
      <c r="U75" s="27">
        <f>IF(R75="","",R75+S75+T75)</f>
        <v/>
      </c>
      <c r="V75" s="17">
        <f>IF(AD75=0,"",IF(LEFT(K75,5)="Geler","❄ Gelée",IF(G75="",IF(D75&lt;=TODAY(),"⚠ Indice attendu","À venir"),IF(D75&lt;=TODAY(),"✔ Calculable","Indice connu – à venir"))))</f>
        <v/>
      </c>
      <c r="W75" s="29" t="n"/>
      <c r="X75" s="13" t="n"/>
      <c r="Y75" s="14" t="n"/>
      <c r="Z75" s="14" t="n"/>
      <c r="AA75" s="13" t="n"/>
      <c r="AB75" s="17">
        <f>IF(A75="","",A75&amp;"#"&amp;C75)</f>
        <v/>
      </c>
      <c r="AC75" s="17">
        <f>IF(AND(AD75=1,D75&lt;=TODAY(),N75&lt;&gt;""),1,0)</f>
        <v/>
      </c>
      <c r="AD75" s="17">
        <f>IF(OR(A75="",D75=""),0,IF(AND(ISNUMBER(Baux!$H$8),D75&gt;Baux!$H$8),0,1))</f>
        <v/>
      </c>
    </row>
    <row r="76">
      <c r="A76" s="17">
        <f>IF(Baux!$A$8="","",Baux!$A$8)</f>
        <v/>
      </c>
      <c r="B76" s="17">
        <f>IF(A76="","",Baux!$B$8)</f>
        <v/>
      </c>
      <c r="C76" s="17" t="n">
        <v>3</v>
      </c>
      <c r="D76" s="15">
        <f>IF(OR(A76="",Baux!$F$8="",Baux!$O$8=""),"",EDATE(Baux!$F$8,12*Baux!$O$8*C76))</f>
        <v/>
      </c>
      <c r="E76" s="17">
        <f>IF(AD76=0,"",Baux!$M$8)</f>
        <v/>
      </c>
      <c r="F76" s="17">
        <f>IF(AD76=0,"",IFERROR(TEXT(VALUE(LEFT(Baux!$N$8,4))+C76*Baux!$O$8,"0")&amp;RIGHT(Baux!$N$8,3),""))</f>
        <v/>
      </c>
      <c r="G76" s="25">
        <f>IF(AD76=0,"",IF(F76="","",IF(SUMIFS(Indices_long!$C:$C,Indices_long!$A:$A,E76,Indices_long!$B:$B,F76)=0,"",SUMIFS(Indices_long!$C:$C,Indices_long!$A:$A,E76,Indices_long!$B:$B,F76))))</f>
        <v/>
      </c>
      <c r="H76" s="17">
        <f>IF(AD76=0,"",IF(Baux!$P$8="Base fixe",Baux!$N$8,IF(K75="Geler – rattrapage possible",H75,F75)))</f>
        <v/>
      </c>
      <c r="I76" s="25">
        <f>IF(AD76=0,"",IF(H76="","",IF(SUMIFS(Indices_long!$C:$C,Indices_long!$A:$A,E76,Indices_long!$B:$B,H76)=0,"",SUMIFS(Indices_long!$C:$C,Indices_long!$A:$A,E76,Indices_long!$B:$B,H76))))</f>
        <v/>
      </c>
      <c r="J76" s="26">
        <f>IF(OR(G76="",I76=""),"",G76/I76)</f>
        <v/>
      </c>
      <c r="K76" s="13" t="n"/>
      <c r="L76" s="27">
        <f>IF(AD76=0,"",IF(Baux!$P$8="Base fixe",Baux!$I$8,N75))</f>
        <v/>
      </c>
      <c r="M76" s="27">
        <f>IF(OR(J76="",L76=""),"",ROUND(L76*J76,2))</f>
        <v/>
      </c>
      <c r="N76" s="27">
        <f>IF(AD76=0,"",IF(LEFT(K76,5)="Geler",O76,IF(M76="","",IF(Baux!$Q$8="",M76,MIN(M76,ROUND(L76*(1+Baux!$Q$8/100)^IF(Baux!$P$8="Base fixe",C76*Baux!$O$8,VALUE(LEFT(F76,4))-VALUE(LEFT(H76,4))),2))))))</f>
        <v/>
      </c>
      <c r="O76" s="27">
        <f>IF(AD76=0,"",N75)</f>
        <v/>
      </c>
      <c r="P76" s="28">
        <f>IF(OR(N76="",O76=""),"",N76/O76-1)</f>
        <v/>
      </c>
      <c r="Q76" s="27">
        <f>IF(N76="","",N76/12)</f>
        <v/>
      </c>
      <c r="R76" s="27">
        <f>IF(N76="","",N76/IF(Baux!$L$8="Mensuelle",12,IF(Baux!$L$8="Trimestrielle",4,IF(Baux!$L$8="Semestrielle",2,1))))</f>
        <v/>
      </c>
      <c r="S76" s="27">
        <f>IF(AD76=0,"",IF(Baux!$J$8="",0,Baux!$J$8)/IF(Baux!$L$8="Mensuelle",12,IF(Baux!$L$8="Trimestrielle",4,IF(Baux!$L$8="Semestrielle",2,1))))</f>
        <v/>
      </c>
      <c r="T76" s="27">
        <f>IF(R76="","",(R76+S76)*Baux!$K$8/100)</f>
        <v/>
      </c>
      <c r="U76" s="27">
        <f>IF(R76="","",R76+S76+T76)</f>
        <v/>
      </c>
      <c r="V76" s="17">
        <f>IF(AD76=0,"",IF(LEFT(K76,5)="Geler","❄ Gelée",IF(G76="",IF(D76&lt;=TODAY(),"⚠ Indice attendu","À venir"),IF(D76&lt;=TODAY(),"✔ Calculable","Indice connu – à venir"))))</f>
        <v/>
      </c>
      <c r="W76" s="29" t="n"/>
      <c r="X76" s="13" t="n"/>
      <c r="Y76" s="14" t="n"/>
      <c r="Z76" s="14" t="n"/>
      <c r="AA76" s="13" t="n"/>
      <c r="AB76" s="17">
        <f>IF(A76="","",A76&amp;"#"&amp;C76)</f>
        <v/>
      </c>
      <c r="AC76" s="17">
        <f>IF(AND(AD76=1,D76&lt;=TODAY(),N76&lt;&gt;""),1,0)</f>
        <v/>
      </c>
      <c r="AD76" s="17">
        <f>IF(OR(A76="",D76=""),0,IF(AND(ISNUMBER(Baux!$H$8),D76&gt;Baux!$H$8),0,1))</f>
        <v/>
      </c>
    </row>
    <row r="77">
      <c r="A77" s="17">
        <f>IF(Baux!$A$8="","",Baux!$A$8)</f>
        <v/>
      </c>
      <c r="B77" s="17">
        <f>IF(A77="","",Baux!$B$8)</f>
        <v/>
      </c>
      <c r="C77" s="17" t="n">
        <v>4</v>
      </c>
      <c r="D77" s="15">
        <f>IF(OR(A77="",Baux!$F$8="",Baux!$O$8=""),"",EDATE(Baux!$F$8,12*Baux!$O$8*C77))</f>
        <v/>
      </c>
      <c r="E77" s="17">
        <f>IF(AD77=0,"",Baux!$M$8)</f>
        <v/>
      </c>
      <c r="F77" s="17">
        <f>IF(AD77=0,"",IFERROR(TEXT(VALUE(LEFT(Baux!$N$8,4))+C77*Baux!$O$8,"0")&amp;RIGHT(Baux!$N$8,3),""))</f>
        <v/>
      </c>
      <c r="G77" s="25">
        <f>IF(AD77=0,"",IF(F77="","",IF(SUMIFS(Indices_long!$C:$C,Indices_long!$A:$A,E77,Indices_long!$B:$B,F77)=0,"",SUMIFS(Indices_long!$C:$C,Indices_long!$A:$A,E77,Indices_long!$B:$B,F77))))</f>
        <v/>
      </c>
      <c r="H77" s="17">
        <f>IF(AD77=0,"",IF(Baux!$P$8="Base fixe",Baux!$N$8,IF(K76="Geler – rattrapage possible",H76,F76)))</f>
        <v/>
      </c>
      <c r="I77" s="25">
        <f>IF(AD77=0,"",IF(H77="","",IF(SUMIFS(Indices_long!$C:$C,Indices_long!$A:$A,E77,Indices_long!$B:$B,H77)=0,"",SUMIFS(Indices_long!$C:$C,Indices_long!$A:$A,E77,Indices_long!$B:$B,H77))))</f>
        <v/>
      </c>
      <c r="J77" s="26">
        <f>IF(OR(G77="",I77=""),"",G77/I77)</f>
        <v/>
      </c>
      <c r="K77" s="13" t="n"/>
      <c r="L77" s="27">
        <f>IF(AD77=0,"",IF(Baux!$P$8="Base fixe",Baux!$I$8,N76))</f>
        <v/>
      </c>
      <c r="M77" s="27">
        <f>IF(OR(J77="",L77=""),"",ROUND(L77*J77,2))</f>
        <v/>
      </c>
      <c r="N77" s="27">
        <f>IF(AD77=0,"",IF(LEFT(K77,5)="Geler",O77,IF(M77="","",IF(Baux!$Q$8="",M77,MIN(M77,ROUND(L77*(1+Baux!$Q$8/100)^IF(Baux!$P$8="Base fixe",C77*Baux!$O$8,VALUE(LEFT(F77,4))-VALUE(LEFT(H77,4))),2))))))</f>
        <v/>
      </c>
      <c r="O77" s="27">
        <f>IF(AD77=0,"",N76)</f>
        <v/>
      </c>
      <c r="P77" s="28">
        <f>IF(OR(N77="",O77=""),"",N77/O77-1)</f>
        <v/>
      </c>
      <c r="Q77" s="27">
        <f>IF(N77="","",N77/12)</f>
        <v/>
      </c>
      <c r="R77" s="27">
        <f>IF(N77="","",N77/IF(Baux!$L$8="Mensuelle",12,IF(Baux!$L$8="Trimestrielle",4,IF(Baux!$L$8="Semestrielle",2,1))))</f>
        <v/>
      </c>
      <c r="S77" s="27">
        <f>IF(AD77=0,"",IF(Baux!$J$8="",0,Baux!$J$8)/IF(Baux!$L$8="Mensuelle",12,IF(Baux!$L$8="Trimestrielle",4,IF(Baux!$L$8="Semestrielle",2,1))))</f>
        <v/>
      </c>
      <c r="T77" s="27">
        <f>IF(R77="","",(R77+S77)*Baux!$K$8/100)</f>
        <v/>
      </c>
      <c r="U77" s="27">
        <f>IF(R77="","",R77+S77+T77)</f>
        <v/>
      </c>
      <c r="V77" s="17">
        <f>IF(AD77=0,"",IF(LEFT(K77,5)="Geler","❄ Gelée",IF(G77="",IF(D77&lt;=TODAY(),"⚠ Indice attendu","À venir"),IF(D77&lt;=TODAY(),"✔ Calculable","Indice connu – à venir"))))</f>
        <v/>
      </c>
      <c r="W77" s="29" t="n"/>
      <c r="X77" s="13" t="n"/>
      <c r="Y77" s="14" t="n"/>
      <c r="Z77" s="14" t="n"/>
      <c r="AA77" s="13" t="n"/>
      <c r="AB77" s="17">
        <f>IF(A77="","",A77&amp;"#"&amp;C77)</f>
        <v/>
      </c>
      <c r="AC77" s="17">
        <f>IF(AND(AD77=1,D77&lt;=TODAY(),N77&lt;&gt;""),1,0)</f>
        <v/>
      </c>
      <c r="AD77" s="17">
        <f>IF(OR(A77="",D77=""),0,IF(AND(ISNUMBER(Baux!$H$8),D77&gt;Baux!$H$8),0,1))</f>
        <v/>
      </c>
    </row>
    <row r="78">
      <c r="A78" s="17">
        <f>IF(Baux!$A$8="","",Baux!$A$8)</f>
        <v/>
      </c>
      <c r="B78" s="17">
        <f>IF(A78="","",Baux!$B$8)</f>
        <v/>
      </c>
      <c r="C78" s="17" t="n">
        <v>5</v>
      </c>
      <c r="D78" s="15">
        <f>IF(OR(A78="",Baux!$F$8="",Baux!$O$8=""),"",EDATE(Baux!$F$8,12*Baux!$O$8*C78))</f>
        <v/>
      </c>
      <c r="E78" s="17">
        <f>IF(AD78=0,"",Baux!$M$8)</f>
        <v/>
      </c>
      <c r="F78" s="17">
        <f>IF(AD78=0,"",IFERROR(TEXT(VALUE(LEFT(Baux!$N$8,4))+C78*Baux!$O$8,"0")&amp;RIGHT(Baux!$N$8,3),""))</f>
        <v/>
      </c>
      <c r="G78" s="25">
        <f>IF(AD78=0,"",IF(F78="","",IF(SUMIFS(Indices_long!$C:$C,Indices_long!$A:$A,E78,Indices_long!$B:$B,F78)=0,"",SUMIFS(Indices_long!$C:$C,Indices_long!$A:$A,E78,Indices_long!$B:$B,F78))))</f>
        <v/>
      </c>
      <c r="H78" s="17">
        <f>IF(AD78=0,"",IF(Baux!$P$8="Base fixe",Baux!$N$8,IF(K77="Geler – rattrapage possible",H77,F77)))</f>
        <v/>
      </c>
      <c r="I78" s="25">
        <f>IF(AD78=0,"",IF(H78="","",IF(SUMIFS(Indices_long!$C:$C,Indices_long!$A:$A,E78,Indices_long!$B:$B,H78)=0,"",SUMIFS(Indices_long!$C:$C,Indices_long!$A:$A,E78,Indices_long!$B:$B,H78))))</f>
        <v/>
      </c>
      <c r="J78" s="26">
        <f>IF(OR(G78="",I78=""),"",G78/I78)</f>
        <v/>
      </c>
      <c r="K78" s="13" t="n"/>
      <c r="L78" s="27">
        <f>IF(AD78=0,"",IF(Baux!$P$8="Base fixe",Baux!$I$8,N77))</f>
        <v/>
      </c>
      <c r="M78" s="27">
        <f>IF(OR(J78="",L78=""),"",ROUND(L78*J78,2))</f>
        <v/>
      </c>
      <c r="N78" s="27">
        <f>IF(AD78=0,"",IF(LEFT(K78,5)="Geler",O78,IF(M78="","",IF(Baux!$Q$8="",M78,MIN(M78,ROUND(L78*(1+Baux!$Q$8/100)^IF(Baux!$P$8="Base fixe",C78*Baux!$O$8,VALUE(LEFT(F78,4))-VALUE(LEFT(H78,4))),2))))))</f>
        <v/>
      </c>
      <c r="O78" s="27">
        <f>IF(AD78=0,"",N77)</f>
        <v/>
      </c>
      <c r="P78" s="28">
        <f>IF(OR(N78="",O78=""),"",N78/O78-1)</f>
        <v/>
      </c>
      <c r="Q78" s="27">
        <f>IF(N78="","",N78/12)</f>
        <v/>
      </c>
      <c r="R78" s="27">
        <f>IF(N78="","",N78/IF(Baux!$L$8="Mensuelle",12,IF(Baux!$L$8="Trimestrielle",4,IF(Baux!$L$8="Semestrielle",2,1))))</f>
        <v/>
      </c>
      <c r="S78" s="27">
        <f>IF(AD78=0,"",IF(Baux!$J$8="",0,Baux!$J$8)/IF(Baux!$L$8="Mensuelle",12,IF(Baux!$L$8="Trimestrielle",4,IF(Baux!$L$8="Semestrielle",2,1))))</f>
        <v/>
      </c>
      <c r="T78" s="27">
        <f>IF(R78="","",(R78+S78)*Baux!$K$8/100)</f>
        <v/>
      </c>
      <c r="U78" s="27">
        <f>IF(R78="","",R78+S78+T78)</f>
        <v/>
      </c>
      <c r="V78" s="17">
        <f>IF(AD78=0,"",IF(LEFT(K78,5)="Geler","❄ Gelée",IF(G78="",IF(D78&lt;=TODAY(),"⚠ Indice attendu","À venir"),IF(D78&lt;=TODAY(),"✔ Calculable","Indice connu – à venir"))))</f>
        <v/>
      </c>
      <c r="W78" s="29" t="n"/>
      <c r="X78" s="13" t="n"/>
      <c r="Y78" s="14" t="n"/>
      <c r="Z78" s="14" t="n"/>
      <c r="AA78" s="13" t="n"/>
      <c r="AB78" s="17">
        <f>IF(A78="","",A78&amp;"#"&amp;C78)</f>
        <v/>
      </c>
      <c r="AC78" s="17">
        <f>IF(AND(AD78=1,D78&lt;=TODAY(),N78&lt;&gt;""),1,0)</f>
        <v/>
      </c>
      <c r="AD78" s="17">
        <f>IF(OR(A78="",D78=""),0,IF(AND(ISNUMBER(Baux!$H$8),D78&gt;Baux!$H$8),0,1))</f>
        <v/>
      </c>
    </row>
    <row r="79">
      <c r="A79" s="17">
        <f>IF(Baux!$A$8="","",Baux!$A$8)</f>
        <v/>
      </c>
      <c r="B79" s="17">
        <f>IF(A79="","",Baux!$B$8)</f>
        <v/>
      </c>
      <c r="C79" s="17" t="n">
        <v>6</v>
      </c>
      <c r="D79" s="15">
        <f>IF(OR(A79="",Baux!$F$8="",Baux!$O$8=""),"",EDATE(Baux!$F$8,12*Baux!$O$8*C79))</f>
        <v/>
      </c>
      <c r="E79" s="17">
        <f>IF(AD79=0,"",Baux!$M$8)</f>
        <v/>
      </c>
      <c r="F79" s="17">
        <f>IF(AD79=0,"",IFERROR(TEXT(VALUE(LEFT(Baux!$N$8,4))+C79*Baux!$O$8,"0")&amp;RIGHT(Baux!$N$8,3),""))</f>
        <v/>
      </c>
      <c r="G79" s="25">
        <f>IF(AD79=0,"",IF(F79="","",IF(SUMIFS(Indices_long!$C:$C,Indices_long!$A:$A,E79,Indices_long!$B:$B,F79)=0,"",SUMIFS(Indices_long!$C:$C,Indices_long!$A:$A,E79,Indices_long!$B:$B,F79))))</f>
        <v/>
      </c>
      <c r="H79" s="17">
        <f>IF(AD79=0,"",IF(Baux!$P$8="Base fixe",Baux!$N$8,IF(K78="Geler – rattrapage possible",H78,F78)))</f>
        <v/>
      </c>
      <c r="I79" s="25">
        <f>IF(AD79=0,"",IF(H79="","",IF(SUMIFS(Indices_long!$C:$C,Indices_long!$A:$A,E79,Indices_long!$B:$B,H79)=0,"",SUMIFS(Indices_long!$C:$C,Indices_long!$A:$A,E79,Indices_long!$B:$B,H79))))</f>
        <v/>
      </c>
      <c r="J79" s="26">
        <f>IF(OR(G79="",I79=""),"",G79/I79)</f>
        <v/>
      </c>
      <c r="K79" s="13" t="n"/>
      <c r="L79" s="27">
        <f>IF(AD79=0,"",IF(Baux!$P$8="Base fixe",Baux!$I$8,N78))</f>
        <v/>
      </c>
      <c r="M79" s="27">
        <f>IF(OR(J79="",L79=""),"",ROUND(L79*J79,2))</f>
        <v/>
      </c>
      <c r="N79" s="27">
        <f>IF(AD79=0,"",IF(LEFT(K79,5)="Geler",O79,IF(M79="","",IF(Baux!$Q$8="",M79,MIN(M79,ROUND(L79*(1+Baux!$Q$8/100)^IF(Baux!$P$8="Base fixe",C79*Baux!$O$8,VALUE(LEFT(F79,4))-VALUE(LEFT(H79,4))),2))))))</f>
        <v/>
      </c>
      <c r="O79" s="27">
        <f>IF(AD79=0,"",N78)</f>
        <v/>
      </c>
      <c r="P79" s="28">
        <f>IF(OR(N79="",O79=""),"",N79/O79-1)</f>
        <v/>
      </c>
      <c r="Q79" s="27">
        <f>IF(N79="","",N79/12)</f>
        <v/>
      </c>
      <c r="R79" s="27">
        <f>IF(N79="","",N79/IF(Baux!$L$8="Mensuelle",12,IF(Baux!$L$8="Trimestrielle",4,IF(Baux!$L$8="Semestrielle",2,1))))</f>
        <v/>
      </c>
      <c r="S79" s="27">
        <f>IF(AD79=0,"",IF(Baux!$J$8="",0,Baux!$J$8)/IF(Baux!$L$8="Mensuelle",12,IF(Baux!$L$8="Trimestrielle",4,IF(Baux!$L$8="Semestrielle",2,1))))</f>
        <v/>
      </c>
      <c r="T79" s="27">
        <f>IF(R79="","",(R79+S79)*Baux!$K$8/100)</f>
        <v/>
      </c>
      <c r="U79" s="27">
        <f>IF(R79="","",R79+S79+T79)</f>
        <v/>
      </c>
      <c r="V79" s="17">
        <f>IF(AD79=0,"",IF(LEFT(K79,5)="Geler","❄ Gelée",IF(G79="",IF(D79&lt;=TODAY(),"⚠ Indice attendu","À venir"),IF(D79&lt;=TODAY(),"✔ Calculable","Indice connu – à venir"))))</f>
        <v/>
      </c>
      <c r="W79" s="29" t="n"/>
      <c r="X79" s="13" t="n"/>
      <c r="Y79" s="14" t="n"/>
      <c r="Z79" s="14" t="n"/>
      <c r="AA79" s="13" t="n"/>
      <c r="AB79" s="17">
        <f>IF(A79="","",A79&amp;"#"&amp;C79)</f>
        <v/>
      </c>
      <c r="AC79" s="17">
        <f>IF(AND(AD79=1,D79&lt;=TODAY(),N79&lt;&gt;""),1,0)</f>
        <v/>
      </c>
      <c r="AD79" s="17">
        <f>IF(OR(A79="",D79=""),0,IF(AND(ISNUMBER(Baux!$H$8),D79&gt;Baux!$H$8),0,1))</f>
        <v/>
      </c>
    </row>
    <row r="80">
      <c r="A80" s="17">
        <f>IF(Baux!$A$8="","",Baux!$A$8)</f>
        <v/>
      </c>
      <c r="B80" s="17">
        <f>IF(A80="","",Baux!$B$8)</f>
        <v/>
      </c>
      <c r="C80" s="17" t="n">
        <v>7</v>
      </c>
      <c r="D80" s="15">
        <f>IF(OR(A80="",Baux!$F$8="",Baux!$O$8=""),"",EDATE(Baux!$F$8,12*Baux!$O$8*C80))</f>
        <v/>
      </c>
      <c r="E80" s="17">
        <f>IF(AD80=0,"",Baux!$M$8)</f>
        <v/>
      </c>
      <c r="F80" s="17">
        <f>IF(AD80=0,"",IFERROR(TEXT(VALUE(LEFT(Baux!$N$8,4))+C80*Baux!$O$8,"0")&amp;RIGHT(Baux!$N$8,3),""))</f>
        <v/>
      </c>
      <c r="G80" s="25">
        <f>IF(AD80=0,"",IF(F80="","",IF(SUMIFS(Indices_long!$C:$C,Indices_long!$A:$A,E80,Indices_long!$B:$B,F80)=0,"",SUMIFS(Indices_long!$C:$C,Indices_long!$A:$A,E80,Indices_long!$B:$B,F80))))</f>
        <v/>
      </c>
      <c r="H80" s="17">
        <f>IF(AD80=0,"",IF(Baux!$P$8="Base fixe",Baux!$N$8,IF(K79="Geler – rattrapage possible",H79,F79)))</f>
        <v/>
      </c>
      <c r="I80" s="25">
        <f>IF(AD80=0,"",IF(H80="","",IF(SUMIFS(Indices_long!$C:$C,Indices_long!$A:$A,E80,Indices_long!$B:$B,H80)=0,"",SUMIFS(Indices_long!$C:$C,Indices_long!$A:$A,E80,Indices_long!$B:$B,H80))))</f>
        <v/>
      </c>
      <c r="J80" s="26">
        <f>IF(OR(G80="",I80=""),"",G80/I80)</f>
        <v/>
      </c>
      <c r="K80" s="13" t="n"/>
      <c r="L80" s="27">
        <f>IF(AD80=0,"",IF(Baux!$P$8="Base fixe",Baux!$I$8,N79))</f>
        <v/>
      </c>
      <c r="M80" s="27">
        <f>IF(OR(J80="",L80=""),"",ROUND(L80*J80,2))</f>
        <v/>
      </c>
      <c r="N80" s="27">
        <f>IF(AD80=0,"",IF(LEFT(K80,5)="Geler",O80,IF(M80="","",IF(Baux!$Q$8="",M80,MIN(M80,ROUND(L80*(1+Baux!$Q$8/100)^IF(Baux!$P$8="Base fixe",C80*Baux!$O$8,VALUE(LEFT(F80,4))-VALUE(LEFT(H80,4))),2))))))</f>
        <v/>
      </c>
      <c r="O80" s="27">
        <f>IF(AD80=0,"",N79)</f>
        <v/>
      </c>
      <c r="P80" s="28">
        <f>IF(OR(N80="",O80=""),"",N80/O80-1)</f>
        <v/>
      </c>
      <c r="Q80" s="27">
        <f>IF(N80="","",N80/12)</f>
        <v/>
      </c>
      <c r="R80" s="27">
        <f>IF(N80="","",N80/IF(Baux!$L$8="Mensuelle",12,IF(Baux!$L$8="Trimestrielle",4,IF(Baux!$L$8="Semestrielle",2,1))))</f>
        <v/>
      </c>
      <c r="S80" s="27">
        <f>IF(AD80=0,"",IF(Baux!$J$8="",0,Baux!$J$8)/IF(Baux!$L$8="Mensuelle",12,IF(Baux!$L$8="Trimestrielle",4,IF(Baux!$L$8="Semestrielle",2,1))))</f>
        <v/>
      </c>
      <c r="T80" s="27">
        <f>IF(R80="","",(R80+S80)*Baux!$K$8/100)</f>
        <v/>
      </c>
      <c r="U80" s="27">
        <f>IF(R80="","",R80+S80+T80)</f>
        <v/>
      </c>
      <c r="V80" s="17">
        <f>IF(AD80=0,"",IF(LEFT(K80,5)="Geler","❄ Gelée",IF(G80="",IF(D80&lt;=TODAY(),"⚠ Indice attendu","À venir"),IF(D80&lt;=TODAY(),"✔ Calculable","Indice connu – à venir"))))</f>
        <v/>
      </c>
      <c r="W80" s="29" t="n"/>
      <c r="X80" s="13" t="n"/>
      <c r="Y80" s="14" t="n"/>
      <c r="Z80" s="14" t="n"/>
      <c r="AA80" s="13" t="n"/>
      <c r="AB80" s="17">
        <f>IF(A80="","",A80&amp;"#"&amp;C80)</f>
        <v/>
      </c>
      <c r="AC80" s="17">
        <f>IF(AND(AD80=1,D80&lt;=TODAY(),N80&lt;&gt;""),1,0)</f>
        <v/>
      </c>
      <c r="AD80" s="17">
        <f>IF(OR(A80="",D80=""),0,IF(AND(ISNUMBER(Baux!$H$8),D80&gt;Baux!$H$8),0,1))</f>
        <v/>
      </c>
    </row>
    <row r="81">
      <c r="A81" s="17">
        <f>IF(Baux!$A$8="","",Baux!$A$8)</f>
        <v/>
      </c>
      <c r="B81" s="17">
        <f>IF(A81="","",Baux!$B$8)</f>
        <v/>
      </c>
      <c r="C81" s="17" t="n">
        <v>8</v>
      </c>
      <c r="D81" s="15">
        <f>IF(OR(A81="",Baux!$F$8="",Baux!$O$8=""),"",EDATE(Baux!$F$8,12*Baux!$O$8*C81))</f>
        <v/>
      </c>
      <c r="E81" s="17">
        <f>IF(AD81=0,"",Baux!$M$8)</f>
        <v/>
      </c>
      <c r="F81" s="17">
        <f>IF(AD81=0,"",IFERROR(TEXT(VALUE(LEFT(Baux!$N$8,4))+C81*Baux!$O$8,"0")&amp;RIGHT(Baux!$N$8,3),""))</f>
        <v/>
      </c>
      <c r="G81" s="25">
        <f>IF(AD81=0,"",IF(F81="","",IF(SUMIFS(Indices_long!$C:$C,Indices_long!$A:$A,E81,Indices_long!$B:$B,F81)=0,"",SUMIFS(Indices_long!$C:$C,Indices_long!$A:$A,E81,Indices_long!$B:$B,F81))))</f>
        <v/>
      </c>
      <c r="H81" s="17">
        <f>IF(AD81=0,"",IF(Baux!$P$8="Base fixe",Baux!$N$8,IF(K80="Geler – rattrapage possible",H80,F80)))</f>
        <v/>
      </c>
      <c r="I81" s="25">
        <f>IF(AD81=0,"",IF(H81="","",IF(SUMIFS(Indices_long!$C:$C,Indices_long!$A:$A,E81,Indices_long!$B:$B,H81)=0,"",SUMIFS(Indices_long!$C:$C,Indices_long!$A:$A,E81,Indices_long!$B:$B,H81))))</f>
        <v/>
      </c>
      <c r="J81" s="26">
        <f>IF(OR(G81="",I81=""),"",G81/I81)</f>
        <v/>
      </c>
      <c r="K81" s="13" t="n"/>
      <c r="L81" s="27">
        <f>IF(AD81=0,"",IF(Baux!$P$8="Base fixe",Baux!$I$8,N80))</f>
        <v/>
      </c>
      <c r="M81" s="27">
        <f>IF(OR(J81="",L81=""),"",ROUND(L81*J81,2))</f>
        <v/>
      </c>
      <c r="N81" s="27">
        <f>IF(AD81=0,"",IF(LEFT(K81,5)="Geler",O81,IF(M81="","",IF(Baux!$Q$8="",M81,MIN(M81,ROUND(L81*(1+Baux!$Q$8/100)^IF(Baux!$P$8="Base fixe",C81*Baux!$O$8,VALUE(LEFT(F81,4))-VALUE(LEFT(H81,4))),2))))))</f>
        <v/>
      </c>
      <c r="O81" s="27">
        <f>IF(AD81=0,"",N80)</f>
        <v/>
      </c>
      <c r="P81" s="28">
        <f>IF(OR(N81="",O81=""),"",N81/O81-1)</f>
        <v/>
      </c>
      <c r="Q81" s="27">
        <f>IF(N81="","",N81/12)</f>
        <v/>
      </c>
      <c r="R81" s="27">
        <f>IF(N81="","",N81/IF(Baux!$L$8="Mensuelle",12,IF(Baux!$L$8="Trimestrielle",4,IF(Baux!$L$8="Semestrielle",2,1))))</f>
        <v/>
      </c>
      <c r="S81" s="27">
        <f>IF(AD81=0,"",IF(Baux!$J$8="",0,Baux!$J$8)/IF(Baux!$L$8="Mensuelle",12,IF(Baux!$L$8="Trimestrielle",4,IF(Baux!$L$8="Semestrielle",2,1))))</f>
        <v/>
      </c>
      <c r="T81" s="27">
        <f>IF(R81="","",(R81+S81)*Baux!$K$8/100)</f>
        <v/>
      </c>
      <c r="U81" s="27">
        <f>IF(R81="","",R81+S81+T81)</f>
        <v/>
      </c>
      <c r="V81" s="17">
        <f>IF(AD81=0,"",IF(LEFT(K81,5)="Geler","❄ Gelée",IF(G81="",IF(D81&lt;=TODAY(),"⚠ Indice attendu","À venir"),IF(D81&lt;=TODAY(),"✔ Calculable","Indice connu – à venir"))))</f>
        <v/>
      </c>
      <c r="W81" s="29" t="n"/>
      <c r="X81" s="13" t="n"/>
      <c r="Y81" s="14" t="n"/>
      <c r="Z81" s="14" t="n"/>
      <c r="AA81" s="13" t="n"/>
      <c r="AB81" s="17">
        <f>IF(A81="","",A81&amp;"#"&amp;C81)</f>
        <v/>
      </c>
      <c r="AC81" s="17">
        <f>IF(AND(AD81=1,D81&lt;=TODAY(),N81&lt;&gt;""),1,0)</f>
        <v/>
      </c>
      <c r="AD81" s="17">
        <f>IF(OR(A81="",D81=""),0,IF(AND(ISNUMBER(Baux!$H$8),D81&gt;Baux!$H$8),0,1))</f>
        <v/>
      </c>
    </row>
    <row r="82">
      <c r="A82" s="17">
        <f>IF(Baux!$A$8="","",Baux!$A$8)</f>
        <v/>
      </c>
      <c r="B82" s="17">
        <f>IF(A82="","",Baux!$B$8)</f>
        <v/>
      </c>
      <c r="C82" s="17" t="n">
        <v>9</v>
      </c>
      <c r="D82" s="15">
        <f>IF(OR(A82="",Baux!$F$8="",Baux!$O$8=""),"",EDATE(Baux!$F$8,12*Baux!$O$8*C82))</f>
        <v/>
      </c>
      <c r="E82" s="17">
        <f>IF(AD82=0,"",Baux!$M$8)</f>
        <v/>
      </c>
      <c r="F82" s="17">
        <f>IF(AD82=0,"",IFERROR(TEXT(VALUE(LEFT(Baux!$N$8,4))+C82*Baux!$O$8,"0")&amp;RIGHT(Baux!$N$8,3),""))</f>
        <v/>
      </c>
      <c r="G82" s="25">
        <f>IF(AD82=0,"",IF(F82="","",IF(SUMIFS(Indices_long!$C:$C,Indices_long!$A:$A,E82,Indices_long!$B:$B,F82)=0,"",SUMIFS(Indices_long!$C:$C,Indices_long!$A:$A,E82,Indices_long!$B:$B,F82))))</f>
        <v/>
      </c>
      <c r="H82" s="17">
        <f>IF(AD82=0,"",IF(Baux!$P$8="Base fixe",Baux!$N$8,IF(K81="Geler – rattrapage possible",H81,F81)))</f>
        <v/>
      </c>
      <c r="I82" s="25">
        <f>IF(AD82=0,"",IF(H82="","",IF(SUMIFS(Indices_long!$C:$C,Indices_long!$A:$A,E82,Indices_long!$B:$B,H82)=0,"",SUMIFS(Indices_long!$C:$C,Indices_long!$A:$A,E82,Indices_long!$B:$B,H82))))</f>
        <v/>
      </c>
      <c r="J82" s="26">
        <f>IF(OR(G82="",I82=""),"",G82/I82)</f>
        <v/>
      </c>
      <c r="K82" s="13" t="n"/>
      <c r="L82" s="27">
        <f>IF(AD82=0,"",IF(Baux!$P$8="Base fixe",Baux!$I$8,N81))</f>
        <v/>
      </c>
      <c r="M82" s="27">
        <f>IF(OR(J82="",L82=""),"",ROUND(L82*J82,2))</f>
        <v/>
      </c>
      <c r="N82" s="27">
        <f>IF(AD82=0,"",IF(LEFT(K82,5)="Geler",O82,IF(M82="","",IF(Baux!$Q$8="",M82,MIN(M82,ROUND(L82*(1+Baux!$Q$8/100)^IF(Baux!$P$8="Base fixe",C82*Baux!$O$8,VALUE(LEFT(F82,4))-VALUE(LEFT(H82,4))),2))))))</f>
        <v/>
      </c>
      <c r="O82" s="27">
        <f>IF(AD82=0,"",N81)</f>
        <v/>
      </c>
      <c r="P82" s="28">
        <f>IF(OR(N82="",O82=""),"",N82/O82-1)</f>
        <v/>
      </c>
      <c r="Q82" s="27">
        <f>IF(N82="","",N82/12)</f>
        <v/>
      </c>
      <c r="R82" s="27">
        <f>IF(N82="","",N82/IF(Baux!$L$8="Mensuelle",12,IF(Baux!$L$8="Trimestrielle",4,IF(Baux!$L$8="Semestrielle",2,1))))</f>
        <v/>
      </c>
      <c r="S82" s="27">
        <f>IF(AD82=0,"",IF(Baux!$J$8="",0,Baux!$J$8)/IF(Baux!$L$8="Mensuelle",12,IF(Baux!$L$8="Trimestrielle",4,IF(Baux!$L$8="Semestrielle",2,1))))</f>
        <v/>
      </c>
      <c r="T82" s="27">
        <f>IF(R82="","",(R82+S82)*Baux!$K$8/100)</f>
        <v/>
      </c>
      <c r="U82" s="27">
        <f>IF(R82="","",R82+S82+T82)</f>
        <v/>
      </c>
      <c r="V82" s="17">
        <f>IF(AD82=0,"",IF(LEFT(K82,5)="Geler","❄ Gelée",IF(G82="",IF(D82&lt;=TODAY(),"⚠ Indice attendu","À venir"),IF(D82&lt;=TODAY(),"✔ Calculable","Indice connu – à venir"))))</f>
        <v/>
      </c>
      <c r="W82" s="29" t="n"/>
      <c r="X82" s="13" t="n"/>
      <c r="Y82" s="14" t="n"/>
      <c r="Z82" s="14" t="n"/>
      <c r="AA82" s="13" t="n"/>
      <c r="AB82" s="17">
        <f>IF(A82="","",A82&amp;"#"&amp;C82)</f>
        <v/>
      </c>
      <c r="AC82" s="17">
        <f>IF(AND(AD82=1,D82&lt;=TODAY(),N82&lt;&gt;""),1,0)</f>
        <v/>
      </c>
      <c r="AD82" s="17">
        <f>IF(OR(A82="",D82=""),0,IF(AND(ISNUMBER(Baux!$H$8),D82&gt;Baux!$H$8),0,1))</f>
        <v/>
      </c>
    </row>
    <row r="83">
      <c r="A83" s="17">
        <f>IF(Baux!$A$8="","",Baux!$A$8)</f>
        <v/>
      </c>
      <c r="B83" s="17">
        <f>IF(A83="","",Baux!$B$8)</f>
        <v/>
      </c>
      <c r="C83" s="17" t="n">
        <v>10</v>
      </c>
      <c r="D83" s="15">
        <f>IF(OR(A83="",Baux!$F$8="",Baux!$O$8=""),"",EDATE(Baux!$F$8,12*Baux!$O$8*C83))</f>
        <v/>
      </c>
      <c r="E83" s="17">
        <f>IF(AD83=0,"",Baux!$M$8)</f>
        <v/>
      </c>
      <c r="F83" s="17">
        <f>IF(AD83=0,"",IFERROR(TEXT(VALUE(LEFT(Baux!$N$8,4))+C83*Baux!$O$8,"0")&amp;RIGHT(Baux!$N$8,3),""))</f>
        <v/>
      </c>
      <c r="G83" s="25">
        <f>IF(AD83=0,"",IF(F83="","",IF(SUMIFS(Indices_long!$C:$C,Indices_long!$A:$A,E83,Indices_long!$B:$B,F83)=0,"",SUMIFS(Indices_long!$C:$C,Indices_long!$A:$A,E83,Indices_long!$B:$B,F83))))</f>
        <v/>
      </c>
      <c r="H83" s="17">
        <f>IF(AD83=0,"",IF(Baux!$P$8="Base fixe",Baux!$N$8,IF(K82="Geler – rattrapage possible",H82,F82)))</f>
        <v/>
      </c>
      <c r="I83" s="25">
        <f>IF(AD83=0,"",IF(H83="","",IF(SUMIFS(Indices_long!$C:$C,Indices_long!$A:$A,E83,Indices_long!$B:$B,H83)=0,"",SUMIFS(Indices_long!$C:$C,Indices_long!$A:$A,E83,Indices_long!$B:$B,H83))))</f>
        <v/>
      </c>
      <c r="J83" s="26">
        <f>IF(OR(G83="",I83=""),"",G83/I83)</f>
        <v/>
      </c>
      <c r="K83" s="13" t="n"/>
      <c r="L83" s="27">
        <f>IF(AD83=0,"",IF(Baux!$P$8="Base fixe",Baux!$I$8,N82))</f>
        <v/>
      </c>
      <c r="M83" s="27">
        <f>IF(OR(J83="",L83=""),"",ROUND(L83*J83,2))</f>
        <v/>
      </c>
      <c r="N83" s="27">
        <f>IF(AD83=0,"",IF(LEFT(K83,5)="Geler",O83,IF(M83="","",IF(Baux!$Q$8="",M83,MIN(M83,ROUND(L83*(1+Baux!$Q$8/100)^IF(Baux!$P$8="Base fixe",C83*Baux!$O$8,VALUE(LEFT(F83,4))-VALUE(LEFT(H83,4))),2))))))</f>
        <v/>
      </c>
      <c r="O83" s="27">
        <f>IF(AD83=0,"",N82)</f>
        <v/>
      </c>
      <c r="P83" s="28">
        <f>IF(OR(N83="",O83=""),"",N83/O83-1)</f>
        <v/>
      </c>
      <c r="Q83" s="27">
        <f>IF(N83="","",N83/12)</f>
        <v/>
      </c>
      <c r="R83" s="27">
        <f>IF(N83="","",N83/IF(Baux!$L$8="Mensuelle",12,IF(Baux!$L$8="Trimestrielle",4,IF(Baux!$L$8="Semestrielle",2,1))))</f>
        <v/>
      </c>
      <c r="S83" s="27">
        <f>IF(AD83=0,"",IF(Baux!$J$8="",0,Baux!$J$8)/IF(Baux!$L$8="Mensuelle",12,IF(Baux!$L$8="Trimestrielle",4,IF(Baux!$L$8="Semestrielle",2,1))))</f>
        <v/>
      </c>
      <c r="T83" s="27">
        <f>IF(R83="","",(R83+S83)*Baux!$K$8/100)</f>
        <v/>
      </c>
      <c r="U83" s="27">
        <f>IF(R83="","",R83+S83+T83)</f>
        <v/>
      </c>
      <c r="V83" s="17">
        <f>IF(AD83=0,"",IF(LEFT(K83,5)="Geler","❄ Gelée",IF(G83="",IF(D83&lt;=TODAY(),"⚠ Indice attendu","À venir"),IF(D83&lt;=TODAY(),"✔ Calculable","Indice connu – à venir"))))</f>
        <v/>
      </c>
      <c r="W83" s="29" t="n"/>
      <c r="X83" s="13" t="n"/>
      <c r="Y83" s="14" t="n"/>
      <c r="Z83" s="14" t="n"/>
      <c r="AA83" s="13" t="n"/>
      <c r="AB83" s="17">
        <f>IF(A83="","",A83&amp;"#"&amp;C83)</f>
        <v/>
      </c>
      <c r="AC83" s="17">
        <f>IF(AND(AD83=1,D83&lt;=TODAY(),N83&lt;&gt;""),1,0)</f>
        <v/>
      </c>
      <c r="AD83" s="17">
        <f>IF(OR(A83="",D83=""),0,IF(AND(ISNUMBER(Baux!$H$8),D83&gt;Baux!$H$8),0,1))</f>
        <v/>
      </c>
    </row>
    <row r="84">
      <c r="A84" s="17">
        <f>IF(Baux!$A$8="","",Baux!$A$8)</f>
        <v/>
      </c>
      <c r="B84" s="17">
        <f>IF(A84="","",Baux!$B$8)</f>
        <v/>
      </c>
      <c r="C84" s="17" t="n">
        <v>11</v>
      </c>
      <c r="D84" s="15">
        <f>IF(OR(A84="",Baux!$F$8="",Baux!$O$8=""),"",EDATE(Baux!$F$8,12*Baux!$O$8*C84))</f>
        <v/>
      </c>
      <c r="E84" s="17">
        <f>IF(AD84=0,"",Baux!$M$8)</f>
        <v/>
      </c>
      <c r="F84" s="17">
        <f>IF(AD84=0,"",IFERROR(TEXT(VALUE(LEFT(Baux!$N$8,4))+C84*Baux!$O$8,"0")&amp;RIGHT(Baux!$N$8,3),""))</f>
        <v/>
      </c>
      <c r="G84" s="25">
        <f>IF(AD84=0,"",IF(F84="","",IF(SUMIFS(Indices_long!$C:$C,Indices_long!$A:$A,E84,Indices_long!$B:$B,F84)=0,"",SUMIFS(Indices_long!$C:$C,Indices_long!$A:$A,E84,Indices_long!$B:$B,F84))))</f>
        <v/>
      </c>
      <c r="H84" s="17">
        <f>IF(AD84=0,"",IF(Baux!$P$8="Base fixe",Baux!$N$8,IF(K83="Geler – rattrapage possible",H83,F83)))</f>
        <v/>
      </c>
      <c r="I84" s="25">
        <f>IF(AD84=0,"",IF(H84="","",IF(SUMIFS(Indices_long!$C:$C,Indices_long!$A:$A,E84,Indices_long!$B:$B,H84)=0,"",SUMIFS(Indices_long!$C:$C,Indices_long!$A:$A,E84,Indices_long!$B:$B,H84))))</f>
        <v/>
      </c>
      <c r="J84" s="26">
        <f>IF(OR(G84="",I84=""),"",G84/I84)</f>
        <v/>
      </c>
      <c r="K84" s="13" t="n"/>
      <c r="L84" s="27">
        <f>IF(AD84=0,"",IF(Baux!$P$8="Base fixe",Baux!$I$8,N83))</f>
        <v/>
      </c>
      <c r="M84" s="27">
        <f>IF(OR(J84="",L84=""),"",ROUND(L84*J84,2))</f>
        <v/>
      </c>
      <c r="N84" s="27">
        <f>IF(AD84=0,"",IF(LEFT(K84,5)="Geler",O84,IF(M84="","",IF(Baux!$Q$8="",M84,MIN(M84,ROUND(L84*(1+Baux!$Q$8/100)^IF(Baux!$P$8="Base fixe",C84*Baux!$O$8,VALUE(LEFT(F84,4))-VALUE(LEFT(H84,4))),2))))))</f>
        <v/>
      </c>
      <c r="O84" s="27">
        <f>IF(AD84=0,"",N83)</f>
        <v/>
      </c>
      <c r="P84" s="28">
        <f>IF(OR(N84="",O84=""),"",N84/O84-1)</f>
        <v/>
      </c>
      <c r="Q84" s="27">
        <f>IF(N84="","",N84/12)</f>
        <v/>
      </c>
      <c r="R84" s="27">
        <f>IF(N84="","",N84/IF(Baux!$L$8="Mensuelle",12,IF(Baux!$L$8="Trimestrielle",4,IF(Baux!$L$8="Semestrielle",2,1))))</f>
        <v/>
      </c>
      <c r="S84" s="27">
        <f>IF(AD84=0,"",IF(Baux!$J$8="",0,Baux!$J$8)/IF(Baux!$L$8="Mensuelle",12,IF(Baux!$L$8="Trimestrielle",4,IF(Baux!$L$8="Semestrielle",2,1))))</f>
        <v/>
      </c>
      <c r="T84" s="27">
        <f>IF(R84="","",(R84+S84)*Baux!$K$8/100)</f>
        <v/>
      </c>
      <c r="U84" s="27">
        <f>IF(R84="","",R84+S84+T84)</f>
        <v/>
      </c>
      <c r="V84" s="17">
        <f>IF(AD84=0,"",IF(LEFT(K84,5)="Geler","❄ Gelée",IF(G84="",IF(D84&lt;=TODAY(),"⚠ Indice attendu","À venir"),IF(D84&lt;=TODAY(),"✔ Calculable","Indice connu – à venir"))))</f>
        <v/>
      </c>
      <c r="W84" s="29" t="n"/>
      <c r="X84" s="13" t="n"/>
      <c r="Y84" s="14" t="n"/>
      <c r="Z84" s="14" t="n"/>
      <c r="AA84" s="13" t="n"/>
      <c r="AB84" s="17">
        <f>IF(A84="","",A84&amp;"#"&amp;C84)</f>
        <v/>
      </c>
      <c r="AC84" s="17">
        <f>IF(AND(AD84=1,D84&lt;=TODAY(),N84&lt;&gt;""),1,0)</f>
        <v/>
      </c>
      <c r="AD84" s="17">
        <f>IF(OR(A84="",D84=""),0,IF(AND(ISNUMBER(Baux!$H$8),D84&gt;Baux!$H$8),0,1))</f>
        <v/>
      </c>
    </row>
    <row r="85">
      <c r="A85" s="17">
        <f>IF(Baux!$A$8="","",Baux!$A$8)</f>
        <v/>
      </c>
      <c r="B85" s="17">
        <f>IF(A85="","",Baux!$B$8)</f>
        <v/>
      </c>
      <c r="C85" s="17" t="n">
        <v>12</v>
      </c>
      <c r="D85" s="15">
        <f>IF(OR(A85="",Baux!$F$8="",Baux!$O$8=""),"",EDATE(Baux!$F$8,12*Baux!$O$8*C85))</f>
        <v/>
      </c>
      <c r="E85" s="17">
        <f>IF(AD85=0,"",Baux!$M$8)</f>
        <v/>
      </c>
      <c r="F85" s="17">
        <f>IF(AD85=0,"",IFERROR(TEXT(VALUE(LEFT(Baux!$N$8,4))+C85*Baux!$O$8,"0")&amp;RIGHT(Baux!$N$8,3),""))</f>
        <v/>
      </c>
      <c r="G85" s="25">
        <f>IF(AD85=0,"",IF(F85="","",IF(SUMIFS(Indices_long!$C:$C,Indices_long!$A:$A,E85,Indices_long!$B:$B,F85)=0,"",SUMIFS(Indices_long!$C:$C,Indices_long!$A:$A,E85,Indices_long!$B:$B,F85))))</f>
        <v/>
      </c>
      <c r="H85" s="17">
        <f>IF(AD85=0,"",IF(Baux!$P$8="Base fixe",Baux!$N$8,IF(K84="Geler – rattrapage possible",H84,F84)))</f>
        <v/>
      </c>
      <c r="I85" s="25">
        <f>IF(AD85=0,"",IF(H85="","",IF(SUMIFS(Indices_long!$C:$C,Indices_long!$A:$A,E85,Indices_long!$B:$B,H85)=0,"",SUMIFS(Indices_long!$C:$C,Indices_long!$A:$A,E85,Indices_long!$B:$B,H85))))</f>
        <v/>
      </c>
      <c r="J85" s="26">
        <f>IF(OR(G85="",I85=""),"",G85/I85)</f>
        <v/>
      </c>
      <c r="K85" s="13" t="n"/>
      <c r="L85" s="27">
        <f>IF(AD85=0,"",IF(Baux!$P$8="Base fixe",Baux!$I$8,N84))</f>
        <v/>
      </c>
      <c r="M85" s="27">
        <f>IF(OR(J85="",L85=""),"",ROUND(L85*J85,2))</f>
        <v/>
      </c>
      <c r="N85" s="27">
        <f>IF(AD85=0,"",IF(LEFT(K85,5)="Geler",O85,IF(M85="","",IF(Baux!$Q$8="",M85,MIN(M85,ROUND(L85*(1+Baux!$Q$8/100)^IF(Baux!$P$8="Base fixe",C85*Baux!$O$8,VALUE(LEFT(F85,4))-VALUE(LEFT(H85,4))),2))))))</f>
        <v/>
      </c>
      <c r="O85" s="27">
        <f>IF(AD85=0,"",N84)</f>
        <v/>
      </c>
      <c r="P85" s="28">
        <f>IF(OR(N85="",O85=""),"",N85/O85-1)</f>
        <v/>
      </c>
      <c r="Q85" s="27">
        <f>IF(N85="","",N85/12)</f>
        <v/>
      </c>
      <c r="R85" s="27">
        <f>IF(N85="","",N85/IF(Baux!$L$8="Mensuelle",12,IF(Baux!$L$8="Trimestrielle",4,IF(Baux!$L$8="Semestrielle",2,1))))</f>
        <v/>
      </c>
      <c r="S85" s="27">
        <f>IF(AD85=0,"",IF(Baux!$J$8="",0,Baux!$J$8)/IF(Baux!$L$8="Mensuelle",12,IF(Baux!$L$8="Trimestrielle",4,IF(Baux!$L$8="Semestrielle",2,1))))</f>
        <v/>
      </c>
      <c r="T85" s="27">
        <f>IF(R85="","",(R85+S85)*Baux!$K$8/100)</f>
        <v/>
      </c>
      <c r="U85" s="27">
        <f>IF(R85="","",R85+S85+T85)</f>
        <v/>
      </c>
      <c r="V85" s="17">
        <f>IF(AD85=0,"",IF(LEFT(K85,5)="Geler","❄ Gelée",IF(G85="",IF(D85&lt;=TODAY(),"⚠ Indice attendu","À venir"),IF(D85&lt;=TODAY(),"✔ Calculable","Indice connu – à venir"))))</f>
        <v/>
      </c>
      <c r="W85" s="29" t="n"/>
      <c r="X85" s="13" t="n"/>
      <c r="Y85" s="14" t="n"/>
      <c r="Z85" s="14" t="n"/>
      <c r="AA85" s="13" t="n"/>
      <c r="AB85" s="17">
        <f>IF(A85="","",A85&amp;"#"&amp;C85)</f>
        <v/>
      </c>
      <c r="AC85" s="17">
        <f>IF(AND(AD85=1,D85&lt;=TODAY(),N85&lt;&gt;""),1,0)</f>
        <v/>
      </c>
      <c r="AD85" s="17">
        <f>IF(OR(A85="",D85=""),0,IF(AND(ISNUMBER(Baux!$H$8),D85&gt;Baux!$H$8),0,1))</f>
        <v/>
      </c>
    </row>
    <row r="86">
      <c r="A86" s="17">
        <f>IF(Baux!$A$9="","",Baux!$A$9)</f>
        <v/>
      </c>
      <c r="B86" s="17">
        <f>IF(A86="","",Baux!$B$9)</f>
        <v/>
      </c>
      <c r="C86" s="17" t="n">
        <v>1</v>
      </c>
      <c r="D86" s="15">
        <f>IF(OR(A86="",Baux!$F$9="",Baux!$O$9=""),"",EDATE(Baux!$F$9,12*Baux!$O$9*C86))</f>
        <v/>
      </c>
      <c r="E86" s="17">
        <f>IF(AD86=0,"",Baux!$M$9)</f>
        <v/>
      </c>
      <c r="F86" s="17">
        <f>IF(AD86=0,"",IFERROR(TEXT(VALUE(LEFT(Baux!$N$9,4))+C86*Baux!$O$9,"0")&amp;RIGHT(Baux!$N$9,3),""))</f>
        <v/>
      </c>
      <c r="G86" s="25">
        <f>IF(AD86=0,"",IF(F86="","",IF(SUMIFS(Indices_long!$C:$C,Indices_long!$A:$A,E86,Indices_long!$B:$B,F86)=0,"",SUMIFS(Indices_long!$C:$C,Indices_long!$A:$A,E86,Indices_long!$B:$B,F86))))</f>
        <v/>
      </c>
      <c r="H86" s="17">
        <f>IF(AD86=0,"",Baux!$N$9)</f>
        <v/>
      </c>
      <c r="I86" s="25">
        <f>IF(AD86=0,"",IF(H86="","",IF(SUMIFS(Indices_long!$C:$C,Indices_long!$A:$A,E86,Indices_long!$B:$B,H86)=0,"",SUMIFS(Indices_long!$C:$C,Indices_long!$A:$A,E86,Indices_long!$B:$B,H86))))</f>
        <v/>
      </c>
      <c r="J86" s="26">
        <f>IF(OR(G86="",I86=""),"",G86/I86)</f>
        <v/>
      </c>
      <c r="K86" s="13" t="n"/>
      <c r="L86" s="27">
        <f>IF(AD86=0,"",Baux!$I$9)</f>
        <v/>
      </c>
      <c r="M86" s="27">
        <f>IF(OR(J86="",L86=""),"",ROUND(L86*J86,2))</f>
        <v/>
      </c>
      <c r="N86" s="27">
        <f>IF(AD86=0,"",IF(LEFT(K86,5)="Geler",O86,IF(M86="","",IF(Baux!$Q$9="",M86,MIN(M86,ROUND(L86*(1+Baux!$Q$9/100)^IF(Baux!$P$9="Base fixe",C86*Baux!$O$9,VALUE(LEFT(F86,4))-VALUE(LEFT(H86,4))),2))))))</f>
        <v/>
      </c>
      <c r="O86" s="27">
        <f>IF(AD86=0,"",Baux!$I$9)</f>
        <v/>
      </c>
      <c r="P86" s="28">
        <f>IF(OR(N86="",O86=""),"",N86/O86-1)</f>
        <v/>
      </c>
      <c r="Q86" s="27">
        <f>IF(N86="","",N86/12)</f>
        <v/>
      </c>
      <c r="R86" s="27">
        <f>IF(N86="","",N86/IF(Baux!$L$9="Mensuelle",12,IF(Baux!$L$9="Trimestrielle",4,IF(Baux!$L$9="Semestrielle",2,1))))</f>
        <v/>
      </c>
      <c r="S86" s="27">
        <f>IF(AD86=0,"",IF(Baux!$J$9="",0,Baux!$J$9)/IF(Baux!$L$9="Mensuelle",12,IF(Baux!$L$9="Trimestrielle",4,IF(Baux!$L$9="Semestrielle",2,1))))</f>
        <v/>
      </c>
      <c r="T86" s="27">
        <f>IF(R86="","",(R86+S86)*Baux!$K$9/100)</f>
        <v/>
      </c>
      <c r="U86" s="27">
        <f>IF(R86="","",R86+S86+T86)</f>
        <v/>
      </c>
      <c r="V86" s="17">
        <f>IF(AD86=0,"",IF(LEFT(K86,5)="Geler","❄ Gelée",IF(G86="",IF(D86&lt;=TODAY(),"⚠ Indice attendu","À venir"),IF(D86&lt;=TODAY(),"✔ Calculable","Indice connu – à venir"))))</f>
        <v/>
      </c>
      <c r="W86" s="29" t="n"/>
      <c r="X86" s="13" t="n"/>
      <c r="Y86" s="14" t="n"/>
      <c r="Z86" s="14" t="n"/>
      <c r="AA86" s="13" t="n"/>
      <c r="AB86" s="17">
        <f>IF(A86="","",A86&amp;"#"&amp;C86)</f>
        <v/>
      </c>
      <c r="AC86" s="17">
        <f>IF(AND(AD86=1,D86&lt;=TODAY(),N86&lt;&gt;""),1,0)</f>
        <v/>
      </c>
      <c r="AD86" s="17">
        <f>IF(OR(A86="",D86=""),0,IF(AND(ISNUMBER(Baux!$H$9),D86&gt;Baux!$H$9),0,1))</f>
        <v/>
      </c>
    </row>
    <row r="87">
      <c r="A87" s="17">
        <f>IF(Baux!$A$9="","",Baux!$A$9)</f>
        <v/>
      </c>
      <c r="B87" s="17">
        <f>IF(A87="","",Baux!$B$9)</f>
        <v/>
      </c>
      <c r="C87" s="17" t="n">
        <v>2</v>
      </c>
      <c r="D87" s="15">
        <f>IF(OR(A87="",Baux!$F$9="",Baux!$O$9=""),"",EDATE(Baux!$F$9,12*Baux!$O$9*C87))</f>
        <v/>
      </c>
      <c r="E87" s="17">
        <f>IF(AD87=0,"",Baux!$M$9)</f>
        <v/>
      </c>
      <c r="F87" s="17">
        <f>IF(AD87=0,"",IFERROR(TEXT(VALUE(LEFT(Baux!$N$9,4))+C87*Baux!$O$9,"0")&amp;RIGHT(Baux!$N$9,3),""))</f>
        <v/>
      </c>
      <c r="G87" s="25">
        <f>IF(AD87=0,"",IF(F87="","",IF(SUMIFS(Indices_long!$C:$C,Indices_long!$A:$A,E87,Indices_long!$B:$B,F87)=0,"",SUMIFS(Indices_long!$C:$C,Indices_long!$A:$A,E87,Indices_long!$B:$B,F87))))</f>
        <v/>
      </c>
      <c r="H87" s="17">
        <f>IF(AD87=0,"",IF(Baux!$P$9="Base fixe",Baux!$N$9,IF(K86="Geler – rattrapage possible",H86,F86)))</f>
        <v/>
      </c>
      <c r="I87" s="25">
        <f>IF(AD87=0,"",IF(H87="","",IF(SUMIFS(Indices_long!$C:$C,Indices_long!$A:$A,E87,Indices_long!$B:$B,H87)=0,"",SUMIFS(Indices_long!$C:$C,Indices_long!$A:$A,E87,Indices_long!$B:$B,H87))))</f>
        <v/>
      </c>
      <c r="J87" s="26">
        <f>IF(OR(G87="",I87=""),"",G87/I87)</f>
        <v/>
      </c>
      <c r="K87" s="13" t="n"/>
      <c r="L87" s="27">
        <f>IF(AD87=0,"",IF(Baux!$P$9="Base fixe",Baux!$I$9,N86))</f>
        <v/>
      </c>
      <c r="M87" s="27">
        <f>IF(OR(J87="",L87=""),"",ROUND(L87*J87,2))</f>
        <v/>
      </c>
      <c r="N87" s="27">
        <f>IF(AD87=0,"",IF(LEFT(K87,5)="Geler",O87,IF(M87="","",IF(Baux!$Q$9="",M87,MIN(M87,ROUND(L87*(1+Baux!$Q$9/100)^IF(Baux!$P$9="Base fixe",C87*Baux!$O$9,VALUE(LEFT(F87,4))-VALUE(LEFT(H87,4))),2))))))</f>
        <v/>
      </c>
      <c r="O87" s="27">
        <f>IF(AD87=0,"",N86)</f>
        <v/>
      </c>
      <c r="P87" s="28">
        <f>IF(OR(N87="",O87=""),"",N87/O87-1)</f>
        <v/>
      </c>
      <c r="Q87" s="27">
        <f>IF(N87="","",N87/12)</f>
        <v/>
      </c>
      <c r="R87" s="27">
        <f>IF(N87="","",N87/IF(Baux!$L$9="Mensuelle",12,IF(Baux!$L$9="Trimestrielle",4,IF(Baux!$L$9="Semestrielle",2,1))))</f>
        <v/>
      </c>
      <c r="S87" s="27">
        <f>IF(AD87=0,"",IF(Baux!$J$9="",0,Baux!$J$9)/IF(Baux!$L$9="Mensuelle",12,IF(Baux!$L$9="Trimestrielle",4,IF(Baux!$L$9="Semestrielle",2,1))))</f>
        <v/>
      </c>
      <c r="T87" s="27">
        <f>IF(R87="","",(R87+S87)*Baux!$K$9/100)</f>
        <v/>
      </c>
      <c r="U87" s="27">
        <f>IF(R87="","",R87+S87+T87)</f>
        <v/>
      </c>
      <c r="V87" s="17">
        <f>IF(AD87=0,"",IF(LEFT(K87,5)="Geler","❄ Gelée",IF(G87="",IF(D87&lt;=TODAY(),"⚠ Indice attendu","À venir"),IF(D87&lt;=TODAY(),"✔ Calculable","Indice connu – à venir"))))</f>
        <v/>
      </c>
      <c r="W87" s="29" t="n"/>
      <c r="X87" s="13" t="n"/>
      <c r="Y87" s="14" t="n"/>
      <c r="Z87" s="14" t="n"/>
      <c r="AA87" s="13" t="n"/>
      <c r="AB87" s="17">
        <f>IF(A87="","",A87&amp;"#"&amp;C87)</f>
        <v/>
      </c>
      <c r="AC87" s="17">
        <f>IF(AND(AD87=1,D87&lt;=TODAY(),N87&lt;&gt;""),1,0)</f>
        <v/>
      </c>
      <c r="AD87" s="17">
        <f>IF(OR(A87="",D87=""),0,IF(AND(ISNUMBER(Baux!$H$9),D87&gt;Baux!$H$9),0,1))</f>
        <v/>
      </c>
    </row>
    <row r="88">
      <c r="A88" s="17">
        <f>IF(Baux!$A$9="","",Baux!$A$9)</f>
        <v/>
      </c>
      <c r="B88" s="17">
        <f>IF(A88="","",Baux!$B$9)</f>
        <v/>
      </c>
      <c r="C88" s="17" t="n">
        <v>3</v>
      </c>
      <c r="D88" s="15">
        <f>IF(OR(A88="",Baux!$F$9="",Baux!$O$9=""),"",EDATE(Baux!$F$9,12*Baux!$O$9*C88))</f>
        <v/>
      </c>
      <c r="E88" s="17">
        <f>IF(AD88=0,"",Baux!$M$9)</f>
        <v/>
      </c>
      <c r="F88" s="17">
        <f>IF(AD88=0,"",IFERROR(TEXT(VALUE(LEFT(Baux!$N$9,4))+C88*Baux!$O$9,"0")&amp;RIGHT(Baux!$N$9,3),""))</f>
        <v/>
      </c>
      <c r="G88" s="25">
        <f>IF(AD88=0,"",IF(F88="","",IF(SUMIFS(Indices_long!$C:$C,Indices_long!$A:$A,E88,Indices_long!$B:$B,F88)=0,"",SUMIFS(Indices_long!$C:$C,Indices_long!$A:$A,E88,Indices_long!$B:$B,F88))))</f>
        <v/>
      </c>
      <c r="H88" s="17">
        <f>IF(AD88=0,"",IF(Baux!$P$9="Base fixe",Baux!$N$9,IF(K87="Geler – rattrapage possible",H87,F87)))</f>
        <v/>
      </c>
      <c r="I88" s="25">
        <f>IF(AD88=0,"",IF(H88="","",IF(SUMIFS(Indices_long!$C:$C,Indices_long!$A:$A,E88,Indices_long!$B:$B,H88)=0,"",SUMIFS(Indices_long!$C:$C,Indices_long!$A:$A,E88,Indices_long!$B:$B,H88))))</f>
        <v/>
      </c>
      <c r="J88" s="26">
        <f>IF(OR(G88="",I88=""),"",G88/I88)</f>
        <v/>
      </c>
      <c r="K88" s="13" t="n"/>
      <c r="L88" s="27">
        <f>IF(AD88=0,"",IF(Baux!$P$9="Base fixe",Baux!$I$9,N87))</f>
        <v/>
      </c>
      <c r="M88" s="27">
        <f>IF(OR(J88="",L88=""),"",ROUND(L88*J88,2))</f>
        <v/>
      </c>
      <c r="N88" s="27">
        <f>IF(AD88=0,"",IF(LEFT(K88,5)="Geler",O88,IF(M88="","",IF(Baux!$Q$9="",M88,MIN(M88,ROUND(L88*(1+Baux!$Q$9/100)^IF(Baux!$P$9="Base fixe",C88*Baux!$O$9,VALUE(LEFT(F88,4))-VALUE(LEFT(H88,4))),2))))))</f>
        <v/>
      </c>
      <c r="O88" s="27">
        <f>IF(AD88=0,"",N87)</f>
        <v/>
      </c>
      <c r="P88" s="28">
        <f>IF(OR(N88="",O88=""),"",N88/O88-1)</f>
        <v/>
      </c>
      <c r="Q88" s="27">
        <f>IF(N88="","",N88/12)</f>
        <v/>
      </c>
      <c r="R88" s="27">
        <f>IF(N88="","",N88/IF(Baux!$L$9="Mensuelle",12,IF(Baux!$L$9="Trimestrielle",4,IF(Baux!$L$9="Semestrielle",2,1))))</f>
        <v/>
      </c>
      <c r="S88" s="27">
        <f>IF(AD88=0,"",IF(Baux!$J$9="",0,Baux!$J$9)/IF(Baux!$L$9="Mensuelle",12,IF(Baux!$L$9="Trimestrielle",4,IF(Baux!$L$9="Semestrielle",2,1))))</f>
        <v/>
      </c>
      <c r="T88" s="27">
        <f>IF(R88="","",(R88+S88)*Baux!$K$9/100)</f>
        <v/>
      </c>
      <c r="U88" s="27">
        <f>IF(R88="","",R88+S88+T88)</f>
        <v/>
      </c>
      <c r="V88" s="17">
        <f>IF(AD88=0,"",IF(LEFT(K88,5)="Geler","❄ Gelée",IF(G88="",IF(D88&lt;=TODAY(),"⚠ Indice attendu","À venir"),IF(D88&lt;=TODAY(),"✔ Calculable","Indice connu – à venir"))))</f>
        <v/>
      </c>
      <c r="W88" s="29" t="n"/>
      <c r="X88" s="13" t="n"/>
      <c r="Y88" s="14" t="n"/>
      <c r="Z88" s="14" t="n"/>
      <c r="AA88" s="13" t="n"/>
      <c r="AB88" s="17">
        <f>IF(A88="","",A88&amp;"#"&amp;C88)</f>
        <v/>
      </c>
      <c r="AC88" s="17">
        <f>IF(AND(AD88=1,D88&lt;=TODAY(),N88&lt;&gt;""),1,0)</f>
        <v/>
      </c>
      <c r="AD88" s="17">
        <f>IF(OR(A88="",D88=""),0,IF(AND(ISNUMBER(Baux!$H$9),D88&gt;Baux!$H$9),0,1))</f>
        <v/>
      </c>
    </row>
    <row r="89">
      <c r="A89" s="17">
        <f>IF(Baux!$A$9="","",Baux!$A$9)</f>
        <v/>
      </c>
      <c r="B89" s="17">
        <f>IF(A89="","",Baux!$B$9)</f>
        <v/>
      </c>
      <c r="C89" s="17" t="n">
        <v>4</v>
      </c>
      <c r="D89" s="15">
        <f>IF(OR(A89="",Baux!$F$9="",Baux!$O$9=""),"",EDATE(Baux!$F$9,12*Baux!$O$9*C89))</f>
        <v/>
      </c>
      <c r="E89" s="17">
        <f>IF(AD89=0,"",Baux!$M$9)</f>
        <v/>
      </c>
      <c r="F89" s="17">
        <f>IF(AD89=0,"",IFERROR(TEXT(VALUE(LEFT(Baux!$N$9,4))+C89*Baux!$O$9,"0")&amp;RIGHT(Baux!$N$9,3),""))</f>
        <v/>
      </c>
      <c r="G89" s="25">
        <f>IF(AD89=0,"",IF(F89="","",IF(SUMIFS(Indices_long!$C:$C,Indices_long!$A:$A,E89,Indices_long!$B:$B,F89)=0,"",SUMIFS(Indices_long!$C:$C,Indices_long!$A:$A,E89,Indices_long!$B:$B,F89))))</f>
        <v/>
      </c>
      <c r="H89" s="17">
        <f>IF(AD89=0,"",IF(Baux!$P$9="Base fixe",Baux!$N$9,IF(K88="Geler – rattrapage possible",H88,F88)))</f>
        <v/>
      </c>
      <c r="I89" s="25">
        <f>IF(AD89=0,"",IF(H89="","",IF(SUMIFS(Indices_long!$C:$C,Indices_long!$A:$A,E89,Indices_long!$B:$B,H89)=0,"",SUMIFS(Indices_long!$C:$C,Indices_long!$A:$A,E89,Indices_long!$B:$B,H89))))</f>
        <v/>
      </c>
      <c r="J89" s="26">
        <f>IF(OR(G89="",I89=""),"",G89/I89)</f>
        <v/>
      </c>
      <c r="K89" s="13" t="n"/>
      <c r="L89" s="27">
        <f>IF(AD89=0,"",IF(Baux!$P$9="Base fixe",Baux!$I$9,N88))</f>
        <v/>
      </c>
      <c r="M89" s="27">
        <f>IF(OR(J89="",L89=""),"",ROUND(L89*J89,2))</f>
        <v/>
      </c>
      <c r="N89" s="27">
        <f>IF(AD89=0,"",IF(LEFT(K89,5)="Geler",O89,IF(M89="","",IF(Baux!$Q$9="",M89,MIN(M89,ROUND(L89*(1+Baux!$Q$9/100)^IF(Baux!$P$9="Base fixe",C89*Baux!$O$9,VALUE(LEFT(F89,4))-VALUE(LEFT(H89,4))),2))))))</f>
        <v/>
      </c>
      <c r="O89" s="27">
        <f>IF(AD89=0,"",N88)</f>
        <v/>
      </c>
      <c r="P89" s="28">
        <f>IF(OR(N89="",O89=""),"",N89/O89-1)</f>
        <v/>
      </c>
      <c r="Q89" s="27">
        <f>IF(N89="","",N89/12)</f>
        <v/>
      </c>
      <c r="R89" s="27">
        <f>IF(N89="","",N89/IF(Baux!$L$9="Mensuelle",12,IF(Baux!$L$9="Trimestrielle",4,IF(Baux!$L$9="Semestrielle",2,1))))</f>
        <v/>
      </c>
      <c r="S89" s="27">
        <f>IF(AD89=0,"",IF(Baux!$J$9="",0,Baux!$J$9)/IF(Baux!$L$9="Mensuelle",12,IF(Baux!$L$9="Trimestrielle",4,IF(Baux!$L$9="Semestrielle",2,1))))</f>
        <v/>
      </c>
      <c r="T89" s="27">
        <f>IF(R89="","",(R89+S89)*Baux!$K$9/100)</f>
        <v/>
      </c>
      <c r="U89" s="27">
        <f>IF(R89="","",R89+S89+T89)</f>
        <v/>
      </c>
      <c r="V89" s="17">
        <f>IF(AD89=0,"",IF(LEFT(K89,5)="Geler","❄ Gelée",IF(G89="",IF(D89&lt;=TODAY(),"⚠ Indice attendu","À venir"),IF(D89&lt;=TODAY(),"✔ Calculable","Indice connu – à venir"))))</f>
        <v/>
      </c>
      <c r="W89" s="29" t="n"/>
      <c r="X89" s="13" t="n"/>
      <c r="Y89" s="14" t="n"/>
      <c r="Z89" s="14" t="n"/>
      <c r="AA89" s="13" t="n"/>
      <c r="AB89" s="17">
        <f>IF(A89="","",A89&amp;"#"&amp;C89)</f>
        <v/>
      </c>
      <c r="AC89" s="17">
        <f>IF(AND(AD89=1,D89&lt;=TODAY(),N89&lt;&gt;""),1,0)</f>
        <v/>
      </c>
      <c r="AD89" s="17">
        <f>IF(OR(A89="",D89=""),0,IF(AND(ISNUMBER(Baux!$H$9),D89&gt;Baux!$H$9),0,1))</f>
        <v/>
      </c>
    </row>
    <row r="90">
      <c r="A90" s="17">
        <f>IF(Baux!$A$9="","",Baux!$A$9)</f>
        <v/>
      </c>
      <c r="B90" s="17">
        <f>IF(A90="","",Baux!$B$9)</f>
        <v/>
      </c>
      <c r="C90" s="17" t="n">
        <v>5</v>
      </c>
      <c r="D90" s="15">
        <f>IF(OR(A90="",Baux!$F$9="",Baux!$O$9=""),"",EDATE(Baux!$F$9,12*Baux!$O$9*C90))</f>
        <v/>
      </c>
      <c r="E90" s="17">
        <f>IF(AD90=0,"",Baux!$M$9)</f>
        <v/>
      </c>
      <c r="F90" s="17">
        <f>IF(AD90=0,"",IFERROR(TEXT(VALUE(LEFT(Baux!$N$9,4))+C90*Baux!$O$9,"0")&amp;RIGHT(Baux!$N$9,3),""))</f>
        <v/>
      </c>
      <c r="G90" s="25">
        <f>IF(AD90=0,"",IF(F90="","",IF(SUMIFS(Indices_long!$C:$C,Indices_long!$A:$A,E90,Indices_long!$B:$B,F90)=0,"",SUMIFS(Indices_long!$C:$C,Indices_long!$A:$A,E90,Indices_long!$B:$B,F90))))</f>
        <v/>
      </c>
      <c r="H90" s="17">
        <f>IF(AD90=0,"",IF(Baux!$P$9="Base fixe",Baux!$N$9,IF(K89="Geler – rattrapage possible",H89,F89)))</f>
        <v/>
      </c>
      <c r="I90" s="25">
        <f>IF(AD90=0,"",IF(H90="","",IF(SUMIFS(Indices_long!$C:$C,Indices_long!$A:$A,E90,Indices_long!$B:$B,H90)=0,"",SUMIFS(Indices_long!$C:$C,Indices_long!$A:$A,E90,Indices_long!$B:$B,H90))))</f>
        <v/>
      </c>
      <c r="J90" s="26">
        <f>IF(OR(G90="",I90=""),"",G90/I90)</f>
        <v/>
      </c>
      <c r="K90" s="13" t="n"/>
      <c r="L90" s="27">
        <f>IF(AD90=0,"",IF(Baux!$P$9="Base fixe",Baux!$I$9,N89))</f>
        <v/>
      </c>
      <c r="M90" s="27">
        <f>IF(OR(J90="",L90=""),"",ROUND(L90*J90,2))</f>
        <v/>
      </c>
      <c r="N90" s="27">
        <f>IF(AD90=0,"",IF(LEFT(K90,5)="Geler",O90,IF(M90="","",IF(Baux!$Q$9="",M90,MIN(M90,ROUND(L90*(1+Baux!$Q$9/100)^IF(Baux!$P$9="Base fixe",C90*Baux!$O$9,VALUE(LEFT(F90,4))-VALUE(LEFT(H90,4))),2))))))</f>
        <v/>
      </c>
      <c r="O90" s="27">
        <f>IF(AD90=0,"",N89)</f>
        <v/>
      </c>
      <c r="P90" s="28">
        <f>IF(OR(N90="",O90=""),"",N90/O90-1)</f>
        <v/>
      </c>
      <c r="Q90" s="27">
        <f>IF(N90="","",N90/12)</f>
        <v/>
      </c>
      <c r="R90" s="27">
        <f>IF(N90="","",N90/IF(Baux!$L$9="Mensuelle",12,IF(Baux!$L$9="Trimestrielle",4,IF(Baux!$L$9="Semestrielle",2,1))))</f>
        <v/>
      </c>
      <c r="S90" s="27">
        <f>IF(AD90=0,"",IF(Baux!$J$9="",0,Baux!$J$9)/IF(Baux!$L$9="Mensuelle",12,IF(Baux!$L$9="Trimestrielle",4,IF(Baux!$L$9="Semestrielle",2,1))))</f>
        <v/>
      </c>
      <c r="T90" s="27">
        <f>IF(R90="","",(R90+S90)*Baux!$K$9/100)</f>
        <v/>
      </c>
      <c r="U90" s="27">
        <f>IF(R90="","",R90+S90+T90)</f>
        <v/>
      </c>
      <c r="V90" s="17">
        <f>IF(AD90=0,"",IF(LEFT(K90,5)="Geler","❄ Gelée",IF(G90="",IF(D90&lt;=TODAY(),"⚠ Indice attendu","À venir"),IF(D90&lt;=TODAY(),"✔ Calculable","Indice connu – à venir"))))</f>
        <v/>
      </c>
      <c r="W90" s="29" t="n"/>
      <c r="X90" s="13" t="n"/>
      <c r="Y90" s="14" t="n"/>
      <c r="Z90" s="14" t="n"/>
      <c r="AA90" s="13" t="n"/>
      <c r="AB90" s="17">
        <f>IF(A90="","",A90&amp;"#"&amp;C90)</f>
        <v/>
      </c>
      <c r="AC90" s="17">
        <f>IF(AND(AD90=1,D90&lt;=TODAY(),N90&lt;&gt;""),1,0)</f>
        <v/>
      </c>
      <c r="AD90" s="17">
        <f>IF(OR(A90="",D90=""),0,IF(AND(ISNUMBER(Baux!$H$9),D90&gt;Baux!$H$9),0,1))</f>
        <v/>
      </c>
    </row>
    <row r="91">
      <c r="A91" s="17">
        <f>IF(Baux!$A$9="","",Baux!$A$9)</f>
        <v/>
      </c>
      <c r="B91" s="17">
        <f>IF(A91="","",Baux!$B$9)</f>
        <v/>
      </c>
      <c r="C91" s="17" t="n">
        <v>6</v>
      </c>
      <c r="D91" s="15">
        <f>IF(OR(A91="",Baux!$F$9="",Baux!$O$9=""),"",EDATE(Baux!$F$9,12*Baux!$O$9*C91))</f>
        <v/>
      </c>
      <c r="E91" s="17">
        <f>IF(AD91=0,"",Baux!$M$9)</f>
        <v/>
      </c>
      <c r="F91" s="17">
        <f>IF(AD91=0,"",IFERROR(TEXT(VALUE(LEFT(Baux!$N$9,4))+C91*Baux!$O$9,"0")&amp;RIGHT(Baux!$N$9,3),""))</f>
        <v/>
      </c>
      <c r="G91" s="25">
        <f>IF(AD91=0,"",IF(F91="","",IF(SUMIFS(Indices_long!$C:$C,Indices_long!$A:$A,E91,Indices_long!$B:$B,F91)=0,"",SUMIFS(Indices_long!$C:$C,Indices_long!$A:$A,E91,Indices_long!$B:$B,F91))))</f>
        <v/>
      </c>
      <c r="H91" s="17">
        <f>IF(AD91=0,"",IF(Baux!$P$9="Base fixe",Baux!$N$9,IF(K90="Geler – rattrapage possible",H90,F90)))</f>
        <v/>
      </c>
      <c r="I91" s="25">
        <f>IF(AD91=0,"",IF(H91="","",IF(SUMIFS(Indices_long!$C:$C,Indices_long!$A:$A,E91,Indices_long!$B:$B,H91)=0,"",SUMIFS(Indices_long!$C:$C,Indices_long!$A:$A,E91,Indices_long!$B:$B,H91))))</f>
        <v/>
      </c>
      <c r="J91" s="26">
        <f>IF(OR(G91="",I91=""),"",G91/I91)</f>
        <v/>
      </c>
      <c r="K91" s="13" t="n"/>
      <c r="L91" s="27">
        <f>IF(AD91=0,"",IF(Baux!$P$9="Base fixe",Baux!$I$9,N90))</f>
        <v/>
      </c>
      <c r="M91" s="27">
        <f>IF(OR(J91="",L91=""),"",ROUND(L91*J91,2))</f>
        <v/>
      </c>
      <c r="N91" s="27">
        <f>IF(AD91=0,"",IF(LEFT(K91,5)="Geler",O91,IF(M91="","",IF(Baux!$Q$9="",M91,MIN(M91,ROUND(L91*(1+Baux!$Q$9/100)^IF(Baux!$P$9="Base fixe",C91*Baux!$O$9,VALUE(LEFT(F91,4))-VALUE(LEFT(H91,4))),2))))))</f>
        <v/>
      </c>
      <c r="O91" s="27">
        <f>IF(AD91=0,"",N90)</f>
        <v/>
      </c>
      <c r="P91" s="28">
        <f>IF(OR(N91="",O91=""),"",N91/O91-1)</f>
        <v/>
      </c>
      <c r="Q91" s="27">
        <f>IF(N91="","",N91/12)</f>
        <v/>
      </c>
      <c r="R91" s="27">
        <f>IF(N91="","",N91/IF(Baux!$L$9="Mensuelle",12,IF(Baux!$L$9="Trimestrielle",4,IF(Baux!$L$9="Semestrielle",2,1))))</f>
        <v/>
      </c>
      <c r="S91" s="27">
        <f>IF(AD91=0,"",IF(Baux!$J$9="",0,Baux!$J$9)/IF(Baux!$L$9="Mensuelle",12,IF(Baux!$L$9="Trimestrielle",4,IF(Baux!$L$9="Semestrielle",2,1))))</f>
        <v/>
      </c>
      <c r="T91" s="27">
        <f>IF(R91="","",(R91+S91)*Baux!$K$9/100)</f>
        <v/>
      </c>
      <c r="U91" s="27">
        <f>IF(R91="","",R91+S91+T91)</f>
        <v/>
      </c>
      <c r="V91" s="17">
        <f>IF(AD91=0,"",IF(LEFT(K91,5)="Geler","❄ Gelée",IF(G91="",IF(D91&lt;=TODAY(),"⚠ Indice attendu","À venir"),IF(D91&lt;=TODAY(),"✔ Calculable","Indice connu – à venir"))))</f>
        <v/>
      </c>
      <c r="W91" s="29" t="n"/>
      <c r="X91" s="13" t="n"/>
      <c r="Y91" s="14" t="n"/>
      <c r="Z91" s="14" t="n"/>
      <c r="AA91" s="13" t="n"/>
      <c r="AB91" s="17">
        <f>IF(A91="","",A91&amp;"#"&amp;C91)</f>
        <v/>
      </c>
      <c r="AC91" s="17">
        <f>IF(AND(AD91=1,D91&lt;=TODAY(),N91&lt;&gt;""),1,0)</f>
        <v/>
      </c>
      <c r="AD91" s="17">
        <f>IF(OR(A91="",D91=""),0,IF(AND(ISNUMBER(Baux!$H$9),D91&gt;Baux!$H$9),0,1))</f>
        <v/>
      </c>
    </row>
    <row r="92">
      <c r="A92" s="17">
        <f>IF(Baux!$A$9="","",Baux!$A$9)</f>
        <v/>
      </c>
      <c r="B92" s="17">
        <f>IF(A92="","",Baux!$B$9)</f>
        <v/>
      </c>
      <c r="C92" s="17" t="n">
        <v>7</v>
      </c>
      <c r="D92" s="15">
        <f>IF(OR(A92="",Baux!$F$9="",Baux!$O$9=""),"",EDATE(Baux!$F$9,12*Baux!$O$9*C92))</f>
        <v/>
      </c>
      <c r="E92" s="17">
        <f>IF(AD92=0,"",Baux!$M$9)</f>
        <v/>
      </c>
      <c r="F92" s="17">
        <f>IF(AD92=0,"",IFERROR(TEXT(VALUE(LEFT(Baux!$N$9,4))+C92*Baux!$O$9,"0")&amp;RIGHT(Baux!$N$9,3),""))</f>
        <v/>
      </c>
      <c r="G92" s="25">
        <f>IF(AD92=0,"",IF(F92="","",IF(SUMIFS(Indices_long!$C:$C,Indices_long!$A:$A,E92,Indices_long!$B:$B,F92)=0,"",SUMIFS(Indices_long!$C:$C,Indices_long!$A:$A,E92,Indices_long!$B:$B,F92))))</f>
        <v/>
      </c>
      <c r="H92" s="17">
        <f>IF(AD92=0,"",IF(Baux!$P$9="Base fixe",Baux!$N$9,IF(K91="Geler – rattrapage possible",H91,F91)))</f>
        <v/>
      </c>
      <c r="I92" s="25">
        <f>IF(AD92=0,"",IF(H92="","",IF(SUMIFS(Indices_long!$C:$C,Indices_long!$A:$A,E92,Indices_long!$B:$B,H92)=0,"",SUMIFS(Indices_long!$C:$C,Indices_long!$A:$A,E92,Indices_long!$B:$B,H92))))</f>
        <v/>
      </c>
      <c r="J92" s="26">
        <f>IF(OR(G92="",I92=""),"",G92/I92)</f>
        <v/>
      </c>
      <c r="K92" s="13" t="n"/>
      <c r="L92" s="27">
        <f>IF(AD92=0,"",IF(Baux!$P$9="Base fixe",Baux!$I$9,N91))</f>
        <v/>
      </c>
      <c r="M92" s="27">
        <f>IF(OR(J92="",L92=""),"",ROUND(L92*J92,2))</f>
        <v/>
      </c>
      <c r="N92" s="27">
        <f>IF(AD92=0,"",IF(LEFT(K92,5)="Geler",O92,IF(M92="","",IF(Baux!$Q$9="",M92,MIN(M92,ROUND(L92*(1+Baux!$Q$9/100)^IF(Baux!$P$9="Base fixe",C92*Baux!$O$9,VALUE(LEFT(F92,4))-VALUE(LEFT(H92,4))),2))))))</f>
        <v/>
      </c>
      <c r="O92" s="27">
        <f>IF(AD92=0,"",N91)</f>
        <v/>
      </c>
      <c r="P92" s="28">
        <f>IF(OR(N92="",O92=""),"",N92/O92-1)</f>
        <v/>
      </c>
      <c r="Q92" s="27">
        <f>IF(N92="","",N92/12)</f>
        <v/>
      </c>
      <c r="R92" s="27">
        <f>IF(N92="","",N92/IF(Baux!$L$9="Mensuelle",12,IF(Baux!$L$9="Trimestrielle",4,IF(Baux!$L$9="Semestrielle",2,1))))</f>
        <v/>
      </c>
      <c r="S92" s="27">
        <f>IF(AD92=0,"",IF(Baux!$J$9="",0,Baux!$J$9)/IF(Baux!$L$9="Mensuelle",12,IF(Baux!$L$9="Trimestrielle",4,IF(Baux!$L$9="Semestrielle",2,1))))</f>
        <v/>
      </c>
      <c r="T92" s="27">
        <f>IF(R92="","",(R92+S92)*Baux!$K$9/100)</f>
        <v/>
      </c>
      <c r="U92" s="27">
        <f>IF(R92="","",R92+S92+T92)</f>
        <v/>
      </c>
      <c r="V92" s="17">
        <f>IF(AD92=0,"",IF(LEFT(K92,5)="Geler","❄ Gelée",IF(G92="",IF(D92&lt;=TODAY(),"⚠ Indice attendu","À venir"),IF(D92&lt;=TODAY(),"✔ Calculable","Indice connu – à venir"))))</f>
        <v/>
      </c>
      <c r="W92" s="29" t="n"/>
      <c r="X92" s="13" t="n"/>
      <c r="Y92" s="14" t="n"/>
      <c r="Z92" s="14" t="n"/>
      <c r="AA92" s="13" t="n"/>
      <c r="AB92" s="17">
        <f>IF(A92="","",A92&amp;"#"&amp;C92)</f>
        <v/>
      </c>
      <c r="AC92" s="17">
        <f>IF(AND(AD92=1,D92&lt;=TODAY(),N92&lt;&gt;""),1,0)</f>
        <v/>
      </c>
      <c r="AD92" s="17">
        <f>IF(OR(A92="",D92=""),0,IF(AND(ISNUMBER(Baux!$H$9),D92&gt;Baux!$H$9),0,1))</f>
        <v/>
      </c>
    </row>
    <row r="93">
      <c r="A93" s="17">
        <f>IF(Baux!$A$9="","",Baux!$A$9)</f>
        <v/>
      </c>
      <c r="B93" s="17">
        <f>IF(A93="","",Baux!$B$9)</f>
        <v/>
      </c>
      <c r="C93" s="17" t="n">
        <v>8</v>
      </c>
      <c r="D93" s="15">
        <f>IF(OR(A93="",Baux!$F$9="",Baux!$O$9=""),"",EDATE(Baux!$F$9,12*Baux!$O$9*C93))</f>
        <v/>
      </c>
      <c r="E93" s="17">
        <f>IF(AD93=0,"",Baux!$M$9)</f>
        <v/>
      </c>
      <c r="F93" s="17">
        <f>IF(AD93=0,"",IFERROR(TEXT(VALUE(LEFT(Baux!$N$9,4))+C93*Baux!$O$9,"0")&amp;RIGHT(Baux!$N$9,3),""))</f>
        <v/>
      </c>
      <c r="G93" s="25">
        <f>IF(AD93=0,"",IF(F93="","",IF(SUMIFS(Indices_long!$C:$C,Indices_long!$A:$A,E93,Indices_long!$B:$B,F93)=0,"",SUMIFS(Indices_long!$C:$C,Indices_long!$A:$A,E93,Indices_long!$B:$B,F93))))</f>
        <v/>
      </c>
      <c r="H93" s="17">
        <f>IF(AD93=0,"",IF(Baux!$P$9="Base fixe",Baux!$N$9,IF(K92="Geler – rattrapage possible",H92,F92)))</f>
        <v/>
      </c>
      <c r="I93" s="25">
        <f>IF(AD93=0,"",IF(H93="","",IF(SUMIFS(Indices_long!$C:$C,Indices_long!$A:$A,E93,Indices_long!$B:$B,H93)=0,"",SUMIFS(Indices_long!$C:$C,Indices_long!$A:$A,E93,Indices_long!$B:$B,H93))))</f>
        <v/>
      </c>
      <c r="J93" s="26">
        <f>IF(OR(G93="",I93=""),"",G93/I93)</f>
        <v/>
      </c>
      <c r="K93" s="13" t="n"/>
      <c r="L93" s="27">
        <f>IF(AD93=0,"",IF(Baux!$P$9="Base fixe",Baux!$I$9,N92))</f>
        <v/>
      </c>
      <c r="M93" s="27">
        <f>IF(OR(J93="",L93=""),"",ROUND(L93*J93,2))</f>
        <v/>
      </c>
      <c r="N93" s="27">
        <f>IF(AD93=0,"",IF(LEFT(K93,5)="Geler",O93,IF(M93="","",IF(Baux!$Q$9="",M93,MIN(M93,ROUND(L93*(1+Baux!$Q$9/100)^IF(Baux!$P$9="Base fixe",C93*Baux!$O$9,VALUE(LEFT(F93,4))-VALUE(LEFT(H93,4))),2))))))</f>
        <v/>
      </c>
      <c r="O93" s="27">
        <f>IF(AD93=0,"",N92)</f>
        <v/>
      </c>
      <c r="P93" s="28">
        <f>IF(OR(N93="",O93=""),"",N93/O93-1)</f>
        <v/>
      </c>
      <c r="Q93" s="27">
        <f>IF(N93="","",N93/12)</f>
        <v/>
      </c>
      <c r="R93" s="27">
        <f>IF(N93="","",N93/IF(Baux!$L$9="Mensuelle",12,IF(Baux!$L$9="Trimestrielle",4,IF(Baux!$L$9="Semestrielle",2,1))))</f>
        <v/>
      </c>
      <c r="S93" s="27">
        <f>IF(AD93=0,"",IF(Baux!$J$9="",0,Baux!$J$9)/IF(Baux!$L$9="Mensuelle",12,IF(Baux!$L$9="Trimestrielle",4,IF(Baux!$L$9="Semestrielle",2,1))))</f>
        <v/>
      </c>
      <c r="T93" s="27">
        <f>IF(R93="","",(R93+S93)*Baux!$K$9/100)</f>
        <v/>
      </c>
      <c r="U93" s="27">
        <f>IF(R93="","",R93+S93+T93)</f>
        <v/>
      </c>
      <c r="V93" s="17">
        <f>IF(AD93=0,"",IF(LEFT(K93,5)="Geler","❄ Gelée",IF(G93="",IF(D93&lt;=TODAY(),"⚠ Indice attendu","À venir"),IF(D93&lt;=TODAY(),"✔ Calculable","Indice connu – à venir"))))</f>
        <v/>
      </c>
      <c r="W93" s="29" t="n"/>
      <c r="X93" s="13" t="n"/>
      <c r="Y93" s="14" t="n"/>
      <c r="Z93" s="14" t="n"/>
      <c r="AA93" s="13" t="n"/>
      <c r="AB93" s="17">
        <f>IF(A93="","",A93&amp;"#"&amp;C93)</f>
        <v/>
      </c>
      <c r="AC93" s="17">
        <f>IF(AND(AD93=1,D93&lt;=TODAY(),N93&lt;&gt;""),1,0)</f>
        <v/>
      </c>
      <c r="AD93" s="17">
        <f>IF(OR(A93="",D93=""),0,IF(AND(ISNUMBER(Baux!$H$9),D93&gt;Baux!$H$9),0,1))</f>
        <v/>
      </c>
    </row>
    <row r="94">
      <c r="A94" s="17">
        <f>IF(Baux!$A$9="","",Baux!$A$9)</f>
        <v/>
      </c>
      <c r="B94" s="17">
        <f>IF(A94="","",Baux!$B$9)</f>
        <v/>
      </c>
      <c r="C94" s="17" t="n">
        <v>9</v>
      </c>
      <c r="D94" s="15">
        <f>IF(OR(A94="",Baux!$F$9="",Baux!$O$9=""),"",EDATE(Baux!$F$9,12*Baux!$O$9*C94))</f>
        <v/>
      </c>
      <c r="E94" s="17">
        <f>IF(AD94=0,"",Baux!$M$9)</f>
        <v/>
      </c>
      <c r="F94" s="17">
        <f>IF(AD94=0,"",IFERROR(TEXT(VALUE(LEFT(Baux!$N$9,4))+C94*Baux!$O$9,"0")&amp;RIGHT(Baux!$N$9,3),""))</f>
        <v/>
      </c>
      <c r="G94" s="25">
        <f>IF(AD94=0,"",IF(F94="","",IF(SUMIFS(Indices_long!$C:$C,Indices_long!$A:$A,E94,Indices_long!$B:$B,F94)=0,"",SUMIFS(Indices_long!$C:$C,Indices_long!$A:$A,E94,Indices_long!$B:$B,F94))))</f>
        <v/>
      </c>
      <c r="H94" s="17">
        <f>IF(AD94=0,"",IF(Baux!$P$9="Base fixe",Baux!$N$9,IF(K93="Geler – rattrapage possible",H93,F93)))</f>
        <v/>
      </c>
      <c r="I94" s="25">
        <f>IF(AD94=0,"",IF(H94="","",IF(SUMIFS(Indices_long!$C:$C,Indices_long!$A:$A,E94,Indices_long!$B:$B,H94)=0,"",SUMIFS(Indices_long!$C:$C,Indices_long!$A:$A,E94,Indices_long!$B:$B,H94))))</f>
        <v/>
      </c>
      <c r="J94" s="26">
        <f>IF(OR(G94="",I94=""),"",G94/I94)</f>
        <v/>
      </c>
      <c r="K94" s="13" t="n"/>
      <c r="L94" s="27">
        <f>IF(AD94=0,"",IF(Baux!$P$9="Base fixe",Baux!$I$9,N93))</f>
        <v/>
      </c>
      <c r="M94" s="27">
        <f>IF(OR(J94="",L94=""),"",ROUND(L94*J94,2))</f>
        <v/>
      </c>
      <c r="N94" s="27">
        <f>IF(AD94=0,"",IF(LEFT(K94,5)="Geler",O94,IF(M94="","",IF(Baux!$Q$9="",M94,MIN(M94,ROUND(L94*(1+Baux!$Q$9/100)^IF(Baux!$P$9="Base fixe",C94*Baux!$O$9,VALUE(LEFT(F94,4))-VALUE(LEFT(H94,4))),2))))))</f>
        <v/>
      </c>
      <c r="O94" s="27">
        <f>IF(AD94=0,"",N93)</f>
        <v/>
      </c>
      <c r="P94" s="28">
        <f>IF(OR(N94="",O94=""),"",N94/O94-1)</f>
        <v/>
      </c>
      <c r="Q94" s="27">
        <f>IF(N94="","",N94/12)</f>
        <v/>
      </c>
      <c r="R94" s="27">
        <f>IF(N94="","",N94/IF(Baux!$L$9="Mensuelle",12,IF(Baux!$L$9="Trimestrielle",4,IF(Baux!$L$9="Semestrielle",2,1))))</f>
        <v/>
      </c>
      <c r="S94" s="27">
        <f>IF(AD94=0,"",IF(Baux!$J$9="",0,Baux!$J$9)/IF(Baux!$L$9="Mensuelle",12,IF(Baux!$L$9="Trimestrielle",4,IF(Baux!$L$9="Semestrielle",2,1))))</f>
        <v/>
      </c>
      <c r="T94" s="27">
        <f>IF(R94="","",(R94+S94)*Baux!$K$9/100)</f>
        <v/>
      </c>
      <c r="U94" s="27">
        <f>IF(R94="","",R94+S94+T94)</f>
        <v/>
      </c>
      <c r="V94" s="17">
        <f>IF(AD94=0,"",IF(LEFT(K94,5)="Geler","❄ Gelée",IF(G94="",IF(D94&lt;=TODAY(),"⚠ Indice attendu","À venir"),IF(D94&lt;=TODAY(),"✔ Calculable","Indice connu – à venir"))))</f>
        <v/>
      </c>
      <c r="W94" s="29" t="n"/>
      <c r="X94" s="13" t="n"/>
      <c r="Y94" s="14" t="n"/>
      <c r="Z94" s="14" t="n"/>
      <c r="AA94" s="13" t="n"/>
      <c r="AB94" s="17">
        <f>IF(A94="","",A94&amp;"#"&amp;C94)</f>
        <v/>
      </c>
      <c r="AC94" s="17">
        <f>IF(AND(AD94=1,D94&lt;=TODAY(),N94&lt;&gt;""),1,0)</f>
        <v/>
      </c>
      <c r="AD94" s="17">
        <f>IF(OR(A94="",D94=""),0,IF(AND(ISNUMBER(Baux!$H$9),D94&gt;Baux!$H$9),0,1))</f>
        <v/>
      </c>
    </row>
    <row r="95">
      <c r="A95" s="17">
        <f>IF(Baux!$A$9="","",Baux!$A$9)</f>
        <v/>
      </c>
      <c r="B95" s="17">
        <f>IF(A95="","",Baux!$B$9)</f>
        <v/>
      </c>
      <c r="C95" s="17" t="n">
        <v>10</v>
      </c>
      <c r="D95" s="15">
        <f>IF(OR(A95="",Baux!$F$9="",Baux!$O$9=""),"",EDATE(Baux!$F$9,12*Baux!$O$9*C95))</f>
        <v/>
      </c>
      <c r="E95" s="17">
        <f>IF(AD95=0,"",Baux!$M$9)</f>
        <v/>
      </c>
      <c r="F95" s="17">
        <f>IF(AD95=0,"",IFERROR(TEXT(VALUE(LEFT(Baux!$N$9,4))+C95*Baux!$O$9,"0")&amp;RIGHT(Baux!$N$9,3),""))</f>
        <v/>
      </c>
      <c r="G95" s="25">
        <f>IF(AD95=0,"",IF(F95="","",IF(SUMIFS(Indices_long!$C:$C,Indices_long!$A:$A,E95,Indices_long!$B:$B,F95)=0,"",SUMIFS(Indices_long!$C:$C,Indices_long!$A:$A,E95,Indices_long!$B:$B,F95))))</f>
        <v/>
      </c>
      <c r="H95" s="17">
        <f>IF(AD95=0,"",IF(Baux!$P$9="Base fixe",Baux!$N$9,IF(K94="Geler – rattrapage possible",H94,F94)))</f>
        <v/>
      </c>
      <c r="I95" s="25">
        <f>IF(AD95=0,"",IF(H95="","",IF(SUMIFS(Indices_long!$C:$C,Indices_long!$A:$A,E95,Indices_long!$B:$B,H95)=0,"",SUMIFS(Indices_long!$C:$C,Indices_long!$A:$A,E95,Indices_long!$B:$B,H95))))</f>
        <v/>
      </c>
      <c r="J95" s="26">
        <f>IF(OR(G95="",I95=""),"",G95/I95)</f>
        <v/>
      </c>
      <c r="K95" s="13" t="n"/>
      <c r="L95" s="27">
        <f>IF(AD95=0,"",IF(Baux!$P$9="Base fixe",Baux!$I$9,N94))</f>
        <v/>
      </c>
      <c r="M95" s="27">
        <f>IF(OR(J95="",L95=""),"",ROUND(L95*J95,2))</f>
        <v/>
      </c>
      <c r="N95" s="27">
        <f>IF(AD95=0,"",IF(LEFT(K95,5)="Geler",O95,IF(M95="","",IF(Baux!$Q$9="",M95,MIN(M95,ROUND(L95*(1+Baux!$Q$9/100)^IF(Baux!$P$9="Base fixe",C95*Baux!$O$9,VALUE(LEFT(F95,4))-VALUE(LEFT(H95,4))),2))))))</f>
        <v/>
      </c>
      <c r="O95" s="27">
        <f>IF(AD95=0,"",N94)</f>
        <v/>
      </c>
      <c r="P95" s="28">
        <f>IF(OR(N95="",O95=""),"",N95/O95-1)</f>
        <v/>
      </c>
      <c r="Q95" s="27">
        <f>IF(N95="","",N95/12)</f>
        <v/>
      </c>
      <c r="R95" s="27">
        <f>IF(N95="","",N95/IF(Baux!$L$9="Mensuelle",12,IF(Baux!$L$9="Trimestrielle",4,IF(Baux!$L$9="Semestrielle",2,1))))</f>
        <v/>
      </c>
      <c r="S95" s="27">
        <f>IF(AD95=0,"",IF(Baux!$J$9="",0,Baux!$J$9)/IF(Baux!$L$9="Mensuelle",12,IF(Baux!$L$9="Trimestrielle",4,IF(Baux!$L$9="Semestrielle",2,1))))</f>
        <v/>
      </c>
      <c r="T95" s="27">
        <f>IF(R95="","",(R95+S95)*Baux!$K$9/100)</f>
        <v/>
      </c>
      <c r="U95" s="27">
        <f>IF(R95="","",R95+S95+T95)</f>
        <v/>
      </c>
      <c r="V95" s="17">
        <f>IF(AD95=0,"",IF(LEFT(K95,5)="Geler","❄ Gelée",IF(G95="",IF(D95&lt;=TODAY(),"⚠ Indice attendu","À venir"),IF(D95&lt;=TODAY(),"✔ Calculable","Indice connu – à venir"))))</f>
        <v/>
      </c>
      <c r="W95" s="29" t="n"/>
      <c r="X95" s="13" t="n"/>
      <c r="Y95" s="14" t="n"/>
      <c r="Z95" s="14" t="n"/>
      <c r="AA95" s="13" t="n"/>
      <c r="AB95" s="17">
        <f>IF(A95="","",A95&amp;"#"&amp;C95)</f>
        <v/>
      </c>
      <c r="AC95" s="17">
        <f>IF(AND(AD95=1,D95&lt;=TODAY(),N95&lt;&gt;""),1,0)</f>
        <v/>
      </c>
      <c r="AD95" s="17">
        <f>IF(OR(A95="",D95=""),0,IF(AND(ISNUMBER(Baux!$H$9),D95&gt;Baux!$H$9),0,1))</f>
        <v/>
      </c>
    </row>
    <row r="96">
      <c r="A96" s="17">
        <f>IF(Baux!$A$9="","",Baux!$A$9)</f>
        <v/>
      </c>
      <c r="B96" s="17">
        <f>IF(A96="","",Baux!$B$9)</f>
        <v/>
      </c>
      <c r="C96" s="17" t="n">
        <v>11</v>
      </c>
      <c r="D96" s="15">
        <f>IF(OR(A96="",Baux!$F$9="",Baux!$O$9=""),"",EDATE(Baux!$F$9,12*Baux!$O$9*C96))</f>
        <v/>
      </c>
      <c r="E96" s="17">
        <f>IF(AD96=0,"",Baux!$M$9)</f>
        <v/>
      </c>
      <c r="F96" s="17">
        <f>IF(AD96=0,"",IFERROR(TEXT(VALUE(LEFT(Baux!$N$9,4))+C96*Baux!$O$9,"0")&amp;RIGHT(Baux!$N$9,3),""))</f>
        <v/>
      </c>
      <c r="G96" s="25">
        <f>IF(AD96=0,"",IF(F96="","",IF(SUMIFS(Indices_long!$C:$C,Indices_long!$A:$A,E96,Indices_long!$B:$B,F96)=0,"",SUMIFS(Indices_long!$C:$C,Indices_long!$A:$A,E96,Indices_long!$B:$B,F96))))</f>
        <v/>
      </c>
      <c r="H96" s="17">
        <f>IF(AD96=0,"",IF(Baux!$P$9="Base fixe",Baux!$N$9,IF(K95="Geler – rattrapage possible",H95,F95)))</f>
        <v/>
      </c>
      <c r="I96" s="25">
        <f>IF(AD96=0,"",IF(H96="","",IF(SUMIFS(Indices_long!$C:$C,Indices_long!$A:$A,E96,Indices_long!$B:$B,H96)=0,"",SUMIFS(Indices_long!$C:$C,Indices_long!$A:$A,E96,Indices_long!$B:$B,H96))))</f>
        <v/>
      </c>
      <c r="J96" s="26">
        <f>IF(OR(G96="",I96=""),"",G96/I96)</f>
        <v/>
      </c>
      <c r="K96" s="13" t="n"/>
      <c r="L96" s="27">
        <f>IF(AD96=0,"",IF(Baux!$P$9="Base fixe",Baux!$I$9,N95))</f>
        <v/>
      </c>
      <c r="M96" s="27">
        <f>IF(OR(J96="",L96=""),"",ROUND(L96*J96,2))</f>
        <v/>
      </c>
      <c r="N96" s="27">
        <f>IF(AD96=0,"",IF(LEFT(K96,5)="Geler",O96,IF(M96="","",IF(Baux!$Q$9="",M96,MIN(M96,ROUND(L96*(1+Baux!$Q$9/100)^IF(Baux!$P$9="Base fixe",C96*Baux!$O$9,VALUE(LEFT(F96,4))-VALUE(LEFT(H96,4))),2))))))</f>
        <v/>
      </c>
      <c r="O96" s="27">
        <f>IF(AD96=0,"",N95)</f>
        <v/>
      </c>
      <c r="P96" s="28">
        <f>IF(OR(N96="",O96=""),"",N96/O96-1)</f>
        <v/>
      </c>
      <c r="Q96" s="27">
        <f>IF(N96="","",N96/12)</f>
        <v/>
      </c>
      <c r="R96" s="27">
        <f>IF(N96="","",N96/IF(Baux!$L$9="Mensuelle",12,IF(Baux!$L$9="Trimestrielle",4,IF(Baux!$L$9="Semestrielle",2,1))))</f>
        <v/>
      </c>
      <c r="S96" s="27">
        <f>IF(AD96=0,"",IF(Baux!$J$9="",0,Baux!$J$9)/IF(Baux!$L$9="Mensuelle",12,IF(Baux!$L$9="Trimestrielle",4,IF(Baux!$L$9="Semestrielle",2,1))))</f>
        <v/>
      </c>
      <c r="T96" s="27">
        <f>IF(R96="","",(R96+S96)*Baux!$K$9/100)</f>
        <v/>
      </c>
      <c r="U96" s="27">
        <f>IF(R96="","",R96+S96+T96)</f>
        <v/>
      </c>
      <c r="V96" s="17">
        <f>IF(AD96=0,"",IF(LEFT(K96,5)="Geler","❄ Gelée",IF(G96="",IF(D96&lt;=TODAY(),"⚠ Indice attendu","À venir"),IF(D96&lt;=TODAY(),"✔ Calculable","Indice connu – à venir"))))</f>
        <v/>
      </c>
      <c r="W96" s="29" t="n"/>
      <c r="X96" s="13" t="n"/>
      <c r="Y96" s="14" t="n"/>
      <c r="Z96" s="14" t="n"/>
      <c r="AA96" s="13" t="n"/>
      <c r="AB96" s="17">
        <f>IF(A96="","",A96&amp;"#"&amp;C96)</f>
        <v/>
      </c>
      <c r="AC96" s="17">
        <f>IF(AND(AD96=1,D96&lt;=TODAY(),N96&lt;&gt;""),1,0)</f>
        <v/>
      </c>
      <c r="AD96" s="17">
        <f>IF(OR(A96="",D96=""),0,IF(AND(ISNUMBER(Baux!$H$9),D96&gt;Baux!$H$9),0,1))</f>
        <v/>
      </c>
    </row>
    <row r="97">
      <c r="A97" s="17">
        <f>IF(Baux!$A$9="","",Baux!$A$9)</f>
        <v/>
      </c>
      <c r="B97" s="17">
        <f>IF(A97="","",Baux!$B$9)</f>
        <v/>
      </c>
      <c r="C97" s="17" t="n">
        <v>12</v>
      </c>
      <c r="D97" s="15">
        <f>IF(OR(A97="",Baux!$F$9="",Baux!$O$9=""),"",EDATE(Baux!$F$9,12*Baux!$O$9*C97))</f>
        <v/>
      </c>
      <c r="E97" s="17">
        <f>IF(AD97=0,"",Baux!$M$9)</f>
        <v/>
      </c>
      <c r="F97" s="17">
        <f>IF(AD97=0,"",IFERROR(TEXT(VALUE(LEFT(Baux!$N$9,4))+C97*Baux!$O$9,"0")&amp;RIGHT(Baux!$N$9,3),""))</f>
        <v/>
      </c>
      <c r="G97" s="25">
        <f>IF(AD97=0,"",IF(F97="","",IF(SUMIFS(Indices_long!$C:$C,Indices_long!$A:$A,E97,Indices_long!$B:$B,F97)=0,"",SUMIFS(Indices_long!$C:$C,Indices_long!$A:$A,E97,Indices_long!$B:$B,F97))))</f>
        <v/>
      </c>
      <c r="H97" s="17">
        <f>IF(AD97=0,"",IF(Baux!$P$9="Base fixe",Baux!$N$9,IF(K96="Geler – rattrapage possible",H96,F96)))</f>
        <v/>
      </c>
      <c r="I97" s="25">
        <f>IF(AD97=0,"",IF(H97="","",IF(SUMIFS(Indices_long!$C:$C,Indices_long!$A:$A,E97,Indices_long!$B:$B,H97)=0,"",SUMIFS(Indices_long!$C:$C,Indices_long!$A:$A,E97,Indices_long!$B:$B,H97))))</f>
        <v/>
      </c>
      <c r="J97" s="26">
        <f>IF(OR(G97="",I97=""),"",G97/I97)</f>
        <v/>
      </c>
      <c r="K97" s="13" t="n"/>
      <c r="L97" s="27">
        <f>IF(AD97=0,"",IF(Baux!$P$9="Base fixe",Baux!$I$9,N96))</f>
        <v/>
      </c>
      <c r="M97" s="27">
        <f>IF(OR(J97="",L97=""),"",ROUND(L97*J97,2))</f>
        <v/>
      </c>
      <c r="N97" s="27">
        <f>IF(AD97=0,"",IF(LEFT(K97,5)="Geler",O97,IF(M97="","",IF(Baux!$Q$9="",M97,MIN(M97,ROUND(L97*(1+Baux!$Q$9/100)^IF(Baux!$P$9="Base fixe",C97*Baux!$O$9,VALUE(LEFT(F97,4))-VALUE(LEFT(H97,4))),2))))))</f>
        <v/>
      </c>
      <c r="O97" s="27">
        <f>IF(AD97=0,"",N96)</f>
        <v/>
      </c>
      <c r="P97" s="28">
        <f>IF(OR(N97="",O97=""),"",N97/O97-1)</f>
        <v/>
      </c>
      <c r="Q97" s="27">
        <f>IF(N97="","",N97/12)</f>
        <v/>
      </c>
      <c r="R97" s="27">
        <f>IF(N97="","",N97/IF(Baux!$L$9="Mensuelle",12,IF(Baux!$L$9="Trimestrielle",4,IF(Baux!$L$9="Semestrielle",2,1))))</f>
        <v/>
      </c>
      <c r="S97" s="27">
        <f>IF(AD97=0,"",IF(Baux!$J$9="",0,Baux!$J$9)/IF(Baux!$L$9="Mensuelle",12,IF(Baux!$L$9="Trimestrielle",4,IF(Baux!$L$9="Semestrielle",2,1))))</f>
        <v/>
      </c>
      <c r="T97" s="27">
        <f>IF(R97="","",(R97+S97)*Baux!$K$9/100)</f>
        <v/>
      </c>
      <c r="U97" s="27">
        <f>IF(R97="","",R97+S97+T97)</f>
        <v/>
      </c>
      <c r="V97" s="17">
        <f>IF(AD97=0,"",IF(LEFT(K97,5)="Geler","❄ Gelée",IF(G97="",IF(D97&lt;=TODAY(),"⚠ Indice attendu","À venir"),IF(D97&lt;=TODAY(),"✔ Calculable","Indice connu – à venir"))))</f>
        <v/>
      </c>
      <c r="W97" s="29" t="n"/>
      <c r="X97" s="13" t="n"/>
      <c r="Y97" s="14" t="n"/>
      <c r="Z97" s="14" t="n"/>
      <c r="AA97" s="13" t="n"/>
      <c r="AB97" s="17">
        <f>IF(A97="","",A97&amp;"#"&amp;C97)</f>
        <v/>
      </c>
      <c r="AC97" s="17">
        <f>IF(AND(AD97=1,D97&lt;=TODAY(),N97&lt;&gt;""),1,0)</f>
        <v/>
      </c>
      <c r="AD97" s="17">
        <f>IF(OR(A97="",D97=""),0,IF(AND(ISNUMBER(Baux!$H$9),D97&gt;Baux!$H$9),0,1))</f>
        <v/>
      </c>
    </row>
    <row r="98">
      <c r="A98" s="17">
        <f>IF(Baux!$A$10="","",Baux!$A$10)</f>
        <v/>
      </c>
      <c r="B98" s="17">
        <f>IF(A98="","",Baux!$B$10)</f>
        <v/>
      </c>
      <c r="C98" s="17" t="n">
        <v>1</v>
      </c>
      <c r="D98" s="15">
        <f>IF(OR(A98="",Baux!$F$10="",Baux!$O$10=""),"",EDATE(Baux!$F$10,12*Baux!$O$10*C98))</f>
        <v/>
      </c>
      <c r="E98" s="17">
        <f>IF(AD98=0,"",Baux!$M$10)</f>
        <v/>
      </c>
      <c r="F98" s="17">
        <f>IF(AD98=0,"",IFERROR(TEXT(VALUE(LEFT(Baux!$N$10,4))+C98*Baux!$O$10,"0")&amp;RIGHT(Baux!$N$10,3),""))</f>
        <v/>
      </c>
      <c r="G98" s="25">
        <f>IF(AD98=0,"",IF(F98="","",IF(SUMIFS(Indices_long!$C:$C,Indices_long!$A:$A,E98,Indices_long!$B:$B,F98)=0,"",SUMIFS(Indices_long!$C:$C,Indices_long!$A:$A,E98,Indices_long!$B:$B,F98))))</f>
        <v/>
      </c>
      <c r="H98" s="17">
        <f>IF(AD98=0,"",Baux!$N$10)</f>
        <v/>
      </c>
      <c r="I98" s="25">
        <f>IF(AD98=0,"",IF(H98="","",IF(SUMIFS(Indices_long!$C:$C,Indices_long!$A:$A,E98,Indices_long!$B:$B,H98)=0,"",SUMIFS(Indices_long!$C:$C,Indices_long!$A:$A,E98,Indices_long!$B:$B,H98))))</f>
        <v/>
      </c>
      <c r="J98" s="26">
        <f>IF(OR(G98="",I98=""),"",G98/I98)</f>
        <v/>
      </c>
      <c r="K98" s="13" t="n"/>
      <c r="L98" s="27">
        <f>IF(AD98=0,"",Baux!$I$10)</f>
        <v/>
      </c>
      <c r="M98" s="27">
        <f>IF(OR(J98="",L98=""),"",ROUND(L98*J98,2))</f>
        <v/>
      </c>
      <c r="N98" s="27">
        <f>IF(AD98=0,"",IF(LEFT(K98,5)="Geler",O98,IF(M98="","",IF(Baux!$Q$10="",M98,MIN(M98,ROUND(L98*(1+Baux!$Q$10/100)^IF(Baux!$P$10="Base fixe",C98*Baux!$O$10,VALUE(LEFT(F98,4))-VALUE(LEFT(H98,4))),2))))))</f>
        <v/>
      </c>
      <c r="O98" s="27">
        <f>IF(AD98=0,"",Baux!$I$10)</f>
        <v/>
      </c>
      <c r="P98" s="28">
        <f>IF(OR(N98="",O98=""),"",N98/O98-1)</f>
        <v/>
      </c>
      <c r="Q98" s="27">
        <f>IF(N98="","",N98/12)</f>
        <v/>
      </c>
      <c r="R98" s="27">
        <f>IF(N98="","",N98/IF(Baux!$L$10="Mensuelle",12,IF(Baux!$L$10="Trimestrielle",4,IF(Baux!$L$10="Semestrielle",2,1))))</f>
        <v/>
      </c>
      <c r="S98" s="27">
        <f>IF(AD98=0,"",IF(Baux!$J$10="",0,Baux!$J$10)/IF(Baux!$L$10="Mensuelle",12,IF(Baux!$L$10="Trimestrielle",4,IF(Baux!$L$10="Semestrielle",2,1))))</f>
        <v/>
      </c>
      <c r="T98" s="27">
        <f>IF(R98="","",(R98+S98)*Baux!$K$10/100)</f>
        <v/>
      </c>
      <c r="U98" s="27">
        <f>IF(R98="","",R98+S98+T98)</f>
        <v/>
      </c>
      <c r="V98" s="17">
        <f>IF(AD98=0,"",IF(LEFT(K98,5)="Geler","❄ Gelée",IF(G98="",IF(D98&lt;=TODAY(),"⚠ Indice attendu","À venir"),IF(D98&lt;=TODAY(),"✔ Calculable","Indice connu – à venir"))))</f>
        <v/>
      </c>
      <c r="W98" s="29" t="n"/>
      <c r="X98" s="13" t="n"/>
      <c r="Y98" s="14" t="n"/>
      <c r="Z98" s="14" t="n"/>
      <c r="AA98" s="13" t="n"/>
      <c r="AB98" s="17">
        <f>IF(A98="","",A98&amp;"#"&amp;C98)</f>
        <v/>
      </c>
      <c r="AC98" s="17">
        <f>IF(AND(AD98=1,D98&lt;=TODAY(),N98&lt;&gt;""),1,0)</f>
        <v/>
      </c>
      <c r="AD98" s="17">
        <f>IF(OR(A98="",D98=""),0,IF(AND(ISNUMBER(Baux!$H$10),D98&gt;Baux!$H$10),0,1))</f>
        <v/>
      </c>
    </row>
    <row r="99">
      <c r="A99" s="17">
        <f>IF(Baux!$A$10="","",Baux!$A$10)</f>
        <v/>
      </c>
      <c r="B99" s="17">
        <f>IF(A99="","",Baux!$B$10)</f>
        <v/>
      </c>
      <c r="C99" s="17" t="n">
        <v>2</v>
      </c>
      <c r="D99" s="15">
        <f>IF(OR(A99="",Baux!$F$10="",Baux!$O$10=""),"",EDATE(Baux!$F$10,12*Baux!$O$10*C99))</f>
        <v/>
      </c>
      <c r="E99" s="17">
        <f>IF(AD99=0,"",Baux!$M$10)</f>
        <v/>
      </c>
      <c r="F99" s="17">
        <f>IF(AD99=0,"",IFERROR(TEXT(VALUE(LEFT(Baux!$N$10,4))+C99*Baux!$O$10,"0")&amp;RIGHT(Baux!$N$10,3),""))</f>
        <v/>
      </c>
      <c r="G99" s="25">
        <f>IF(AD99=0,"",IF(F99="","",IF(SUMIFS(Indices_long!$C:$C,Indices_long!$A:$A,E99,Indices_long!$B:$B,F99)=0,"",SUMIFS(Indices_long!$C:$C,Indices_long!$A:$A,E99,Indices_long!$B:$B,F99))))</f>
        <v/>
      </c>
      <c r="H99" s="17">
        <f>IF(AD99=0,"",IF(Baux!$P$10="Base fixe",Baux!$N$10,IF(K98="Geler – rattrapage possible",H98,F98)))</f>
        <v/>
      </c>
      <c r="I99" s="25">
        <f>IF(AD99=0,"",IF(H99="","",IF(SUMIFS(Indices_long!$C:$C,Indices_long!$A:$A,E99,Indices_long!$B:$B,H99)=0,"",SUMIFS(Indices_long!$C:$C,Indices_long!$A:$A,E99,Indices_long!$B:$B,H99))))</f>
        <v/>
      </c>
      <c r="J99" s="26">
        <f>IF(OR(G99="",I99=""),"",G99/I99)</f>
        <v/>
      </c>
      <c r="K99" s="13" t="n"/>
      <c r="L99" s="27">
        <f>IF(AD99=0,"",IF(Baux!$P$10="Base fixe",Baux!$I$10,N98))</f>
        <v/>
      </c>
      <c r="M99" s="27">
        <f>IF(OR(J99="",L99=""),"",ROUND(L99*J99,2))</f>
        <v/>
      </c>
      <c r="N99" s="27">
        <f>IF(AD99=0,"",IF(LEFT(K99,5)="Geler",O99,IF(M99="","",IF(Baux!$Q$10="",M99,MIN(M99,ROUND(L99*(1+Baux!$Q$10/100)^IF(Baux!$P$10="Base fixe",C99*Baux!$O$10,VALUE(LEFT(F99,4))-VALUE(LEFT(H99,4))),2))))))</f>
        <v/>
      </c>
      <c r="O99" s="27">
        <f>IF(AD99=0,"",N98)</f>
        <v/>
      </c>
      <c r="P99" s="28">
        <f>IF(OR(N99="",O99=""),"",N99/O99-1)</f>
        <v/>
      </c>
      <c r="Q99" s="27">
        <f>IF(N99="","",N99/12)</f>
        <v/>
      </c>
      <c r="R99" s="27">
        <f>IF(N99="","",N99/IF(Baux!$L$10="Mensuelle",12,IF(Baux!$L$10="Trimestrielle",4,IF(Baux!$L$10="Semestrielle",2,1))))</f>
        <v/>
      </c>
      <c r="S99" s="27">
        <f>IF(AD99=0,"",IF(Baux!$J$10="",0,Baux!$J$10)/IF(Baux!$L$10="Mensuelle",12,IF(Baux!$L$10="Trimestrielle",4,IF(Baux!$L$10="Semestrielle",2,1))))</f>
        <v/>
      </c>
      <c r="T99" s="27">
        <f>IF(R99="","",(R99+S99)*Baux!$K$10/100)</f>
        <v/>
      </c>
      <c r="U99" s="27">
        <f>IF(R99="","",R99+S99+T99)</f>
        <v/>
      </c>
      <c r="V99" s="17">
        <f>IF(AD99=0,"",IF(LEFT(K99,5)="Geler","❄ Gelée",IF(G99="",IF(D99&lt;=TODAY(),"⚠ Indice attendu","À venir"),IF(D99&lt;=TODAY(),"✔ Calculable","Indice connu – à venir"))))</f>
        <v/>
      </c>
      <c r="W99" s="29" t="n"/>
      <c r="X99" s="13" t="n"/>
      <c r="Y99" s="14" t="n"/>
      <c r="Z99" s="14" t="n"/>
      <c r="AA99" s="13" t="n"/>
      <c r="AB99" s="17">
        <f>IF(A99="","",A99&amp;"#"&amp;C99)</f>
        <v/>
      </c>
      <c r="AC99" s="17">
        <f>IF(AND(AD99=1,D99&lt;=TODAY(),N99&lt;&gt;""),1,0)</f>
        <v/>
      </c>
      <c r="AD99" s="17">
        <f>IF(OR(A99="",D99=""),0,IF(AND(ISNUMBER(Baux!$H$10),D99&gt;Baux!$H$10),0,1))</f>
        <v/>
      </c>
    </row>
    <row r="100">
      <c r="A100" s="17">
        <f>IF(Baux!$A$10="","",Baux!$A$10)</f>
        <v/>
      </c>
      <c r="B100" s="17">
        <f>IF(A100="","",Baux!$B$10)</f>
        <v/>
      </c>
      <c r="C100" s="17" t="n">
        <v>3</v>
      </c>
      <c r="D100" s="15">
        <f>IF(OR(A100="",Baux!$F$10="",Baux!$O$10=""),"",EDATE(Baux!$F$10,12*Baux!$O$10*C100))</f>
        <v/>
      </c>
      <c r="E100" s="17">
        <f>IF(AD100=0,"",Baux!$M$10)</f>
        <v/>
      </c>
      <c r="F100" s="17">
        <f>IF(AD100=0,"",IFERROR(TEXT(VALUE(LEFT(Baux!$N$10,4))+C100*Baux!$O$10,"0")&amp;RIGHT(Baux!$N$10,3),""))</f>
        <v/>
      </c>
      <c r="G100" s="25">
        <f>IF(AD100=0,"",IF(F100="","",IF(SUMIFS(Indices_long!$C:$C,Indices_long!$A:$A,E100,Indices_long!$B:$B,F100)=0,"",SUMIFS(Indices_long!$C:$C,Indices_long!$A:$A,E100,Indices_long!$B:$B,F100))))</f>
        <v/>
      </c>
      <c r="H100" s="17">
        <f>IF(AD100=0,"",IF(Baux!$P$10="Base fixe",Baux!$N$10,IF(K99="Geler – rattrapage possible",H99,F99)))</f>
        <v/>
      </c>
      <c r="I100" s="25">
        <f>IF(AD100=0,"",IF(H100="","",IF(SUMIFS(Indices_long!$C:$C,Indices_long!$A:$A,E100,Indices_long!$B:$B,H100)=0,"",SUMIFS(Indices_long!$C:$C,Indices_long!$A:$A,E100,Indices_long!$B:$B,H100))))</f>
        <v/>
      </c>
      <c r="J100" s="26">
        <f>IF(OR(G100="",I100=""),"",G100/I100)</f>
        <v/>
      </c>
      <c r="K100" s="13" t="n"/>
      <c r="L100" s="27">
        <f>IF(AD100=0,"",IF(Baux!$P$10="Base fixe",Baux!$I$10,N99))</f>
        <v/>
      </c>
      <c r="M100" s="27">
        <f>IF(OR(J100="",L100=""),"",ROUND(L100*J100,2))</f>
        <v/>
      </c>
      <c r="N100" s="27">
        <f>IF(AD100=0,"",IF(LEFT(K100,5)="Geler",O100,IF(M100="","",IF(Baux!$Q$10="",M100,MIN(M100,ROUND(L100*(1+Baux!$Q$10/100)^IF(Baux!$P$10="Base fixe",C100*Baux!$O$10,VALUE(LEFT(F100,4))-VALUE(LEFT(H100,4))),2))))))</f>
        <v/>
      </c>
      <c r="O100" s="27">
        <f>IF(AD100=0,"",N99)</f>
        <v/>
      </c>
      <c r="P100" s="28">
        <f>IF(OR(N100="",O100=""),"",N100/O100-1)</f>
        <v/>
      </c>
      <c r="Q100" s="27">
        <f>IF(N100="","",N100/12)</f>
        <v/>
      </c>
      <c r="R100" s="27">
        <f>IF(N100="","",N100/IF(Baux!$L$10="Mensuelle",12,IF(Baux!$L$10="Trimestrielle",4,IF(Baux!$L$10="Semestrielle",2,1))))</f>
        <v/>
      </c>
      <c r="S100" s="27">
        <f>IF(AD100=0,"",IF(Baux!$J$10="",0,Baux!$J$10)/IF(Baux!$L$10="Mensuelle",12,IF(Baux!$L$10="Trimestrielle",4,IF(Baux!$L$10="Semestrielle",2,1))))</f>
        <v/>
      </c>
      <c r="T100" s="27">
        <f>IF(R100="","",(R100+S100)*Baux!$K$10/100)</f>
        <v/>
      </c>
      <c r="U100" s="27">
        <f>IF(R100="","",R100+S100+T100)</f>
        <v/>
      </c>
      <c r="V100" s="17">
        <f>IF(AD100=0,"",IF(LEFT(K100,5)="Geler","❄ Gelée",IF(G100="",IF(D100&lt;=TODAY(),"⚠ Indice attendu","À venir"),IF(D100&lt;=TODAY(),"✔ Calculable","Indice connu – à venir"))))</f>
        <v/>
      </c>
      <c r="W100" s="29" t="n"/>
      <c r="X100" s="13" t="n"/>
      <c r="Y100" s="14" t="n"/>
      <c r="Z100" s="14" t="n"/>
      <c r="AA100" s="13" t="n"/>
      <c r="AB100" s="17">
        <f>IF(A100="","",A100&amp;"#"&amp;C100)</f>
        <v/>
      </c>
      <c r="AC100" s="17">
        <f>IF(AND(AD100=1,D100&lt;=TODAY(),N100&lt;&gt;""),1,0)</f>
        <v/>
      </c>
      <c r="AD100" s="17">
        <f>IF(OR(A100="",D100=""),0,IF(AND(ISNUMBER(Baux!$H$10),D100&gt;Baux!$H$10),0,1))</f>
        <v/>
      </c>
    </row>
    <row r="101">
      <c r="A101" s="17">
        <f>IF(Baux!$A$10="","",Baux!$A$10)</f>
        <v/>
      </c>
      <c r="B101" s="17">
        <f>IF(A101="","",Baux!$B$10)</f>
        <v/>
      </c>
      <c r="C101" s="17" t="n">
        <v>4</v>
      </c>
      <c r="D101" s="15">
        <f>IF(OR(A101="",Baux!$F$10="",Baux!$O$10=""),"",EDATE(Baux!$F$10,12*Baux!$O$10*C101))</f>
        <v/>
      </c>
      <c r="E101" s="17">
        <f>IF(AD101=0,"",Baux!$M$10)</f>
        <v/>
      </c>
      <c r="F101" s="17">
        <f>IF(AD101=0,"",IFERROR(TEXT(VALUE(LEFT(Baux!$N$10,4))+C101*Baux!$O$10,"0")&amp;RIGHT(Baux!$N$10,3),""))</f>
        <v/>
      </c>
      <c r="G101" s="25">
        <f>IF(AD101=0,"",IF(F101="","",IF(SUMIFS(Indices_long!$C:$C,Indices_long!$A:$A,E101,Indices_long!$B:$B,F101)=0,"",SUMIFS(Indices_long!$C:$C,Indices_long!$A:$A,E101,Indices_long!$B:$B,F101))))</f>
        <v/>
      </c>
      <c r="H101" s="17">
        <f>IF(AD101=0,"",IF(Baux!$P$10="Base fixe",Baux!$N$10,IF(K100="Geler – rattrapage possible",H100,F100)))</f>
        <v/>
      </c>
      <c r="I101" s="25">
        <f>IF(AD101=0,"",IF(H101="","",IF(SUMIFS(Indices_long!$C:$C,Indices_long!$A:$A,E101,Indices_long!$B:$B,H101)=0,"",SUMIFS(Indices_long!$C:$C,Indices_long!$A:$A,E101,Indices_long!$B:$B,H101))))</f>
        <v/>
      </c>
      <c r="J101" s="26">
        <f>IF(OR(G101="",I101=""),"",G101/I101)</f>
        <v/>
      </c>
      <c r="K101" s="13" t="n"/>
      <c r="L101" s="27">
        <f>IF(AD101=0,"",IF(Baux!$P$10="Base fixe",Baux!$I$10,N100))</f>
        <v/>
      </c>
      <c r="M101" s="27">
        <f>IF(OR(J101="",L101=""),"",ROUND(L101*J101,2))</f>
        <v/>
      </c>
      <c r="N101" s="27">
        <f>IF(AD101=0,"",IF(LEFT(K101,5)="Geler",O101,IF(M101="","",IF(Baux!$Q$10="",M101,MIN(M101,ROUND(L101*(1+Baux!$Q$10/100)^IF(Baux!$P$10="Base fixe",C101*Baux!$O$10,VALUE(LEFT(F101,4))-VALUE(LEFT(H101,4))),2))))))</f>
        <v/>
      </c>
      <c r="O101" s="27">
        <f>IF(AD101=0,"",N100)</f>
        <v/>
      </c>
      <c r="P101" s="28">
        <f>IF(OR(N101="",O101=""),"",N101/O101-1)</f>
        <v/>
      </c>
      <c r="Q101" s="27">
        <f>IF(N101="","",N101/12)</f>
        <v/>
      </c>
      <c r="R101" s="27">
        <f>IF(N101="","",N101/IF(Baux!$L$10="Mensuelle",12,IF(Baux!$L$10="Trimestrielle",4,IF(Baux!$L$10="Semestrielle",2,1))))</f>
        <v/>
      </c>
      <c r="S101" s="27">
        <f>IF(AD101=0,"",IF(Baux!$J$10="",0,Baux!$J$10)/IF(Baux!$L$10="Mensuelle",12,IF(Baux!$L$10="Trimestrielle",4,IF(Baux!$L$10="Semestrielle",2,1))))</f>
        <v/>
      </c>
      <c r="T101" s="27">
        <f>IF(R101="","",(R101+S101)*Baux!$K$10/100)</f>
        <v/>
      </c>
      <c r="U101" s="27">
        <f>IF(R101="","",R101+S101+T101)</f>
        <v/>
      </c>
      <c r="V101" s="17">
        <f>IF(AD101=0,"",IF(LEFT(K101,5)="Geler","❄ Gelée",IF(G101="",IF(D101&lt;=TODAY(),"⚠ Indice attendu","À venir"),IF(D101&lt;=TODAY(),"✔ Calculable","Indice connu – à venir"))))</f>
        <v/>
      </c>
      <c r="W101" s="29" t="n"/>
      <c r="X101" s="13" t="n"/>
      <c r="Y101" s="14" t="n"/>
      <c r="Z101" s="14" t="n"/>
      <c r="AA101" s="13" t="n"/>
      <c r="AB101" s="17">
        <f>IF(A101="","",A101&amp;"#"&amp;C101)</f>
        <v/>
      </c>
      <c r="AC101" s="17">
        <f>IF(AND(AD101=1,D101&lt;=TODAY(),N101&lt;&gt;""),1,0)</f>
        <v/>
      </c>
      <c r="AD101" s="17">
        <f>IF(OR(A101="",D101=""),0,IF(AND(ISNUMBER(Baux!$H$10),D101&gt;Baux!$H$10),0,1))</f>
        <v/>
      </c>
    </row>
    <row r="102">
      <c r="A102" s="17">
        <f>IF(Baux!$A$10="","",Baux!$A$10)</f>
        <v/>
      </c>
      <c r="B102" s="17">
        <f>IF(A102="","",Baux!$B$10)</f>
        <v/>
      </c>
      <c r="C102" s="17" t="n">
        <v>5</v>
      </c>
      <c r="D102" s="15">
        <f>IF(OR(A102="",Baux!$F$10="",Baux!$O$10=""),"",EDATE(Baux!$F$10,12*Baux!$O$10*C102))</f>
        <v/>
      </c>
      <c r="E102" s="17">
        <f>IF(AD102=0,"",Baux!$M$10)</f>
        <v/>
      </c>
      <c r="F102" s="17">
        <f>IF(AD102=0,"",IFERROR(TEXT(VALUE(LEFT(Baux!$N$10,4))+C102*Baux!$O$10,"0")&amp;RIGHT(Baux!$N$10,3),""))</f>
        <v/>
      </c>
      <c r="G102" s="25">
        <f>IF(AD102=0,"",IF(F102="","",IF(SUMIFS(Indices_long!$C:$C,Indices_long!$A:$A,E102,Indices_long!$B:$B,F102)=0,"",SUMIFS(Indices_long!$C:$C,Indices_long!$A:$A,E102,Indices_long!$B:$B,F102))))</f>
        <v/>
      </c>
      <c r="H102" s="17">
        <f>IF(AD102=0,"",IF(Baux!$P$10="Base fixe",Baux!$N$10,IF(K101="Geler – rattrapage possible",H101,F101)))</f>
        <v/>
      </c>
      <c r="I102" s="25">
        <f>IF(AD102=0,"",IF(H102="","",IF(SUMIFS(Indices_long!$C:$C,Indices_long!$A:$A,E102,Indices_long!$B:$B,H102)=0,"",SUMIFS(Indices_long!$C:$C,Indices_long!$A:$A,E102,Indices_long!$B:$B,H102))))</f>
        <v/>
      </c>
      <c r="J102" s="26">
        <f>IF(OR(G102="",I102=""),"",G102/I102)</f>
        <v/>
      </c>
      <c r="K102" s="13" t="n"/>
      <c r="L102" s="27">
        <f>IF(AD102=0,"",IF(Baux!$P$10="Base fixe",Baux!$I$10,N101))</f>
        <v/>
      </c>
      <c r="M102" s="27">
        <f>IF(OR(J102="",L102=""),"",ROUND(L102*J102,2))</f>
        <v/>
      </c>
      <c r="N102" s="27">
        <f>IF(AD102=0,"",IF(LEFT(K102,5)="Geler",O102,IF(M102="","",IF(Baux!$Q$10="",M102,MIN(M102,ROUND(L102*(1+Baux!$Q$10/100)^IF(Baux!$P$10="Base fixe",C102*Baux!$O$10,VALUE(LEFT(F102,4))-VALUE(LEFT(H102,4))),2))))))</f>
        <v/>
      </c>
      <c r="O102" s="27">
        <f>IF(AD102=0,"",N101)</f>
        <v/>
      </c>
      <c r="P102" s="28">
        <f>IF(OR(N102="",O102=""),"",N102/O102-1)</f>
        <v/>
      </c>
      <c r="Q102" s="27">
        <f>IF(N102="","",N102/12)</f>
        <v/>
      </c>
      <c r="R102" s="27">
        <f>IF(N102="","",N102/IF(Baux!$L$10="Mensuelle",12,IF(Baux!$L$10="Trimestrielle",4,IF(Baux!$L$10="Semestrielle",2,1))))</f>
        <v/>
      </c>
      <c r="S102" s="27">
        <f>IF(AD102=0,"",IF(Baux!$J$10="",0,Baux!$J$10)/IF(Baux!$L$10="Mensuelle",12,IF(Baux!$L$10="Trimestrielle",4,IF(Baux!$L$10="Semestrielle",2,1))))</f>
        <v/>
      </c>
      <c r="T102" s="27">
        <f>IF(R102="","",(R102+S102)*Baux!$K$10/100)</f>
        <v/>
      </c>
      <c r="U102" s="27">
        <f>IF(R102="","",R102+S102+T102)</f>
        <v/>
      </c>
      <c r="V102" s="17">
        <f>IF(AD102=0,"",IF(LEFT(K102,5)="Geler","❄ Gelée",IF(G102="",IF(D102&lt;=TODAY(),"⚠ Indice attendu","À venir"),IF(D102&lt;=TODAY(),"✔ Calculable","Indice connu – à venir"))))</f>
        <v/>
      </c>
      <c r="W102" s="29" t="n"/>
      <c r="X102" s="13" t="n"/>
      <c r="Y102" s="14" t="n"/>
      <c r="Z102" s="14" t="n"/>
      <c r="AA102" s="13" t="n"/>
      <c r="AB102" s="17">
        <f>IF(A102="","",A102&amp;"#"&amp;C102)</f>
        <v/>
      </c>
      <c r="AC102" s="17">
        <f>IF(AND(AD102=1,D102&lt;=TODAY(),N102&lt;&gt;""),1,0)</f>
        <v/>
      </c>
      <c r="AD102" s="17">
        <f>IF(OR(A102="",D102=""),0,IF(AND(ISNUMBER(Baux!$H$10),D102&gt;Baux!$H$10),0,1))</f>
        <v/>
      </c>
    </row>
    <row r="103">
      <c r="A103" s="17">
        <f>IF(Baux!$A$10="","",Baux!$A$10)</f>
        <v/>
      </c>
      <c r="B103" s="17">
        <f>IF(A103="","",Baux!$B$10)</f>
        <v/>
      </c>
      <c r="C103" s="17" t="n">
        <v>6</v>
      </c>
      <c r="D103" s="15">
        <f>IF(OR(A103="",Baux!$F$10="",Baux!$O$10=""),"",EDATE(Baux!$F$10,12*Baux!$O$10*C103))</f>
        <v/>
      </c>
      <c r="E103" s="17">
        <f>IF(AD103=0,"",Baux!$M$10)</f>
        <v/>
      </c>
      <c r="F103" s="17">
        <f>IF(AD103=0,"",IFERROR(TEXT(VALUE(LEFT(Baux!$N$10,4))+C103*Baux!$O$10,"0")&amp;RIGHT(Baux!$N$10,3),""))</f>
        <v/>
      </c>
      <c r="G103" s="25">
        <f>IF(AD103=0,"",IF(F103="","",IF(SUMIFS(Indices_long!$C:$C,Indices_long!$A:$A,E103,Indices_long!$B:$B,F103)=0,"",SUMIFS(Indices_long!$C:$C,Indices_long!$A:$A,E103,Indices_long!$B:$B,F103))))</f>
        <v/>
      </c>
      <c r="H103" s="17">
        <f>IF(AD103=0,"",IF(Baux!$P$10="Base fixe",Baux!$N$10,IF(K102="Geler – rattrapage possible",H102,F102)))</f>
        <v/>
      </c>
      <c r="I103" s="25">
        <f>IF(AD103=0,"",IF(H103="","",IF(SUMIFS(Indices_long!$C:$C,Indices_long!$A:$A,E103,Indices_long!$B:$B,H103)=0,"",SUMIFS(Indices_long!$C:$C,Indices_long!$A:$A,E103,Indices_long!$B:$B,H103))))</f>
        <v/>
      </c>
      <c r="J103" s="26">
        <f>IF(OR(G103="",I103=""),"",G103/I103)</f>
        <v/>
      </c>
      <c r="K103" s="13" t="n"/>
      <c r="L103" s="27">
        <f>IF(AD103=0,"",IF(Baux!$P$10="Base fixe",Baux!$I$10,N102))</f>
        <v/>
      </c>
      <c r="M103" s="27">
        <f>IF(OR(J103="",L103=""),"",ROUND(L103*J103,2))</f>
        <v/>
      </c>
      <c r="N103" s="27">
        <f>IF(AD103=0,"",IF(LEFT(K103,5)="Geler",O103,IF(M103="","",IF(Baux!$Q$10="",M103,MIN(M103,ROUND(L103*(1+Baux!$Q$10/100)^IF(Baux!$P$10="Base fixe",C103*Baux!$O$10,VALUE(LEFT(F103,4))-VALUE(LEFT(H103,4))),2))))))</f>
        <v/>
      </c>
      <c r="O103" s="27">
        <f>IF(AD103=0,"",N102)</f>
        <v/>
      </c>
      <c r="P103" s="28">
        <f>IF(OR(N103="",O103=""),"",N103/O103-1)</f>
        <v/>
      </c>
      <c r="Q103" s="27">
        <f>IF(N103="","",N103/12)</f>
        <v/>
      </c>
      <c r="R103" s="27">
        <f>IF(N103="","",N103/IF(Baux!$L$10="Mensuelle",12,IF(Baux!$L$10="Trimestrielle",4,IF(Baux!$L$10="Semestrielle",2,1))))</f>
        <v/>
      </c>
      <c r="S103" s="27">
        <f>IF(AD103=0,"",IF(Baux!$J$10="",0,Baux!$J$10)/IF(Baux!$L$10="Mensuelle",12,IF(Baux!$L$10="Trimestrielle",4,IF(Baux!$L$10="Semestrielle",2,1))))</f>
        <v/>
      </c>
      <c r="T103" s="27">
        <f>IF(R103="","",(R103+S103)*Baux!$K$10/100)</f>
        <v/>
      </c>
      <c r="U103" s="27">
        <f>IF(R103="","",R103+S103+T103)</f>
        <v/>
      </c>
      <c r="V103" s="17">
        <f>IF(AD103=0,"",IF(LEFT(K103,5)="Geler","❄ Gelée",IF(G103="",IF(D103&lt;=TODAY(),"⚠ Indice attendu","À venir"),IF(D103&lt;=TODAY(),"✔ Calculable","Indice connu – à venir"))))</f>
        <v/>
      </c>
      <c r="W103" s="29" t="n"/>
      <c r="X103" s="13" t="n"/>
      <c r="Y103" s="14" t="n"/>
      <c r="Z103" s="14" t="n"/>
      <c r="AA103" s="13" t="n"/>
      <c r="AB103" s="17">
        <f>IF(A103="","",A103&amp;"#"&amp;C103)</f>
        <v/>
      </c>
      <c r="AC103" s="17">
        <f>IF(AND(AD103=1,D103&lt;=TODAY(),N103&lt;&gt;""),1,0)</f>
        <v/>
      </c>
      <c r="AD103" s="17">
        <f>IF(OR(A103="",D103=""),0,IF(AND(ISNUMBER(Baux!$H$10),D103&gt;Baux!$H$10),0,1))</f>
        <v/>
      </c>
    </row>
    <row r="104">
      <c r="A104" s="17">
        <f>IF(Baux!$A$10="","",Baux!$A$10)</f>
        <v/>
      </c>
      <c r="B104" s="17">
        <f>IF(A104="","",Baux!$B$10)</f>
        <v/>
      </c>
      <c r="C104" s="17" t="n">
        <v>7</v>
      </c>
      <c r="D104" s="15">
        <f>IF(OR(A104="",Baux!$F$10="",Baux!$O$10=""),"",EDATE(Baux!$F$10,12*Baux!$O$10*C104))</f>
        <v/>
      </c>
      <c r="E104" s="17">
        <f>IF(AD104=0,"",Baux!$M$10)</f>
        <v/>
      </c>
      <c r="F104" s="17">
        <f>IF(AD104=0,"",IFERROR(TEXT(VALUE(LEFT(Baux!$N$10,4))+C104*Baux!$O$10,"0")&amp;RIGHT(Baux!$N$10,3),""))</f>
        <v/>
      </c>
      <c r="G104" s="25">
        <f>IF(AD104=0,"",IF(F104="","",IF(SUMIFS(Indices_long!$C:$C,Indices_long!$A:$A,E104,Indices_long!$B:$B,F104)=0,"",SUMIFS(Indices_long!$C:$C,Indices_long!$A:$A,E104,Indices_long!$B:$B,F104))))</f>
        <v/>
      </c>
      <c r="H104" s="17">
        <f>IF(AD104=0,"",IF(Baux!$P$10="Base fixe",Baux!$N$10,IF(K103="Geler – rattrapage possible",H103,F103)))</f>
        <v/>
      </c>
      <c r="I104" s="25">
        <f>IF(AD104=0,"",IF(H104="","",IF(SUMIFS(Indices_long!$C:$C,Indices_long!$A:$A,E104,Indices_long!$B:$B,H104)=0,"",SUMIFS(Indices_long!$C:$C,Indices_long!$A:$A,E104,Indices_long!$B:$B,H104))))</f>
        <v/>
      </c>
      <c r="J104" s="26">
        <f>IF(OR(G104="",I104=""),"",G104/I104)</f>
        <v/>
      </c>
      <c r="K104" s="13" t="n"/>
      <c r="L104" s="27">
        <f>IF(AD104=0,"",IF(Baux!$P$10="Base fixe",Baux!$I$10,N103))</f>
        <v/>
      </c>
      <c r="M104" s="27">
        <f>IF(OR(J104="",L104=""),"",ROUND(L104*J104,2))</f>
        <v/>
      </c>
      <c r="N104" s="27">
        <f>IF(AD104=0,"",IF(LEFT(K104,5)="Geler",O104,IF(M104="","",IF(Baux!$Q$10="",M104,MIN(M104,ROUND(L104*(1+Baux!$Q$10/100)^IF(Baux!$P$10="Base fixe",C104*Baux!$O$10,VALUE(LEFT(F104,4))-VALUE(LEFT(H104,4))),2))))))</f>
        <v/>
      </c>
      <c r="O104" s="27">
        <f>IF(AD104=0,"",N103)</f>
        <v/>
      </c>
      <c r="P104" s="28">
        <f>IF(OR(N104="",O104=""),"",N104/O104-1)</f>
        <v/>
      </c>
      <c r="Q104" s="27">
        <f>IF(N104="","",N104/12)</f>
        <v/>
      </c>
      <c r="R104" s="27">
        <f>IF(N104="","",N104/IF(Baux!$L$10="Mensuelle",12,IF(Baux!$L$10="Trimestrielle",4,IF(Baux!$L$10="Semestrielle",2,1))))</f>
        <v/>
      </c>
      <c r="S104" s="27">
        <f>IF(AD104=0,"",IF(Baux!$J$10="",0,Baux!$J$10)/IF(Baux!$L$10="Mensuelle",12,IF(Baux!$L$10="Trimestrielle",4,IF(Baux!$L$10="Semestrielle",2,1))))</f>
        <v/>
      </c>
      <c r="T104" s="27">
        <f>IF(R104="","",(R104+S104)*Baux!$K$10/100)</f>
        <v/>
      </c>
      <c r="U104" s="27">
        <f>IF(R104="","",R104+S104+T104)</f>
        <v/>
      </c>
      <c r="V104" s="17">
        <f>IF(AD104=0,"",IF(LEFT(K104,5)="Geler","❄ Gelée",IF(G104="",IF(D104&lt;=TODAY(),"⚠ Indice attendu","À venir"),IF(D104&lt;=TODAY(),"✔ Calculable","Indice connu – à venir"))))</f>
        <v/>
      </c>
      <c r="W104" s="29" t="n"/>
      <c r="X104" s="13" t="n"/>
      <c r="Y104" s="14" t="n"/>
      <c r="Z104" s="14" t="n"/>
      <c r="AA104" s="13" t="n"/>
      <c r="AB104" s="17">
        <f>IF(A104="","",A104&amp;"#"&amp;C104)</f>
        <v/>
      </c>
      <c r="AC104" s="17">
        <f>IF(AND(AD104=1,D104&lt;=TODAY(),N104&lt;&gt;""),1,0)</f>
        <v/>
      </c>
      <c r="AD104" s="17">
        <f>IF(OR(A104="",D104=""),0,IF(AND(ISNUMBER(Baux!$H$10),D104&gt;Baux!$H$10),0,1))</f>
        <v/>
      </c>
    </row>
    <row r="105">
      <c r="A105" s="17">
        <f>IF(Baux!$A$10="","",Baux!$A$10)</f>
        <v/>
      </c>
      <c r="B105" s="17">
        <f>IF(A105="","",Baux!$B$10)</f>
        <v/>
      </c>
      <c r="C105" s="17" t="n">
        <v>8</v>
      </c>
      <c r="D105" s="15">
        <f>IF(OR(A105="",Baux!$F$10="",Baux!$O$10=""),"",EDATE(Baux!$F$10,12*Baux!$O$10*C105))</f>
        <v/>
      </c>
      <c r="E105" s="17">
        <f>IF(AD105=0,"",Baux!$M$10)</f>
        <v/>
      </c>
      <c r="F105" s="17">
        <f>IF(AD105=0,"",IFERROR(TEXT(VALUE(LEFT(Baux!$N$10,4))+C105*Baux!$O$10,"0")&amp;RIGHT(Baux!$N$10,3),""))</f>
        <v/>
      </c>
      <c r="G105" s="25">
        <f>IF(AD105=0,"",IF(F105="","",IF(SUMIFS(Indices_long!$C:$C,Indices_long!$A:$A,E105,Indices_long!$B:$B,F105)=0,"",SUMIFS(Indices_long!$C:$C,Indices_long!$A:$A,E105,Indices_long!$B:$B,F105))))</f>
        <v/>
      </c>
      <c r="H105" s="17">
        <f>IF(AD105=0,"",IF(Baux!$P$10="Base fixe",Baux!$N$10,IF(K104="Geler – rattrapage possible",H104,F104)))</f>
        <v/>
      </c>
      <c r="I105" s="25">
        <f>IF(AD105=0,"",IF(H105="","",IF(SUMIFS(Indices_long!$C:$C,Indices_long!$A:$A,E105,Indices_long!$B:$B,H105)=0,"",SUMIFS(Indices_long!$C:$C,Indices_long!$A:$A,E105,Indices_long!$B:$B,H105))))</f>
        <v/>
      </c>
      <c r="J105" s="26">
        <f>IF(OR(G105="",I105=""),"",G105/I105)</f>
        <v/>
      </c>
      <c r="K105" s="13" t="n"/>
      <c r="L105" s="27">
        <f>IF(AD105=0,"",IF(Baux!$P$10="Base fixe",Baux!$I$10,N104))</f>
        <v/>
      </c>
      <c r="M105" s="27">
        <f>IF(OR(J105="",L105=""),"",ROUND(L105*J105,2))</f>
        <v/>
      </c>
      <c r="N105" s="27">
        <f>IF(AD105=0,"",IF(LEFT(K105,5)="Geler",O105,IF(M105="","",IF(Baux!$Q$10="",M105,MIN(M105,ROUND(L105*(1+Baux!$Q$10/100)^IF(Baux!$P$10="Base fixe",C105*Baux!$O$10,VALUE(LEFT(F105,4))-VALUE(LEFT(H105,4))),2))))))</f>
        <v/>
      </c>
      <c r="O105" s="27">
        <f>IF(AD105=0,"",N104)</f>
        <v/>
      </c>
      <c r="P105" s="28">
        <f>IF(OR(N105="",O105=""),"",N105/O105-1)</f>
        <v/>
      </c>
      <c r="Q105" s="27">
        <f>IF(N105="","",N105/12)</f>
        <v/>
      </c>
      <c r="R105" s="27">
        <f>IF(N105="","",N105/IF(Baux!$L$10="Mensuelle",12,IF(Baux!$L$10="Trimestrielle",4,IF(Baux!$L$10="Semestrielle",2,1))))</f>
        <v/>
      </c>
      <c r="S105" s="27">
        <f>IF(AD105=0,"",IF(Baux!$J$10="",0,Baux!$J$10)/IF(Baux!$L$10="Mensuelle",12,IF(Baux!$L$10="Trimestrielle",4,IF(Baux!$L$10="Semestrielle",2,1))))</f>
        <v/>
      </c>
      <c r="T105" s="27">
        <f>IF(R105="","",(R105+S105)*Baux!$K$10/100)</f>
        <v/>
      </c>
      <c r="U105" s="27">
        <f>IF(R105="","",R105+S105+T105)</f>
        <v/>
      </c>
      <c r="V105" s="17">
        <f>IF(AD105=0,"",IF(LEFT(K105,5)="Geler","❄ Gelée",IF(G105="",IF(D105&lt;=TODAY(),"⚠ Indice attendu","À venir"),IF(D105&lt;=TODAY(),"✔ Calculable","Indice connu – à venir"))))</f>
        <v/>
      </c>
      <c r="W105" s="29" t="n"/>
      <c r="X105" s="13" t="n"/>
      <c r="Y105" s="14" t="n"/>
      <c r="Z105" s="14" t="n"/>
      <c r="AA105" s="13" t="n"/>
      <c r="AB105" s="17">
        <f>IF(A105="","",A105&amp;"#"&amp;C105)</f>
        <v/>
      </c>
      <c r="AC105" s="17">
        <f>IF(AND(AD105=1,D105&lt;=TODAY(),N105&lt;&gt;""),1,0)</f>
        <v/>
      </c>
      <c r="AD105" s="17">
        <f>IF(OR(A105="",D105=""),0,IF(AND(ISNUMBER(Baux!$H$10),D105&gt;Baux!$H$10),0,1))</f>
        <v/>
      </c>
    </row>
    <row r="106">
      <c r="A106" s="17">
        <f>IF(Baux!$A$10="","",Baux!$A$10)</f>
        <v/>
      </c>
      <c r="B106" s="17">
        <f>IF(A106="","",Baux!$B$10)</f>
        <v/>
      </c>
      <c r="C106" s="17" t="n">
        <v>9</v>
      </c>
      <c r="D106" s="15">
        <f>IF(OR(A106="",Baux!$F$10="",Baux!$O$10=""),"",EDATE(Baux!$F$10,12*Baux!$O$10*C106))</f>
        <v/>
      </c>
      <c r="E106" s="17">
        <f>IF(AD106=0,"",Baux!$M$10)</f>
        <v/>
      </c>
      <c r="F106" s="17">
        <f>IF(AD106=0,"",IFERROR(TEXT(VALUE(LEFT(Baux!$N$10,4))+C106*Baux!$O$10,"0")&amp;RIGHT(Baux!$N$10,3),""))</f>
        <v/>
      </c>
      <c r="G106" s="25">
        <f>IF(AD106=0,"",IF(F106="","",IF(SUMIFS(Indices_long!$C:$C,Indices_long!$A:$A,E106,Indices_long!$B:$B,F106)=0,"",SUMIFS(Indices_long!$C:$C,Indices_long!$A:$A,E106,Indices_long!$B:$B,F106))))</f>
        <v/>
      </c>
      <c r="H106" s="17">
        <f>IF(AD106=0,"",IF(Baux!$P$10="Base fixe",Baux!$N$10,IF(K105="Geler – rattrapage possible",H105,F105)))</f>
        <v/>
      </c>
      <c r="I106" s="25">
        <f>IF(AD106=0,"",IF(H106="","",IF(SUMIFS(Indices_long!$C:$C,Indices_long!$A:$A,E106,Indices_long!$B:$B,H106)=0,"",SUMIFS(Indices_long!$C:$C,Indices_long!$A:$A,E106,Indices_long!$B:$B,H106))))</f>
        <v/>
      </c>
      <c r="J106" s="26">
        <f>IF(OR(G106="",I106=""),"",G106/I106)</f>
        <v/>
      </c>
      <c r="K106" s="13" t="n"/>
      <c r="L106" s="27">
        <f>IF(AD106=0,"",IF(Baux!$P$10="Base fixe",Baux!$I$10,N105))</f>
        <v/>
      </c>
      <c r="M106" s="27">
        <f>IF(OR(J106="",L106=""),"",ROUND(L106*J106,2))</f>
        <v/>
      </c>
      <c r="N106" s="27">
        <f>IF(AD106=0,"",IF(LEFT(K106,5)="Geler",O106,IF(M106="","",IF(Baux!$Q$10="",M106,MIN(M106,ROUND(L106*(1+Baux!$Q$10/100)^IF(Baux!$P$10="Base fixe",C106*Baux!$O$10,VALUE(LEFT(F106,4))-VALUE(LEFT(H106,4))),2))))))</f>
        <v/>
      </c>
      <c r="O106" s="27">
        <f>IF(AD106=0,"",N105)</f>
        <v/>
      </c>
      <c r="P106" s="28">
        <f>IF(OR(N106="",O106=""),"",N106/O106-1)</f>
        <v/>
      </c>
      <c r="Q106" s="27">
        <f>IF(N106="","",N106/12)</f>
        <v/>
      </c>
      <c r="R106" s="27">
        <f>IF(N106="","",N106/IF(Baux!$L$10="Mensuelle",12,IF(Baux!$L$10="Trimestrielle",4,IF(Baux!$L$10="Semestrielle",2,1))))</f>
        <v/>
      </c>
      <c r="S106" s="27">
        <f>IF(AD106=0,"",IF(Baux!$J$10="",0,Baux!$J$10)/IF(Baux!$L$10="Mensuelle",12,IF(Baux!$L$10="Trimestrielle",4,IF(Baux!$L$10="Semestrielle",2,1))))</f>
        <v/>
      </c>
      <c r="T106" s="27">
        <f>IF(R106="","",(R106+S106)*Baux!$K$10/100)</f>
        <v/>
      </c>
      <c r="U106" s="27">
        <f>IF(R106="","",R106+S106+T106)</f>
        <v/>
      </c>
      <c r="V106" s="17">
        <f>IF(AD106=0,"",IF(LEFT(K106,5)="Geler","❄ Gelée",IF(G106="",IF(D106&lt;=TODAY(),"⚠ Indice attendu","À venir"),IF(D106&lt;=TODAY(),"✔ Calculable","Indice connu – à venir"))))</f>
        <v/>
      </c>
      <c r="W106" s="29" t="n"/>
      <c r="X106" s="13" t="n"/>
      <c r="Y106" s="14" t="n"/>
      <c r="Z106" s="14" t="n"/>
      <c r="AA106" s="13" t="n"/>
      <c r="AB106" s="17">
        <f>IF(A106="","",A106&amp;"#"&amp;C106)</f>
        <v/>
      </c>
      <c r="AC106" s="17">
        <f>IF(AND(AD106=1,D106&lt;=TODAY(),N106&lt;&gt;""),1,0)</f>
        <v/>
      </c>
      <c r="AD106" s="17">
        <f>IF(OR(A106="",D106=""),0,IF(AND(ISNUMBER(Baux!$H$10),D106&gt;Baux!$H$10),0,1))</f>
        <v/>
      </c>
    </row>
    <row r="107">
      <c r="A107" s="17">
        <f>IF(Baux!$A$10="","",Baux!$A$10)</f>
        <v/>
      </c>
      <c r="B107" s="17">
        <f>IF(A107="","",Baux!$B$10)</f>
        <v/>
      </c>
      <c r="C107" s="17" t="n">
        <v>10</v>
      </c>
      <c r="D107" s="15">
        <f>IF(OR(A107="",Baux!$F$10="",Baux!$O$10=""),"",EDATE(Baux!$F$10,12*Baux!$O$10*C107))</f>
        <v/>
      </c>
      <c r="E107" s="17">
        <f>IF(AD107=0,"",Baux!$M$10)</f>
        <v/>
      </c>
      <c r="F107" s="17">
        <f>IF(AD107=0,"",IFERROR(TEXT(VALUE(LEFT(Baux!$N$10,4))+C107*Baux!$O$10,"0")&amp;RIGHT(Baux!$N$10,3),""))</f>
        <v/>
      </c>
      <c r="G107" s="25">
        <f>IF(AD107=0,"",IF(F107="","",IF(SUMIFS(Indices_long!$C:$C,Indices_long!$A:$A,E107,Indices_long!$B:$B,F107)=0,"",SUMIFS(Indices_long!$C:$C,Indices_long!$A:$A,E107,Indices_long!$B:$B,F107))))</f>
        <v/>
      </c>
      <c r="H107" s="17">
        <f>IF(AD107=0,"",IF(Baux!$P$10="Base fixe",Baux!$N$10,IF(K106="Geler – rattrapage possible",H106,F106)))</f>
        <v/>
      </c>
      <c r="I107" s="25">
        <f>IF(AD107=0,"",IF(H107="","",IF(SUMIFS(Indices_long!$C:$C,Indices_long!$A:$A,E107,Indices_long!$B:$B,H107)=0,"",SUMIFS(Indices_long!$C:$C,Indices_long!$A:$A,E107,Indices_long!$B:$B,H107))))</f>
        <v/>
      </c>
      <c r="J107" s="26">
        <f>IF(OR(G107="",I107=""),"",G107/I107)</f>
        <v/>
      </c>
      <c r="K107" s="13" t="n"/>
      <c r="L107" s="27">
        <f>IF(AD107=0,"",IF(Baux!$P$10="Base fixe",Baux!$I$10,N106))</f>
        <v/>
      </c>
      <c r="M107" s="27">
        <f>IF(OR(J107="",L107=""),"",ROUND(L107*J107,2))</f>
        <v/>
      </c>
      <c r="N107" s="27">
        <f>IF(AD107=0,"",IF(LEFT(K107,5)="Geler",O107,IF(M107="","",IF(Baux!$Q$10="",M107,MIN(M107,ROUND(L107*(1+Baux!$Q$10/100)^IF(Baux!$P$10="Base fixe",C107*Baux!$O$10,VALUE(LEFT(F107,4))-VALUE(LEFT(H107,4))),2))))))</f>
        <v/>
      </c>
      <c r="O107" s="27">
        <f>IF(AD107=0,"",N106)</f>
        <v/>
      </c>
      <c r="P107" s="28">
        <f>IF(OR(N107="",O107=""),"",N107/O107-1)</f>
        <v/>
      </c>
      <c r="Q107" s="27">
        <f>IF(N107="","",N107/12)</f>
        <v/>
      </c>
      <c r="R107" s="27">
        <f>IF(N107="","",N107/IF(Baux!$L$10="Mensuelle",12,IF(Baux!$L$10="Trimestrielle",4,IF(Baux!$L$10="Semestrielle",2,1))))</f>
        <v/>
      </c>
      <c r="S107" s="27">
        <f>IF(AD107=0,"",IF(Baux!$J$10="",0,Baux!$J$10)/IF(Baux!$L$10="Mensuelle",12,IF(Baux!$L$10="Trimestrielle",4,IF(Baux!$L$10="Semestrielle",2,1))))</f>
        <v/>
      </c>
      <c r="T107" s="27">
        <f>IF(R107="","",(R107+S107)*Baux!$K$10/100)</f>
        <v/>
      </c>
      <c r="U107" s="27">
        <f>IF(R107="","",R107+S107+T107)</f>
        <v/>
      </c>
      <c r="V107" s="17">
        <f>IF(AD107=0,"",IF(LEFT(K107,5)="Geler","❄ Gelée",IF(G107="",IF(D107&lt;=TODAY(),"⚠ Indice attendu","À venir"),IF(D107&lt;=TODAY(),"✔ Calculable","Indice connu – à venir"))))</f>
        <v/>
      </c>
      <c r="W107" s="29" t="n"/>
      <c r="X107" s="13" t="n"/>
      <c r="Y107" s="14" t="n"/>
      <c r="Z107" s="14" t="n"/>
      <c r="AA107" s="13" t="n"/>
      <c r="AB107" s="17">
        <f>IF(A107="","",A107&amp;"#"&amp;C107)</f>
        <v/>
      </c>
      <c r="AC107" s="17">
        <f>IF(AND(AD107=1,D107&lt;=TODAY(),N107&lt;&gt;""),1,0)</f>
        <v/>
      </c>
      <c r="AD107" s="17">
        <f>IF(OR(A107="",D107=""),0,IF(AND(ISNUMBER(Baux!$H$10),D107&gt;Baux!$H$10),0,1))</f>
        <v/>
      </c>
    </row>
    <row r="108">
      <c r="A108" s="17">
        <f>IF(Baux!$A$10="","",Baux!$A$10)</f>
        <v/>
      </c>
      <c r="B108" s="17">
        <f>IF(A108="","",Baux!$B$10)</f>
        <v/>
      </c>
      <c r="C108" s="17" t="n">
        <v>11</v>
      </c>
      <c r="D108" s="15">
        <f>IF(OR(A108="",Baux!$F$10="",Baux!$O$10=""),"",EDATE(Baux!$F$10,12*Baux!$O$10*C108))</f>
        <v/>
      </c>
      <c r="E108" s="17">
        <f>IF(AD108=0,"",Baux!$M$10)</f>
        <v/>
      </c>
      <c r="F108" s="17">
        <f>IF(AD108=0,"",IFERROR(TEXT(VALUE(LEFT(Baux!$N$10,4))+C108*Baux!$O$10,"0")&amp;RIGHT(Baux!$N$10,3),""))</f>
        <v/>
      </c>
      <c r="G108" s="25">
        <f>IF(AD108=0,"",IF(F108="","",IF(SUMIFS(Indices_long!$C:$C,Indices_long!$A:$A,E108,Indices_long!$B:$B,F108)=0,"",SUMIFS(Indices_long!$C:$C,Indices_long!$A:$A,E108,Indices_long!$B:$B,F108))))</f>
        <v/>
      </c>
      <c r="H108" s="17">
        <f>IF(AD108=0,"",IF(Baux!$P$10="Base fixe",Baux!$N$10,IF(K107="Geler – rattrapage possible",H107,F107)))</f>
        <v/>
      </c>
      <c r="I108" s="25">
        <f>IF(AD108=0,"",IF(H108="","",IF(SUMIFS(Indices_long!$C:$C,Indices_long!$A:$A,E108,Indices_long!$B:$B,H108)=0,"",SUMIFS(Indices_long!$C:$C,Indices_long!$A:$A,E108,Indices_long!$B:$B,H108))))</f>
        <v/>
      </c>
      <c r="J108" s="26">
        <f>IF(OR(G108="",I108=""),"",G108/I108)</f>
        <v/>
      </c>
      <c r="K108" s="13" t="n"/>
      <c r="L108" s="27">
        <f>IF(AD108=0,"",IF(Baux!$P$10="Base fixe",Baux!$I$10,N107))</f>
        <v/>
      </c>
      <c r="M108" s="27">
        <f>IF(OR(J108="",L108=""),"",ROUND(L108*J108,2))</f>
        <v/>
      </c>
      <c r="N108" s="27">
        <f>IF(AD108=0,"",IF(LEFT(K108,5)="Geler",O108,IF(M108="","",IF(Baux!$Q$10="",M108,MIN(M108,ROUND(L108*(1+Baux!$Q$10/100)^IF(Baux!$P$10="Base fixe",C108*Baux!$O$10,VALUE(LEFT(F108,4))-VALUE(LEFT(H108,4))),2))))))</f>
        <v/>
      </c>
      <c r="O108" s="27">
        <f>IF(AD108=0,"",N107)</f>
        <v/>
      </c>
      <c r="P108" s="28">
        <f>IF(OR(N108="",O108=""),"",N108/O108-1)</f>
        <v/>
      </c>
      <c r="Q108" s="27">
        <f>IF(N108="","",N108/12)</f>
        <v/>
      </c>
      <c r="R108" s="27">
        <f>IF(N108="","",N108/IF(Baux!$L$10="Mensuelle",12,IF(Baux!$L$10="Trimestrielle",4,IF(Baux!$L$10="Semestrielle",2,1))))</f>
        <v/>
      </c>
      <c r="S108" s="27">
        <f>IF(AD108=0,"",IF(Baux!$J$10="",0,Baux!$J$10)/IF(Baux!$L$10="Mensuelle",12,IF(Baux!$L$10="Trimestrielle",4,IF(Baux!$L$10="Semestrielle",2,1))))</f>
        <v/>
      </c>
      <c r="T108" s="27">
        <f>IF(R108="","",(R108+S108)*Baux!$K$10/100)</f>
        <v/>
      </c>
      <c r="U108" s="27">
        <f>IF(R108="","",R108+S108+T108)</f>
        <v/>
      </c>
      <c r="V108" s="17">
        <f>IF(AD108=0,"",IF(LEFT(K108,5)="Geler","❄ Gelée",IF(G108="",IF(D108&lt;=TODAY(),"⚠ Indice attendu","À venir"),IF(D108&lt;=TODAY(),"✔ Calculable","Indice connu – à venir"))))</f>
        <v/>
      </c>
      <c r="W108" s="29" t="n"/>
      <c r="X108" s="13" t="n"/>
      <c r="Y108" s="14" t="n"/>
      <c r="Z108" s="14" t="n"/>
      <c r="AA108" s="13" t="n"/>
      <c r="AB108" s="17">
        <f>IF(A108="","",A108&amp;"#"&amp;C108)</f>
        <v/>
      </c>
      <c r="AC108" s="17">
        <f>IF(AND(AD108=1,D108&lt;=TODAY(),N108&lt;&gt;""),1,0)</f>
        <v/>
      </c>
      <c r="AD108" s="17">
        <f>IF(OR(A108="",D108=""),0,IF(AND(ISNUMBER(Baux!$H$10),D108&gt;Baux!$H$10),0,1))</f>
        <v/>
      </c>
    </row>
    <row r="109">
      <c r="A109" s="17">
        <f>IF(Baux!$A$10="","",Baux!$A$10)</f>
        <v/>
      </c>
      <c r="B109" s="17">
        <f>IF(A109="","",Baux!$B$10)</f>
        <v/>
      </c>
      <c r="C109" s="17" t="n">
        <v>12</v>
      </c>
      <c r="D109" s="15">
        <f>IF(OR(A109="",Baux!$F$10="",Baux!$O$10=""),"",EDATE(Baux!$F$10,12*Baux!$O$10*C109))</f>
        <v/>
      </c>
      <c r="E109" s="17">
        <f>IF(AD109=0,"",Baux!$M$10)</f>
        <v/>
      </c>
      <c r="F109" s="17">
        <f>IF(AD109=0,"",IFERROR(TEXT(VALUE(LEFT(Baux!$N$10,4))+C109*Baux!$O$10,"0")&amp;RIGHT(Baux!$N$10,3),""))</f>
        <v/>
      </c>
      <c r="G109" s="25">
        <f>IF(AD109=0,"",IF(F109="","",IF(SUMIFS(Indices_long!$C:$C,Indices_long!$A:$A,E109,Indices_long!$B:$B,F109)=0,"",SUMIFS(Indices_long!$C:$C,Indices_long!$A:$A,E109,Indices_long!$B:$B,F109))))</f>
        <v/>
      </c>
      <c r="H109" s="17">
        <f>IF(AD109=0,"",IF(Baux!$P$10="Base fixe",Baux!$N$10,IF(K108="Geler – rattrapage possible",H108,F108)))</f>
        <v/>
      </c>
      <c r="I109" s="25">
        <f>IF(AD109=0,"",IF(H109="","",IF(SUMIFS(Indices_long!$C:$C,Indices_long!$A:$A,E109,Indices_long!$B:$B,H109)=0,"",SUMIFS(Indices_long!$C:$C,Indices_long!$A:$A,E109,Indices_long!$B:$B,H109))))</f>
        <v/>
      </c>
      <c r="J109" s="26">
        <f>IF(OR(G109="",I109=""),"",G109/I109)</f>
        <v/>
      </c>
      <c r="K109" s="13" t="n"/>
      <c r="L109" s="27">
        <f>IF(AD109=0,"",IF(Baux!$P$10="Base fixe",Baux!$I$10,N108))</f>
        <v/>
      </c>
      <c r="M109" s="27">
        <f>IF(OR(J109="",L109=""),"",ROUND(L109*J109,2))</f>
        <v/>
      </c>
      <c r="N109" s="27">
        <f>IF(AD109=0,"",IF(LEFT(K109,5)="Geler",O109,IF(M109="","",IF(Baux!$Q$10="",M109,MIN(M109,ROUND(L109*(1+Baux!$Q$10/100)^IF(Baux!$P$10="Base fixe",C109*Baux!$O$10,VALUE(LEFT(F109,4))-VALUE(LEFT(H109,4))),2))))))</f>
        <v/>
      </c>
      <c r="O109" s="27">
        <f>IF(AD109=0,"",N108)</f>
        <v/>
      </c>
      <c r="P109" s="28">
        <f>IF(OR(N109="",O109=""),"",N109/O109-1)</f>
        <v/>
      </c>
      <c r="Q109" s="27">
        <f>IF(N109="","",N109/12)</f>
        <v/>
      </c>
      <c r="R109" s="27">
        <f>IF(N109="","",N109/IF(Baux!$L$10="Mensuelle",12,IF(Baux!$L$10="Trimestrielle",4,IF(Baux!$L$10="Semestrielle",2,1))))</f>
        <v/>
      </c>
      <c r="S109" s="27">
        <f>IF(AD109=0,"",IF(Baux!$J$10="",0,Baux!$J$10)/IF(Baux!$L$10="Mensuelle",12,IF(Baux!$L$10="Trimestrielle",4,IF(Baux!$L$10="Semestrielle",2,1))))</f>
        <v/>
      </c>
      <c r="T109" s="27">
        <f>IF(R109="","",(R109+S109)*Baux!$K$10/100)</f>
        <v/>
      </c>
      <c r="U109" s="27">
        <f>IF(R109="","",R109+S109+T109)</f>
        <v/>
      </c>
      <c r="V109" s="17">
        <f>IF(AD109=0,"",IF(LEFT(K109,5)="Geler","❄ Gelée",IF(G109="",IF(D109&lt;=TODAY(),"⚠ Indice attendu","À venir"),IF(D109&lt;=TODAY(),"✔ Calculable","Indice connu – à venir"))))</f>
        <v/>
      </c>
      <c r="W109" s="29" t="n"/>
      <c r="X109" s="13" t="n"/>
      <c r="Y109" s="14" t="n"/>
      <c r="Z109" s="14" t="n"/>
      <c r="AA109" s="13" t="n"/>
      <c r="AB109" s="17">
        <f>IF(A109="","",A109&amp;"#"&amp;C109)</f>
        <v/>
      </c>
      <c r="AC109" s="17">
        <f>IF(AND(AD109=1,D109&lt;=TODAY(),N109&lt;&gt;""),1,0)</f>
        <v/>
      </c>
      <c r="AD109" s="17">
        <f>IF(OR(A109="",D109=""),0,IF(AND(ISNUMBER(Baux!$H$10),D109&gt;Baux!$H$10),0,1))</f>
        <v/>
      </c>
    </row>
    <row r="110">
      <c r="A110" s="17">
        <f>IF(Baux!$A$11="","",Baux!$A$11)</f>
        <v/>
      </c>
      <c r="B110" s="17">
        <f>IF(A110="","",Baux!$B$11)</f>
        <v/>
      </c>
      <c r="C110" s="17" t="n">
        <v>1</v>
      </c>
      <c r="D110" s="15">
        <f>IF(OR(A110="",Baux!$F$11="",Baux!$O$11=""),"",EDATE(Baux!$F$11,12*Baux!$O$11*C110))</f>
        <v/>
      </c>
      <c r="E110" s="17">
        <f>IF(AD110=0,"",Baux!$M$11)</f>
        <v/>
      </c>
      <c r="F110" s="17">
        <f>IF(AD110=0,"",IFERROR(TEXT(VALUE(LEFT(Baux!$N$11,4))+C110*Baux!$O$11,"0")&amp;RIGHT(Baux!$N$11,3),""))</f>
        <v/>
      </c>
      <c r="G110" s="25">
        <f>IF(AD110=0,"",IF(F110="","",IF(SUMIFS(Indices_long!$C:$C,Indices_long!$A:$A,E110,Indices_long!$B:$B,F110)=0,"",SUMIFS(Indices_long!$C:$C,Indices_long!$A:$A,E110,Indices_long!$B:$B,F110))))</f>
        <v/>
      </c>
      <c r="H110" s="17">
        <f>IF(AD110=0,"",Baux!$N$11)</f>
        <v/>
      </c>
      <c r="I110" s="25">
        <f>IF(AD110=0,"",IF(H110="","",IF(SUMIFS(Indices_long!$C:$C,Indices_long!$A:$A,E110,Indices_long!$B:$B,H110)=0,"",SUMIFS(Indices_long!$C:$C,Indices_long!$A:$A,E110,Indices_long!$B:$B,H110))))</f>
        <v/>
      </c>
      <c r="J110" s="26">
        <f>IF(OR(G110="",I110=""),"",G110/I110)</f>
        <v/>
      </c>
      <c r="K110" s="13" t="n"/>
      <c r="L110" s="27">
        <f>IF(AD110=0,"",Baux!$I$11)</f>
        <v/>
      </c>
      <c r="M110" s="27">
        <f>IF(OR(J110="",L110=""),"",ROUND(L110*J110,2))</f>
        <v/>
      </c>
      <c r="N110" s="27">
        <f>IF(AD110=0,"",IF(LEFT(K110,5)="Geler",O110,IF(M110="","",IF(Baux!$Q$11="",M110,MIN(M110,ROUND(L110*(1+Baux!$Q$11/100)^IF(Baux!$P$11="Base fixe",C110*Baux!$O$11,VALUE(LEFT(F110,4))-VALUE(LEFT(H110,4))),2))))))</f>
        <v/>
      </c>
      <c r="O110" s="27">
        <f>IF(AD110=0,"",Baux!$I$11)</f>
        <v/>
      </c>
      <c r="P110" s="28">
        <f>IF(OR(N110="",O110=""),"",N110/O110-1)</f>
        <v/>
      </c>
      <c r="Q110" s="27">
        <f>IF(N110="","",N110/12)</f>
        <v/>
      </c>
      <c r="R110" s="27">
        <f>IF(N110="","",N110/IF(Baux!$L$11="Mensuelle",12,IF(Baux!$L$11="Trimestrielle",4,IF(Baux!$L$11="Semestrielle",2,1))))</f>
        <v/>
      </c>
      <c r="S110" s="27">
        <f>IF(AD110=0,"",IF(Baux!$J$11="",0,Baux!$J$11)/IF(Baux!$L$11="Mensuelle",12,IF(Baux!$L$11="Trimestrielle",4,IF(Baux!$L$11="Semestrielle",2,1))))</f>
        <v/>
      </c>
      <c r="T110" s="27">
        <f>IF(R110="","",(R110+S110)*Baux!$K$11/100)</f>
        <v/>
      </c>
      <c r="U110" s="27">
        <f>IF(R110="","",R110+S110+T110)</f>
        <v/>
      </c>
      <c r="V110" s="17">
        <f>IF(AD110=0,"",IF(LEFT(K110,5)="Geler","❄ Gelée",IF(G110="",IF(D110&lt;=TODAY(),"⚠ Indice attendu","À venir"),IF(D110&lt;=TODAY(),"✔ Calculable","Indice connu – à venir"))))</f>
        <v/>
      </c>
      <c r="W110" s="29" t="n"/>
      <c r="X110" s="13" t="n"/>
      <c r="Y110" s="14" t="n"/>
      <c r="Z110" s="14" t="n"/>
      <c r="AA110" s="13" t="n"/>
      <c r="AB110" s="17">
        <f>IF(A110="","",A110&amp;"#"&amp;C110)</f>
        <v/>
      </c>
      <c r="AC110" s="17">
        <f>IF(AND(AD110=1,D110&lt;=TODAY(),N110&lt;&gt;""),1,0)</f>
        <v/>
      </c>
      <c r="AD110" s="17">
        <f>IF(OR(A110="",D110=""),0,IF(AND(ISNUMBER(Baux!$H$11),D110&gt;Baux!$H$11),0,1))</f>
        <v/>
      </c>
    </row>
    <row r="111">
      <c r="A111" s="17">
        <f>IF(Baux!$A$11="","",Baux!$A$11)</f>
        <v/>
      </c>
      <c r="B111" s="17">
        <f>IF(A111="","",Baux!$B$11)</f>
        <v/>
      </c>
      <c r="C111" s="17" t="n">
        <v>2</v>
      </c>
      <c r="D111" s="15">
        <f>IF(OR(A111="",Baux!$F$11="",Baux!$O$11=""),"",EDATE(Baux!$F$11,12*Baux!$O$11*C111))</f>
        <v/>
      </c>
      <c r="E111" s="17">
        <f>IF(AD111=0,"",Baux!$M$11)</f>
        <v/>
      </c>
      <c r="F111" s="17">
        <f>IF(AD111=0,"",IFERROR(TEXT(VALUE(LEFT(Baux!$N$11,4))+C111*Baux!$O$11,"0")&amp;RIGHT(Baux!$N$11,3),""))</f>
        <v/>
      </c>
      <c r="G111" s="25">
        <f>IF(AD111=0,"",IF(F111="","",IF(SUMIFS(Indices_long!$C:$C,Indices_long!$A:$A,E111,Indices_long!$B:$B,F111)=0,"",SUMIFS(Indices_long!$C:$C,Indices_long!$A:$A,E111,Indices_long!$B:$B,F111))))</f>
        <v/>
      </c>
      <c r="H111" s="17">
        <f>IF(AD111=0,"",IF(Baux!$P$11="Base fixe",Baux!$N$11,IF(K110="Geler – rattrapage possible",H110,F110)))</f>
        <v/>
      </c>
      <c r="I111" s="25">
        <f>IF(AD111=0,"",IF(H111="","",IF(SUMIFS(Indices_long!$C:$C,Indices_long!$A:$A,E111,Indices_long!$B:$B,H111)=0,"",SUMIFS(Indices_long!$C:$C,Indices_long!$A:$A,E111,Indices_long!$B:$B,H111))))</f>
        <v/>
      </c>
      <c r="J111" s="26">
        <f>IF(OR(G111="",I111=""),"",G111/I111)</f>
        <v/>
      </c>
      <c r="K111" s="13" t="n"/>
      <c r="L111" s="27">
        <f>IF(AD111=0,"",IF(Baux!$P$11="Base fixe",Baux!$I$11,N110))</f>
        <v/>
      </c>
      <c r="M111" s="27">
        <f>IF(OR(J111="",L111=""),"",ROUND(L111*J111,2))</f>
        <v/>
      </c>
      <c r="N111" s="27">
        <f>IF(AD111=0,"",IF(LEFT(K111,5)="Geler",O111,IF(M111="","",IF(Baux!$Q$11="",M111,MIN(M111,ROUND(L111*(1+Baux!$Q$11/100)^IF(Baux!$P$11="Base fixe",C111*Baux!$O$11,VALUE(LEFT(F111,4))-VALUE(LEFT(H111,4))),2))))))</f>
        <v/>
      </c>
      <c r="O111" s="27">
        <f>IF(AD111=0,"",N110)</f>
        <v/>
      </c>
      <c r="P111" s="28">
        <f>IF(OR(N111="",O111=""),"",N111/O111-1)</f>
        <v/>
      </c>
      <c r="Q111" s="27">
        <f>IF(N111="","",N111/12)</f>
        <v/>
      </c>
      <c r="R111" s="27">
        <f>IF(N111="","",N111/IF(Baux!$L$11="Mensuelle",12,IF(Baux!$L$11="Trimestrielle",4,IF(Baux!$L$11="Semestrielle",2,1))))</f>
        <v/>
      </c>
      <c r="S111" s="27">
        <f>IF(AD111=0,"",IF(Baux!$J$11="",0,Baux!$J$11)/IF(Baux!$L$11="Mensuelle",12,IF(Baux!$L$11="Trimestrielle",4,IF(Baux!$L$11="Semestrielle",2,1))))</f>
        <v/>
      </c>
      <c r="T111" s="27">
        <f>IF(R111="","",(R111+S111)*Baux!$K$11/100)</f>
        <v/>
      </c>
      <c r="U111" s="27">
        <f>IF(R111="","",R111+S111+T111)</f>
        <v/>
      </c>
      <c r="V111" s="17">
        <f>IF(AD111=0,"",IF(LEFT(K111,5)="Geler","❄ Gelée",IF(G111="",IF(D111&lt;=TODAY(),"⚠ Indice attendu","À venir"),IF(D111&lt;=TODAY(),"✔ Calculable","Indice connu – à venir"))))</f>
        <v/>
      </c>
      <c r="W111" s="29" t="n"/>
      <c r="X111" s="13" t="n"/>
      <c r="Y111" s="14" t="n"/>
      <c r="Z111" s="14" t="n"/>
      <c r="AA111" s="13" t="n"/>
      <c r="AB111" s="17">
        <f>IF(A111="","",A111&amp;"#"&amp;C111)</f>
        <v/>
      </c>
      <c r="AC111" s="17">
        <f>IF(AND(AD111=1,D111&lt;=TODAY(),N111&lt;&gt;""),1,0)</f>
        <v/>
      </c>
      <c r="AD111" s="17">
        <f>IF(OR(A111="",D111=""),0,IF(AND(ISNUMBER(Baux!$H$11),D111&gt;Baux!$H$11),0,1))</f>
        <v/>
      </c>
    </row>
    <row r="112">
      <c r="A112" s="17">
        <f>IF(Baux!$A$11="","",Baux!$A$11)</f>
        <v/>
      </c>
      <c r="B112" s="17">
        <f>IF(A112="","",Baux!$B$11)</f>
        <v/>
      </c>
      <c r="C112" s="17" t="n">
        <v>3</v>
      </c>
      <c r="D112" s="15">
        <f>IF(OR(A112="",Baux!$F$11="",Baux!$O$11=""),"",EDATE(Baux!$F$11,12*Baux!$O$11*C112))</f>
        <v/>
      </c>
      <c r="E112" s="17">
        <f>IF(AD112=0,"",Baux!$M$11)</f>
        <v/>
      </c>
      <c r="F112" s="17">
        <f>IF(AD112=0,"",IFERROR(TEXT(VALUE(LEFT(Baux!$N$11,4))+C112*Baux!$O$11,"0")&amp;RIGHT(Baux!$N$11,3),""))</f>
        <v/>
      </c>
      <c r="G112" s="25">
        <f>IF(AD112=0,"",IF(F112="","",IF(SUMIFS(Indices_long!$C:$C,Indices_long!$A:$A,E112,Indices_long!$B:$B,F112)=0,"",SUMIFS(Indices_long!$C:$C,Indices_long!$A:$A,E112,Indices_long!$B:$B,F112))))</f>
        <v/>
      </c>
      <c r="H112" s="17">
        <f>IF(AD112=0,"",IF(Baux!$P$11="Base fixe",Baux!$N$11,IF(K111="Geler – rattrapage possible",H111,F111)))</f>
        <v/>
      </c>
      <c r="I112" s="25">
        <f>IF(AD112=0,"",IF(H112="","",IF(SUMIFS(Indices_long!$C:$C,Indices_long!$A:$A,E112,Indices_long!$B:$B,H112)=0,"",SUMIFS(Indices_long!$C:$C,Indices_long!$A:$A,E112,Indices_long!$B:$B,H112))))</f>
        <v/>
      </c>
      <c r="J112" s="26">
        <f>IF(OR(G112="",I112=""),"",G112/I112)</f>
        <v/>
      </c>
      <c r="K112" s="13" t="n"/>
      <c r="L112" s="27">
        <f>IF(AD112=0,"",IF(Baux!$P$11="Base fixe",Baux!$I$11,N111))</f>
        <v/>
      </c>
      <c r="M112" s="27">
        <f>IF(OR(J112="",L112=""),"",ROUND(L112*J112,2))</f>
        <v/>
      </c>
      <c r="N112" s="27">
        <f>IF(AD112=0,"",IF(LEFT(K112,5)="Geler",O112,IF(M112="","",IF(Baux!$Q$11="",M112,MIN(M112,ROUND(L112*(1+Baux!$Q$11/100)^IF(Baux!$P$11="Base fixe",C112*Baux!$O$11,VALUE(LEFT(F112,4))-VALUE(LEFT(H112,4))),2))))))</f>
        <v/>
      </c>
      <c r="O112" s="27">
        <f>IF(AD112=0,"",N111)</f>
        <v/>
      </c>
      <c r="P112" s="28">
        <f>IF(OR(N112="",O112=""),"",N112/O112-1)</f>
        <v/>
      </c>
      <c r="Q112" s="27">
        <f>IF(N112="","",N112/12)</f>
        <v/>
      </c>
      <c r="R112" s="27">
        <f>IF(N112="","",N112/IF(Baux!$L$11="Mensuelle",12,IF(Baux!$L$11="Trimestrielle",4,IF(Baux!$L$11="Semestrielle",2,1))))</f>
        <v/>
      </c>
      <c r="S112" s="27">
        <f>IF(AD112=0,"",IF(Baux!$J$11="",0,Baux!$J$11)/IF(Baux!$L$11="Mensuelle",12,IF(Baux!$L$11="Trimestrielle",4,IF(Baux!$L$11="Semestrielle",2,1))))</f>
        <v/>
      </c>
      <c r="T112" s="27">
        <f>IF(R112="","",(R112+S112)*Baux!$K$11/100)</f>
        <v/>
      </c>
      <c r="U112" s="27">
        <f>IF(R112="","",R112+S112+T112)</f>
        <v/>
      </c>
      <c r="V112" s="17">
        <f>IF(AD112=0,"",IF(LEFT(K112,5)="Geler","❄ Gelée",IF(G112="",IF(D112&lt;=TODAY(),"⚠ Indice attendu","À venir"),IF(D112&lt;=TODAY(),"✔ Calculable","Indice connu – à venir"))))</f>
        <v/>
      </c>
      <c r="W112" s="29" t="n"/>
      <c r="X112" s="13" t="n"/>
      <c r="Y112" s="14" t="n"/>
      <c r="Z112" s="14" t="n"/>
      <c r="AA112" s="13" t="n"/>
      <c r="AB112" s="17">
        <f>IF(A112="","",A112&amp;"#"&amp;C112)</f>
        <v/>
      </c>
      <c r="AC112" s="17">
        <f>IF(AND(AD112=1,D112&lt;=TODAY(),N112&lt;&gt;""),1,0)</f>
        <v/>
      </c>
      <c r="AD112" s="17">
        <f>IF(OR(A112="",D112=""),0,IF(AND(ISNUMBER(Baux!$H$11),D112&gt;Baux!$H$11),0,1))</f>
        <v/>
      </c>
    </row>
    <row r="113">
      <c r="A113" s="17">
        <f>IF(Baux!$A$11="","",Baux!$A$11)</f>
        <v/>
      </c>
      <c r="B113" s="17">
        <f>IF(A113="","",Baux!$B$11)</f>
        <v/>
      </c>
      <c r="C113" s="17" t="n">
        <v>4</v>
      </c>
      <c r="D113" s="15">
        <f>IF(OR(A113="",Baux!$F$11="",Baux!$O$11=""),"",EDATE(Baux!$F$11,12*Baux!$O$11*C113))</f>
        <v/>
      </c>
      <c r="E113" s="17">
        <f>IF(AD113=0,"",Baux!$M$11)</f>
        <v/>
      </c>
      <c r="F113" s="17">
        <f>IF(AD113=0,"",IFERROR(TEXT(VALUE(LEFT(Baux!$N$11,4))+C113*Baux!$O$11,"0")&amp;RIGHT(Baux!$N$11,3),""))</f>
        <v/>
      </c>
      <c r="G113" s="25">
        <f>IF(AD113=0,"",IF(F113="","",IF(SUMIFS(Indices_long!$C:$C,Indices_long!$A:$A,E113,Indices_long!$B:$B,F113)=0,"",SUMIFS(Indices_long!$C:$C,Indices_long!$A:$A,E113,Indices_long!$B:$B,F113))))</f>
        <v/>
      </c>
      <c r="H113" s="17">
        <f>IF(AD113=0,"",IF(Baux!$P$11="Base fixe",Baux!$N$11,IF(K112="Geler – rattrapage possible",H112,F112)))</f>
        <v/>
      </c>
      <c r="I113" s="25">
        <f>IF(AD113=0,"",IF(H113="","",IF(SUMIFS(Indices_long!$C:$C,Indices_long!$A:$A,E113,Indices_long!$B:$B,H113)=0,"",SUMIFS(Indices_long!$C:$C,Indices_long!$A:$A,E113,Indices_long!$B:$B,H113))))</f>
        <v/>
      </c>
      <c r="J113" s="26">
        <f>IF(OR(G113="",I113=""),"",G113/I113)</f>
        <v/>
      </c>
      <c r="K113" s="13" t="n"/>
      <c r="L113" s="27">
        <f>IF(AD113=0,"",IF(Baux!$P$11="Base fixe",Baux!$I$11,N112))</f>
        <v/>
      </c>
      <c r="M113" s="27">
        <f>IF(OR(J113="",L113=""),"",ROUND(L113*J113,2))</f>
        <v/>
      </c>
      <c r="N113" s="27">
        <f>IF(AD113=0,"",IF(LEFT(K113,5)="Geler",O113,IF(M113="","",IF(Baux!$Q$11="",M113,MIN(M113,ROUND(L113*(1+Baux!$Q$11/100)^IF(Baux!$P$11="Base fixe",C113*Baux!$O$11,VALUE(LEFT(F113,4))-VALUE(LEFT(H113,4))),2))))))</f>
        <v/>
      </c>
      <c r="O113" s="27">
        <f>IF(AD113=0,"",N112)</f>
        <v/>
      </c>
      <c r="P113" s="28">
        <f>IF(OR(N113="",O113=""),"",N113/O113-1)</f>
        <v/>
      </c>
      <c r="Q113" s="27">
        <f>IF(N113="","",N113/12)</f>
        <v/>
      </c>
      <c r="R113" s="27">
        <f>IF(N113="","",N113/IF(Baux!$L$11="Mensuelle",12,IF(Baux!$L$11="Trimestrielle",4,IF(Baux!$L$11="Semestrielle",2,1))))</f>
        <v/>
      </c>
      <c r="S113" s="27">
        <f>IF(AD113=0,"",IF(Baux!$J$11="",0,Baux!$J$11)/IF(Baux!$L$11="Mensuelle",12,IF(Baux!$L$11="Trimestrielle",4,IF(Baux!$L$11="Semestrielle",2,1))))</f>
        <v/>
      </c>
      <c r="T113" s="27">
        <f>IF(R113="","",(R113+S113)*Baux!$K$11/100)</f>
        <v/>
      </c>
      <c r="U113" s="27">
        <f>IF(R113="","",R113+S113+T113)</f>
        <v/>
      </c>
      <c r="V113" s="17">
        <f>IF(AD113=0,"",IF(LEFT(K113,5)="Geler","❄ Gelée",IF(G113="",IF(D113&lt;=TODAY(),"⚠ Indice attendu","À venir"),IF(D113&lt;=TODAY(),"✔ Calculable","Indice connu – à venir"))))</f>
        <v/>
      </c>
      <c r="W113" s="29" t="n"/>
      <c r="X113" s="13" t="n"/>
      <c r="Y113" s="14" t="n"/>
      <c r="Z113" s="14" t="n"/>
      <c r="AA113" s="13" t="n"/>
      <c r="AB113" s="17">
        <f>IF(A113="","",A113&amp;"#"&amp;C113)</f>
        <v/>
      </c>
      <c r="AC113" s="17">
        <f>IF(AND(AD113=1,D113&lt;=TODAY(),N113&lt;&gt;""),1,0)</f>
        <v/>
      </c>
      <c r="AD113" s="17">
        <f>IF(OR(A113="",D113=""),0,IF(AND(ISNUMBER(Baux!$H$11),D113&gt;Baux!$H$11),0,1))</f>
        <v/>
      </c>
    </row>
    <row r="114">
      <c r="A114" s="17">
        <f>IF(Baux!$A$11="","",Baux!$A$11)</f>
        <v/>
      </c>
      <c r="B114" s="17">
        <f>IF(A114="","",Baux!$B$11)</f>
        <v/>
      </c>
      <c r="C114" s="17" t="n">
        <v>5</v>
      </c>
      <c r="D114" s="15">
        <f>IF(OR(A114="",Baux!$F$11="",Baux!$O$11=""),"",EDATE(Baux!$F$11,12*Baux!$O$11*C114))</f>
        <v/>
      </c>
      <c r="E114" s="17">
        <f>IF(AD114=0,"",Baux!$M$11)</f>
        <v/>
      </c>
      <c r="F114" s="17">
        <f>IF(AD114=0,"",IFERROR(TEXT(VALUE(LEFT(Baux!$N$11,4))+C114*Baux!$O$11,"0")&amp;RIGHT(Baux!$N$11,3),""))</f>
        <v/>
      </c>
      <c r="G114" s="25">
        <f>IF(AD114=0,"",IF(F114="","",IF(SUMIFS(Indices_long!$C:$C,Indices_long!$A:$A,E114,Indices_long!$B:$B,F114)=0,"",SUMIFS(Indices_long!$C:$C,Indices_long!$A:$A,E114,Indices_long!$B:$B,F114))))</f>
        <v/>
      </c>
      <c r="H114" s="17">
        <f>IF(AD114=0,"",IF(Baux!$P$11="Base fixe",Baux!$N$11,IF(K113="Geler – rattrapage possible",H113,F113)))</f>
        <v/>
      </c>
      <c r="I114" s="25">
        <f>IF(AD114=0,"",IF(H114="","",IF(SUMIFS(Indices_long!$C:$C,Indices_long!$A:$A,E114,Indices_long!$B:$B,H114)=0,"",SUMIFS(Indices_long!$C:$C,Indices_long!$A:$A,E114,Indices_long!$B:$B,H114))))</f>
        <v/>
      </c>
      <c r="J114" s="26">
        <f>IF(OR(G114="",I114=""),"",G114/I114)</f>
        <v/>
      </c>
      <c r="K114" s="13" t="n"/>
      <c r="L114" s="27">
        <f>IF(AD114=0,"",IF(Baux!$P$11="Base fixe",Baux!$I$11,N113))</f>
        <v/>
      </c>
      <c r="M114" s="27">
        <f>IF(OR(J114="",L114=""),"",ROUND(L114*J114,2))</f>
        <v/>
      </c>
      <c r="N114" s="27">
        <f>IF(AD114=0,"",IF(LEFT(K114,5)="Geler",O114,IF(M114="","",IF(Baux!$Q$11="",M114,MIN(M114,ROUND(L114*(1+Baux!$Q$11/100)^IF(Baux!$P$11="Base fixe",C114*Baux!$O$11,VALUE(LEFT(F114,4))-VALUE(LEFT(H114,4))),2))))))</f>
        <v/>
      </c>
      <c r="O114" s="27">
        <f>IF(AD114=0,"",N113)</f>
        <v/>
      </c>
      <c r="P114" s="28">
        <f>IF(OR(N114="",O114=""),"",N114/O114-1)</f>
        <v/>
      </c>
      <c r="Q114" s="27">
        <f>IF(N114="","",N114/12)</f>
        <v/>
      </c>
      <c r="R114" s="27">
        <f>IF(N114="","",N114/IF(Baux!$L$11="Mensuelle",12,IF(Baux!$L$11="Trimestrielle",4,IF(Baux!$L$11="Semestrielle",2,1))))</f>
        <v/>
      </c>
      <c r="S114" s="27">
        <f>IF(AD114=0,"",IF(Baux!$J$11="",0,Baux!$J$11)/IF(Baux!$L$11="Mensuelle",12,IF(Baux!$L$11="Trimestrielle",4,IF(Baux!$L$11="Semestrielle",2,1))))</f>
        <v/>
      </c>
      <c r="T114" s="27">
        <f>IF(R114="","",(R114+S114)*Baux!$K$11/100)</f>
        <v/>
      </c>
      <c r="U114" s="27">
        <f>IF(R114="","",R114+S114+T114)</f>
        <v/>
      </c>
      <c r="V114" s="17">
        <f>IF(AD114=0,"",IF(LEFT(K114,5)="Geler","❄ Gelée",IF(G114="",IF(D114&lt;=TODAY(),"⚠ Indice attendu","À venir"),IF(D114&lt;=TODAY(),"✔ Calculable","Indice connu – à venir"))))</f>
        <v/>
      </c>
      <c r="W114" s="29" t="n"/>
      <c r="X114" s="13" t="n"/>
      <c r="Y114" s="14" t="n"/>
      <c r="Z114" s="14" t="n"/>
      <c r="AA114" s="13" t="n"/>
      <c r="AB114" s="17">
        <f>IF(A114="","",A114&amp;"#"&amp;C114)</f>
        <v/>
      </c>
      <c r="AC114" s="17">
        <f>IF(AND(AD114=1,D114&lt;=TODAY(),N114&lt;&gt;""),1,0)</f>
        <v/>
      </c>
      <c r="AD114" s="17">
        <f>IF(OR(A114="",D114=""),0,IF(AND(ISNUMBER(Baux!$H$11),D114&gt;Baux!$H$11),0,1))</f>
        <v/>
      </c>
    </row>
    <row r="115">
      <c r="A115" s="17">
        <f>IF(Baux!$A$11="","",Baux!$A$11)</f>
        <v/>
      </c>
      <c r="B115" s="17">
        <f>IF(A115="","",Baux!$B$11)</f>
        <v/>
      </c>
      <c r="C115" s="17" t="n">
        <v>6</v>
      </c>
      <c r="D115" s="15">
        <f>IF(OR(A115="",Baux!$F$11="",Baux!$O$11=""),"",EDATE(Baux!$F$11,12*Baux!$O$11*C115))</f>
        <v/>
      </c>
      <c r="E115" s="17">
        <f>IF(AD115=0,"",Baux!$M$11)</f>
        <v/>
      </c>
      <c r="F115" s="17">
        <f>IF(AD115=0,"",IFERROR(TEXT(VALUE(LEFT(Baux!$N$11,4))+C115*Baux!$O$11,"0")&amp;RIGHT(Baux!$N$11,3),""))</f>
        <v/>
      </c>
      <c r="G115" s="25">
        <f>IF(AD115=0,"",IF(F115="","",IF(SUMIFS(Indices_long!$C:$C,Indices_long!$A:$A,E115,Indices_long!$B:$B,F115)=0,"",SUMIFS(Indices_long!$C:$C,Indices_long!$A:$A,E115,Indices_long!$B:$B,F115))))</f>
        <v/>
      </c>
      <c r="H115" s="17">
        <f>IF(AD115=0,"",IF(Baux!$P$11="Base fixe",Baux!$N$11,IF(K114="Geler – rattrapage possible",H114,F114)))</f>
        <v/>
      </c>
      <c r="I115" s="25">
        <f>IF(AD115=0,"",IF(H115="","",IF(SUMIFS(Indices_long!$C:$C,Indices_long!$A:$A,E115,Indices_long!$B:$B,H115)=0,"",SUMIFS(Indices_long!$C:$C,Indices_long!$A:$A,E115,Indices_long!$B:$B,H115))))</f>
        <v/>
      </c>
      <c r="J115" s="26">
        <f>IF(OR(G115="",I115=""),"",G115/I115)</f>
        <v/>
      </c>
      <c r="K115" s="13" t="n"/>
      <c r="L115" s="27">
        <f>IF(AD115=0,"",IF(Baux!$P$11="Base fixe",Baux!$I$11,N114))</f>
        <v/>
      </c>
      <c r="M115" s="27">
        <f>IF(OR(J115="",L115=""),"",ROUND(L115*J115,2))</f>
        <v/>
      </c>
      <c r="N115" s="27">
        <f>IF(AD115=0,"",IF(LEFT(K115,5)="Geler",O115,IF(M115="","",IF(Baux!$Q$11="",M115,MIN(M115,ROUND(L115*(1+Baux!$Q$11/100)^IF(Baux!$P$11="Base fixe",C115*Baux!$O$11,VALUE(LEFT(F115,4))-VALUE(LEFT(H115,4))),2))))))</f>
        <v/>
      </c>
      <c r="O115" s="27">
        <f>IF(AD115=0,"",N114)</f>
        <v/>
      </c>
      <c r="P115" s="28">
        <f>IF(OR(N115="",O115=""),"",N115/O115-1)</f>
        <v/>
      </c>
      <c r="Q115" s="27">
        <f>IF(N115="","",N115/12)</f>
        <v/>
      </c>
      <c r="R115" s="27">
        <f>IF(N115="","",N115/IF(Baux!$L$11="Mensuelle",12,IF(Baux!$L$11="Trimestrielle",4,IF(Baux!$L$11="Semestrielle",2,1))))</f>
        <v/>
      </c>
      <c r="S115" s="27">
        <f>IF(AD115=0,"",IF(Baux!$J$11="",0,Baux!$J$11)/IF(Baux!$L$11="Mensuelle",12,IF(Baux!$L$11="Trimestrielle",4,IF(Baux!$L$11="Semestrielle",2,1))))</f>
        <v/>
      </c>
      <c r="T115" s="27">
        <f>IF(R115="","",(R115+S115)*Baux!$K$11/100)</f>
        <v/>
      </c>
      <c r="U115" s="27">
        <f>IF(R115="","",R115+S115+T115)</f>
        <v/>
      </c>
      <c r="V115" s="17">
        <f>IF(AD115=0,"",IF(LEFT(K115,5)="Geler","❄ Gelée",IF(G115="",IF(D115&lt;=TODAY(),"⚠ Indice attendu","À venir"),IF(D115&lt;=TODAY(),"✔ Calculable","Indice connu – à venir"))))</f>
        <v/>
      </c>
      <c r="W115" s="29" t="n"/>
      <c r="X115" s="13" t="n"/>
      <c r="Y115" s="14" t="n"/>
      <c r="Z115" s="14" t="n"/>
      <c r="AA115" s="13" t="n"/>
      <c r="AB115" s="17">
        <f>IF(A115="","",A115&amp;"#"&amp;C115)</f>
        <v/>
      </c>
      <c r="AC115" s="17">
        <f>IF(AND(AD115=1,D115&lt;=TODAY(),N115&lt;&gt;""),1,0)</f>
        <v/>
      </c>
      <c r="AD115" s="17">
        <f>IF(OR(A115="",D115=""),0,IF(AND(ISNUMBER(Baux!$H$11),D115&gt;Baux!$H$11),0,1))</f>
        <v/>
      </c>
    </row>
    <row r="116">
      <c r="A116" s="17">
        <f>IF(Baux!$A$11="","",Baux!$A$11)</f>
        <v/>
      </c>
      <c r="B116" s="17">
        <f>IF(A116="","",Baux!$B$11)</f>
        <v/>
      </c>
      <c r="C116" s="17" t="n">
        <v>7</v>
      </c>
      <c r="D116" s="15">
        <f>IF(OR(A116="",Baux!$F$11="",Baux!$O$11=""),"",EDATE(Baux!$F$11,12*Baux!$O$11*C116))</f>
        <v/>
      </c>
      <c r="E116" s="17">
        <f>IF(AD116=0,"",Baux!$M$11)</f>
        <v/>
      </c>
      <c r="F116" s="17">
        <f>IF(AD116=0,"",IFERROR(TEXT(VALUE(LEFT(Baux!$N$11,4))+C116*Baux!$O$11,"0")&amp;RIGHT(Baux!$N$11,3),""))</f>
        <v/>
      </c>
      <c r="G116" s="25">
        <f>IF(AD116=0,"",IF(F116="","",IF(SUMIFS(Indices_long!$C:$C,Indices_long!$A:$A,E116,Indices_long!$B:$B,F116)=0,"",SUMIFS(Indices_long!$C:$C,Indices_long!$A:$A,E116,Indices_long!$B:$B,F116))))</f>
        <v/>
      </c>
      <c r="H116" s="17">
        <f>IF(AD116=0,"",IF(Baux!$P$11="Base fixe",Baux!$N$11,IF(K115="Geler – rattrapage possible",H115,F115)))</f>
        <v/>
      </c>
      <c r="I116" s="25">
        <f>IF(AD116=0,"",IF(H116="","",IF(SUMIFS(Indices_long!$C:$C,Indices_long!$A:$A,E116,Indices_long!$B:$B,H116)=0,"",SUMIFS(Indices_long!$C:$C,Indices_long!$A:$A,E116,Indices_long!$B:$B,H116))))</f>
        <v/>
      </c>
      <c r="J116" s="26">
        <f>IF(OR(G116="",I116=""),"",G116/I116)</f>
        <v/>
      </c>
      <c r="K116" s="13" t="n"/>
      <c r="L116" s="27">
        <f>IF(AD116=0,"",IF(Baux!$P$11="Base fixe",Baux!$I$11,N115))</f>
        <v/>
      </c>
      <c r="M116" s="27">
        <f>IF(OR(J116="",L116=""),"",ROUND(L116*J116,2))</f>
        <v/>
      </c>
      <c r="N116" s="27">
        <f>IF(AD116=0,"",IF(LEFT(K116,5)="Geler",O116,IF(M116="","",IF(Baux!$Q$11="",M116,MIN(M116,ROUND(L116*(1+Baux!$Q$11/100)^IF(Baux!$P$11="Base fixe",C116*Baux!$O$11,VALUE(LEFT(F116,4))-VALUE(LEFT(H116,4))),2))))))</f>
        <v/>
      </c>
      <c r="O116" s="27">
        <f>IF(AD116=0,"",N115)</f>
        <v/>
      </c>
      <c r="P116" s="28">
        <f>IF(OR(N116="",O116=""),"",N116/O116-1)</f>
        <v/>
      </c>
      <c r="Q116" s="27">
        <f>IF(N116="","",N116/12)</f>
        <v/>
      </c>
      <c r="R116" s="27">
        <f>IF(N116="","",N116/IF(Baux!$L$11="Mensuelle",12,IF(Baux!$L$11="Trimestrielle",4,IF(Baux!$L$11="Semestrielle",2,1))))</f>
        <v/>
      </c>
      <c r="S116" s="27">
        <f>IF(AD116=0,"",IF(Baux!$J$11="",0,Baux!$J$11)/IF(Baux!$L$11="Mensuelle",12,IF(Baux!$L$11="Trimestrielle",4,IF(Baux!$L$11="Semestrielle",2,1))))</f>
        <v/>
      </c>
      <c r="T116" s="27">
        <f>IF(R116="","",(R116+S116)*Baux!$K$11/100)</f>
        <v/>
      </c>
      <c r="U116" s="27">
        <f>IF(R116="","",R116+S116+T116)</f>
        <v/>
      </c>
      <c r="V116" s="17">
        <f>IF(AD116=0,"",IF(LEFT(K116,5)="Geler","❄ Gelée",IF(G116="",IF(D116&lt;=TODAY(),"⚠ Indice attendu","À venir"),IF(D116&lt;=TODAY(),"✔ Calculable","Indice connu – à venir"))))</f>
        <v/>
      </c>
      <c r="W116" s="29" t="n"/>
      <c r="X116" s="13" t="n"/>
      <c r="Y116" s="14" t="n"/>
      <c r="Z116" s="14" t="n"/>
      <c r="AA116" s="13" t="n"/>
      <c r="AB116" s="17">
        <f>IF(A116="","",A116&amp;"#"&amp;C116)</f>
        <v/>
      </c>
      <c r="AC116" s="17">
        <f>IF(AND(AD116=1,D116&lt;=TODAY(),N116&lt;&gt;""),1,0)</f>
        <v/>
      </c>
      <c r="AD116" s="17">
        <f>IF(OR(A116="",D116=""),0,IF(AND(ISNUMBER(Baux!$H$11),D116&gt;Baux!$H$11),0,1))</f>
        <v/>
      </c>
    </row>
    <row r="117">
      <c r="A117" s="17">
        <f>IF(Baux!$A$11="","",Baux!$A$11)</f>
        <v/>
      </c>
      <c r="B117" s="17">
        <f>IF(A117="","",Baux!$B$11)</f>
        <v/>
      </c>
      <c r="C117" s="17" t="n">
        <v>8</v>
      </c>
      <c r="D117" s="15">
        <f>IF(OR(A117="",Baux!$F$11="",Baux!$O$11=""),"",EDATE(Baux!$F$11,12*Baux!$O$11*C117))</f>
        <v/>
      </c>
      <c r="E117" s="17">
        <f>IF(AD117=0,"",Baux!$M$11)</f>
        <v/>
      </c>
      <c r="F117" s="17">
        <f>IF(AD117=0,"",IFERROR(TEXT(VALUE(LEFT(Baux!$N$11,4))+C117*Baux!$O$11,"0")&amp;RIGHT(Baux!$N$11,3),""))</f>
        <v/>
      </c>
      <c r="G117" s="25">
        <f>IF(AD117=0,"",IF(F117="","",IF(SUMIFS(Indices_long!$C:$C,Indices_long!$A:$A,E117,Indices_long!$B:$B,F117)=0,"",SUMIFS(Indices_long!$C:$C,Indices_long!$A:$A,E117,Indices_long!$B:$B,F117))))</f>
        <v/>
      </c>
      <c r="H117" s="17">
        <f>IF(AD117=0,"",IF(Baux!$P$11="Base fixe",Baux!$N$11,IF(K116="Geler – rattrapage possible",H116,F116)))</f>
        <v/>
      </c>
      <c r="I117" s="25">
        <f>IF(AD117=0,"",IF(H117="","",IF(SUMIFS(Indices_long!$C:$C,Indices_long!$A:$A,E117,Indices_long!$B:$B,H117)=0,"",SUMIFS(Indices_long!$C:$C,Indices_long!$A:$A,E117,Indices_long!$B:$B,H117))))</f>
        <v/>
      </c>
      <c r="J117" s="26">
        <f>IF(OR(G117="",I117=""),"",G117/I117)</f>
        <v/>
      </c>
      <c r="K117" s="13" t="n"/>
      <c r="L117" s="27">
        <f>IF(AD117=0,"",IF(Baux!$P$11="Base fixe",Baux!$I$11,N116))</f>
        <v/>
      </c>
      <c r="M117" s="27">
        <f>IF(OR(J117="",L117=""),"",ROUND(L117*J117,2))</f>
        <v/>
      </c>
      <c r="N117" s="27">
        <f>IF(AD117=0,"",IF(LEFT(K117,5)="Geler",O117,IF(M117="","",IF(Baux!$Q$11="",M117,MIN(M117,ROUND(L117*(1+Baux!$Q$11/100)^IF(Baux!$P$11="Base fixe",C117*Baux!$O$11,VALUE(LEFT(F117,4))-VALUE(LEFT(H117,4))),2))))))</f>
        <v/>
      </c>
      <c r="O117" s="27">
        <f>IF(AD117=0,"",N116)</f>
        <v/>
      </c>
      <c r="P117" s="28">
        <f>IF(OR(N117="",O117=""),"",N117/O117-1)</f>
        <v/>
      </c>
      <c r="Q117" s="27">
        <f>IF(N117="","",N117/12)</f>
        <v/>
      </c>
      <c r="R117" s="27">
        <f>IF(N117="","",N117/IF(Baux!$L$11="Mensuelle",12,IF(Baux!$L$11="Trimestrielle",4,IF(Baux!$L$11="Semestrielle",2,1))))</f>
        <v/>
      </c>
      <c r="S117" s="27">
        <f>IF(AD117=0,"",IF(Baux!$J$11="",0,Baux!$J$11)/IF(Baux!$L$11="Mensuelle",12,IF(Baux!$L$11="Trimestrielle",4,IF(Baux!$L$11="Semestrielle",2,1))))</f>
        <v/>
      </c>
      <c r="T117" s="27">
        <f>IF(R117="","",(R117+S117)*Baux!$K$11/100)</f>
        <v/>
      </c>
      <c r="U117" s="27">
        <f>IF(R117="","",R117+S117+T117)</f>
        <v/>
      </c>
      <c r="V117" s="17">
        <f>IF(AD117=0,"",IF(LEFT(K117,5)="Geler","❄ Gelée",IF(G117="",IF(D117&lt;=TODAY(),"⚠ Indice attendu","À venir"),IF(D117&lt;=TODAY(),"✔ Calculable","Indice connu – à venir"))))</f>
        <v/>
      </c>
      <c r="W117" s="29" t="n"/>
      <c r="X117" s="13" t="n"/>
      <c r="Y117" s="14" t="n"/>
      <c r="Z117" s="14" t="n"/>
      <c r="AA117" s="13" t="n"/>
      <c r="AB117" s="17">
        <f>IF(A117="","",A117&amp;"#"&amp;C117)</f>
        <v/>
      </c>
      <c r="AC117" s="17">
        <f>IF(AND(AD117=1,D117&lt;=TODAY(),N117&lt;&gt;""),1,0)</f>
        <v/>
      </c>
      <c r="AD117" s="17">
        <f>IF(OR(A117="",D117=""),0,IF(AND(ISNUMBER(Baux!$H$11),D117&gt;Baux!$H$11),0,1))</f>
        <v/>
      </c>
    </row>
    <row r="118">
      <c r="A118" s="17">
        <f>IF(Baux!$A$11="","",Baux!$A$11)</f>
        <v/>
      </c>
      <c r="B118" s="17">
        <f>IF(A118="","",Baux!$B$11)</f>
        <v/>
      </c>
      <c r="C118" s="17" t="n">
        <v>9</v>
      </c>
      <c r="D118" s="15">
        <f>IF(OR(A118="",Baux!$F$11="",Baux!$O$11=""),"",EDATE(Baux!$F$11,12*Baux!$O$11*C118))</f>
        <v/>
      </c>
      <c r="E118" s="17">
        <f>IF(AD118=0,"",Baux!$M$11)</f>
        <v/>
      </c>
      <c r="F118" s="17">
        <f>IF(AD118=0,"",IFERROR(TEXT(VALUE(LEFT(Baux!$N$11,4))+C118*Baux!$O$11,"0")&amp;RIGHT(Baux!$N$11,3),""))</f>
        <v/>
      </c>
      <c r="G118" s="25">
        <f>IF(AD118=0,"",IF(F118="","",IF(SUMIFS(Indices_long!$C:$C,Indices_long!$A:$A,E118,Indices_long!$B:$B,F118)=0,"",SUMIFS(Indices_long!$C:$C,Indices_long!$A:$A,E118,Indices_long!$B:$B,F118))))</f>
        <v/>
      </c>
      <c r="H118" s="17">
        <f>IF(AD118=0,"",IF(Baux!$P$11="Base fixe",Baux!$N$11,IF(K117="Geler – rattrapage possible",H117,F117)))</f>
        <v/>
      </c>
      <c r="I118" s="25">
        <f>IF(AD118=0,"",IF(H118="","",IF(SUMIFS(Indices_long!$C:$C,Indices_long!$A:$A,E118,Indices_long!$B:$B,H118)=0,"",SUMIFS(Indices_long!$C:$C,Indices_long!$A:$A,E118,Indices_long!$B:$B,H118))))</f>
        <v/>
      </c>
      <c r="J118" s="26">
        <f>IF(OR(G118="",I118=""),"",G118/I118)</f>
        <v/>
      </c>
      <c r="K118" s="13" t="n"/>
      <c r="L118" s="27">
        <f>IF(AD118=0,"",IF(Baux!$P$11="Base fixe",Baux!$I$11,N117))</f>
        <v/>
      </c>
      <c r="M118" s="27">
        <f>IF(OR(J118="",L118=""),"",ROUND(L118*J118,2))</f>
        <v/>
      </c>
      <c r="N118" s="27">
        <f>IF(AD118=0,"",IF(LEFT(K118,5)="Geler",O118,IF(M118="","",IF(Baux!$Q$11="",M118,MIN(M118,ROUND(L118*(1+Baux!$Q$11/100)^IF(Baux!$P$11="Base fixe",C118*Baux!$O$11,VALUE(LEFT(F118,4))-VALUE(LEFT(H118,4))),2))))))</f>
        <v/>
      </c>
      <c r="O118" s="27">
        <f>IF(AD118=0,"",N117)</f>
        <v/>
      </c>
      <c r="P118" s="28">
        <f>IF(OR(N118="",O118=""),"",N118/O118-1)</f>
        <v/>
      </c>
      <c r="Q118" s="27">
        <f>IF(N118="","",N118/12)</f>
        <v/>
      </c>
      <c r="R118" s="27">
        <f>IF(N118="","",N118/IF(Baux!$L$11="Mensuelle",12,IF(Baux!$L$11="Trimestrielle",4,IF(Baux!$L$11="Semestrielle",2,1))))</f>
        <v/>
      </c>
      <c r="S118" s="27">
        <f>IF(AD118=0,"",IF(Baux!$J$11="",0,Baux!$J$11)/IF(Baux!$L$11="Mensuelle",12,IF(Baux!$L$11="Trimestrielle",4,IF(Baux!$L$11="Semestrielle",2,1))))</f>
        <v/>
      </c>
      <c r="T118" s="27">
        <f>IF(R118="","",(R118+S118)*Baux!$K$11/100)</f>
        <v/>
      </c>
      <c r="U118" s="27">
        <f>IF(R118="","",R118+S118+T118)</f>
        <v/>
      </c>
      <c r="V118" s="17">
        <f>IF(AD118=0,"",IF(LEFT(K118,5)="Geler","❄ Gelée",IF(G118="",IF(D118&lt;=TODAY(),"⚠ Indice attendu","À venir"),IF(D118&lt;=TODAY(),"✔ Calculable","Indice connu – à venir"))))</f>
        <v/>
      </c>
      <c r="W118" s="29" t="n"/>
      <c r="X118" s="13" t="n"/>
      <c r="Y118" s="14" t="n"/>
      <c r="Z118" s="14" t="n"/>
      <c r="AA118" s="13" t="n"/>
      <c r="AB118" s="17">
        <f>IF(A118="","",A118&amp;"#"&amp;C118)</f>
        <v/>
      </c>
      <c r="AC118" s="17">
        <f>IF(AND(AD118=1,D118&lt;=TODAY(),N118&lt;&gt;""),1,0)</f>
        <v/>
      </c>
      <c r="AD118" s="17">
        <f>IF(OR(A118="",D118=""),0,IF(AND(ISNUMBER(Baux!$H$11),D118&gt;Baux!$H$11),0,1))</f>
        <v/>
      </c>
    </row>
    <row r="119">
      <c r="A119" s="17">
        <f>IF(Baux!$A$11="","",Baux!$A$11)</f>
        <v/>
      </c>
      <c r="B119" s="17">
        <f>IF(A119="","",Baux!$B$11)</f>
        <v/>
      </c>
      <c r="C119" s="17" t="n">
        <v>10</v>
      </c>
      <c r="D119" s="15">
        <f>IF(OR(A119="",Baux!$F$11="",Baux!$O$11=""),"",EDATE(Baux!$F$11,12*Baux!$O$11*C119))</f>
        <v/>
      </c>
      <c r="E119" s="17">
        <f>IF(AD119=0,"",Baux!$M$11)</f>
        <v/>
      </c>
      <c r="F119" s="17">
        <f>IF(AD119=0,"",IFERROR(TEXT(VALUE(LEFT(Baux!$N$11,4))+C119*Baux!$O$11,"0")&amp;RIGHT(Baux!$N$11,3),""))</f>
        <v/>
      </c>
      <c r="G119" s="25">
        <f>IF(AD119=0,"",IF(F119="","",IF(SUMIFS(Indices_long!$C:$C,Indices_long!$A:$A,E119,Indices_long!$B:$B,F119)=0,"",SUMIFS(Indices_long!$C:$C,Indices_long!$A:$A,E119,Indices_long!$B:$B,F119))))</f>
        <v/>
      </c>
      <c r="H119" s="17">
        <f>IF(AD119=0,"",IF(Baux!$P$11="Base fixe",Baux!$N$11,IF(K118="Geler – rattrapage possible",H118,F118)))</f>
        <v/>
      </c>
      <c r="I119" s="25">
        <f>IF(AD119=0,"",IF(H119="","",IF(SUMIFS(Indices_long!$C:$C,Indices_long!$A:$A,E119,Indices_long!$B:$B,H119)=0,"",SUMIFS(Indices_long!$C:$C,Indices_long!$A:$A,E119,Indices_long!$B:$B,H119))))</f>
        <v/>
      </c>
      <c r="J119" s="26">
        <f>IF(OR(G119="",I119=""),"",G119/I119)</f>
        <v/>
      </c>
      <c r="K119" s="13" t="n"/>
      <c r="L119" s="27">
        <f>IF(AD119=0,"",IF(Baux!$P$11="Base fixe",Baux!$I$11,N118))</f>
        <v/>
      </c>
      <c r="M119" s="27">
        <f>IF(OR(J119="",L119=""),"",ROUND(L119*J119,2))</f>
        <v/>
      </c>
      <c r="N119" s="27">
        <f>IF(AD119=0,"",IF(LEFT(K119,5)="Geler",O119,IF(M119="","",IF(Baux!$Q$11="",M119,MIN(M119,ROUND(L119*(1+Baux!$Q$11/100)^IF(Baux!$P$11="Base fixe",C119*Baux!$O$11,VALUE(LEFT(F119,4))-VALUE(LEFT(H119,4))),2))))))</f>
        <v/>
      </c>
      <c r="O119" s="27">
        <f>IF(AD119=0,"",N118)</f>
        <v/>
      </c>
      <c r="P119" s="28">
        <f>IF(OR(N119="",O119=""),"",N119/O119-1)</f>
        <v/>
      </c>
      <c r="Q119" s="27">
        <f>IF(N119="","",N119/12)</f>
        <v/>
      </c>
      <c r="R119" s="27">
        <f>IF(N119="","",N119/IF(Baux!$L$11="Mensuelle",12,IF(Baux!$L$11="Trimestrielle",4,IF(Baux!$L$11="Semestrielle",2,1))))</f>
        <v/>
      </c>
      <c r="S119" s="27">
        <f>IF(AD119=0,"",IF(Baux!$J$11="",0,Baux!$J$11)/IF(Baux!$L$11="Mensuelle",12,IF(Baux!$L$11="Trimestrielle",4,IF(Baux!$L$11="Semestrielle",2,1))))</f>
        <v/>
      </c>
      <c r="T119" s="27">
        <f>IF(R119="","",(R119+S119)*Baux!$K$11/100)</f>
        <v/>
      </c>
      <c r="U119" s="27">
        <f>IF(R119="","",R119+S119+T119)</f>
        <v/>
      </c>
      <c r="V119" s="17">
        <f>IF(AD119=0,"",IF(LEFT(K119,5)="Geler","❄ Gelée",IF(G119="",IF(D119&lt;=TODAY(),"⚠ Indice attendu","À venir"),IF(D119&lt;=TODAY(),"✔ Calculable","Indice connu – à venir"))))</f>
        <v/>
      </c>
      <c r="W119" s="29" t="n"/>
      <c r="X119" s="13" t="n"/>
      <c r="Y119" s="14" t="n"/>
      <c r="Z119" s="14" t="n"/>
      <c r="AA119" s="13" t="n"/>
      <c r="AB119" s="17">
        <f>IF(A119="","",A119&amp;"#"&amp;C119)</f>
        <v/>
      </c>
      <c r="AC119" s="17">
        <f>IF(AND(AD119=1,D119&lt;=TODAY(),N119&lt;&gt;""),1,0)</f>
        <v/>
      </c>
      <c r="AD119" s="17">
        <f>IF(OR(A119="",D119=""),0,IF(AND(ISNUMBER(Baux!$H$11),D119&gt;Baux!$H$11),0,1))</f>
        <v/>
      </c>
    </row>
    <row r="120">
      <c r="A120" s="17">
        <f>IF(Baux!$A$11="","",Baux!$A$11)</f>
        <v/>
      </c>
      <c r="B120" s="17">
        <f>IF(A120="","",Baux!$B$11)</f>
        <v/>
      </c>
      <c r="C120" s="17" t="n">
        <v>11</v>
      </c>
      <c r="D120" s="15">
        <f>IF(OR(A120="",Baux!$F$11="",Baux!$O$11=""),"",EDATE(Baux!$F$11,12*Baux!$O$11*C120))</f>
        <v/>
      </c>
      <c r="E120" s="17">
        <f>IF(AD120=0,"",Baux!$M$11)</f>
        <v/>
      </c>
      <c r="F120" s="17">
        <f>IF(AD120=0,"",IFERROR(TEXT(VALUE(LEFT(Baux!$N$11,4))+C120*Baux!$O$11,"0")&amp;RIGHT(Baux!$N$11,3),""))</f>
        <v/>
      </c>
      <c r="G120" s="25">
        <f>IF(AD120=0,"",IF(F120="","",IF(SUMIFS(Indices_long!$C:$C,Indices_long!$A:$A,E120,Indices_long!$B:$B,F120)=0,"",SUMIFS(Indices_long!$C:$C,Indices_long!$A:$A,E120,Indices_long!$B:$B,F120))))</f>
        <v/>
      </c>
      <c r="H120" s="17">
        <f>IF(AD120=0,"",IF(Baux!$P$11="Base fixe",Baux!$N$11,IF(K119="Geler – rattrapage possible",H119,F119)))</f>
        <v/>
      </c>
      <c r="I120" s="25">
        <f>IF(AD120=0,"",IF(H120="","",IF(SUMIFS(Indices_long!$C:$C,Indices_long!$A:$A,E120,Indices_long!$B:$B,H120)=0,"",SUMIFS(Indices_long!$C:$C,Indices_long!$A:$A,E120,Indices_long!$B:$B,H120))))</f>
        <v/>
      </c>
      <c r="J120" s="26">
        <f>IF(OR(G120="",I120=""),"",G120/I120)</f>
        <v/>
      </c>
      <c r="K120" s="13" t="n"/>
      <c r="L120" s="27">
        <f>IF(AD120=0,"",IF(Baux!$P$11="Base fixe",Baux!$I$11,N119))</f>
        <v/>
      </c>
      <c r="M120" s="27">
        <f>IF(OR(J120="",L120=""),"",ROUND(L120*J120,2))</f>
        <v/>
      </c>
      <c r="N120" s="27">
        <f>IF(AD120=0,"",IF(LEFT(K120,5)="Geler",O120,IF(M120="","",IF(Baux!$Q$11="",M120,MIN(M120,ROUND(L120*(1+Baux!$Q$11/100)^IF(Baux!$P$11="Base fixe",C120*Baux!$O$11,VALUE(LEFT(F120,4))-VALUE(LEFT(H120,4))),2))))))</f>
        <v/>
      </c>
      <c r="O120" s="27">
        <f>IF(AD120=0,"",N119)</f>
        <v/>
      </c>
      <c r="P120" s="28">
        <f>IF(OR(N120="",O120=""),"",N120/O120-1)</f>
        <v/>
      </c>
      <c r="Q120" s="27">
        <f>IF(N120="","",N120/12)</f>
        <v/>
      </c>
      <c r="R120" s="27">
        <f>IF(N120="","",N120/IF(Baux!$L$11="Mensuelle",12,IF(Baux!$L$11="Trimestrielle",4,IF(Baux!$L$11="Semestrielle",2,1))))</f>
        <v/>
      </c>
      <c r="S120" s="27">
        <f>IF(AD120=0,"",IF(Baux!$J$11="",0,Baux!$J$11)/IF(Baux!$L$11="Mensuelle",12,IF(Baux!$L$11="Trimestrielle",4,IF(Baux!$L$11="Semestrielle",2,1))))</f>
        <v/>
      </c>
      <c r="T120" s="27">
        <f>IF(R120="","",(R120+S120)*Baux!$K$11/100)</f>
        <v/>
      </c>
      <c r="U120" s="27">
        <f>IF(R120="","",R120+S120+T120)</f>
        <v/>
      </c>
      <c r="V120" s="17">
        <f>IF(AD120=0,"",IF(LEFT(K120,5)="Geler","❄ Gelée",IF(G120="",IF(D120&lt;=TODAY(),"⚠ Indice attendu","À venir"),IF(D120&lt;=TODAY(),"✔ Calculable","Indice connu – à venir"))))</f>
        <v/>
      </c>
      <c r="W120" s="29" t="n"/>
      <c r="X120" s="13" t="n"/>
      <c r="Y120" s="14" t="n"/>
      <c r="Z120" s="14" t="n"/>
      <c r="AA120" s="13" t="n"/>
      <c r="AB120" s="17">
        <f>IF(A120="","",A120&amp;"#"&amp;C120)</f>
        <v/>
      </c>
      <c r="AC120" s="17">
        <f>IF(AND(AD120=1,D120&lt;=TODAY(),N120&lt;&gt;""),1,0)</f>
        <v/>
      </c>
      <c r="AD120" s="17">
        <f>IF(OR(A120="",D120=""),0,IF(AND(ISNUMBER(Baux!$H$11),D120&gt;Baux!$H$11),0,1))</f>
        <v/>
      </c>
    </row>
    <row r="121">
      <c r="A121" s="17">
        <f>IF(Baux!$A$11="","",Baux!$A$11)</f>
        <v/>
      </c>
      <c r="B121" s="17">
        <f>IF(A121="","",Baux!$B$11)</f>
        <v/>
      </c>
      <c r="C121" s="17" t="n">
        <v>12</v>
      </c>
      <c r="D121" s="15">
        <f>IF(OR(A121="",Baux!$F$11="",Baux!$O$11=""),"",EDATE(Baux!$F$11,12*Baux!$O$11*C121))</f>
        <v/>
      </c>
      <c r="E121" s="17">
        <f>IF(AD121=0,"",Baux!$M$11)</f>
        <v/>
      </c>
      <c r="F121" s="17">
        <f>IF(AD121=0,"",IFERROR(TEXT(VALUE(LEFT(Baux!$N$11,4))+C121*Baux!$O$11,"0")&amp;RIGHT(Baux!$N$11,3),""))</f>
        <v/>
      </c>
      <c r="G121" s="25">
        <f>IF(AD121=0,"",IF(F121="","",IF(SUMIFS(Indices_long!$C:$C,Indices_long!$A:$A,E121,Indices_long!$B:$B,F121)=0,"",SUMIFS(Indices_long!$C:$C,Indices_long!$A:$A,E121,Indices_long!$B:$B,F121))))</f>
        <v/>
      </c>
      <c r="H121" s="17">
        <f>IF(AD121=0,"",IF(Baux!$P$11="Base fixe",Baux!$N$11,IF(K120="Geler – rattrapage possible",H120,F120)))</f>
        <v/>
      </c>
      <c r="I121" s="25">
        <f>IF(AD121=0,"",IF(H121="","",IF(SUMIFS(Indices_long!$C:$C,Indices_long!$A:$A,E121,Indices_long!$B:$B,H121)=0,"",SUMIFS(Indices_long!$C:$C,Indices_long!$A:$A,E121,Indices_long!$B:$B,H121))))</f>
        <v/>
      </c>
      <c r="J121" s="26">
        <f>IF(OR(G121="",I121=""),"",G121/I121)</f>
        <v/>
      </c>
      <c r="K121" s="13" t="n"/>
      <c r="L121" s="27">
        <f>IF(AD121=0,"",IF(Baux!$P$11="Base fixe",Baux!$I$11,N120))</f>
        <v/>
      </c>
      <c r="M121" s="27">
        <f>IF(OR(J121="",L121=""),"",ROUND(L121*J121,2))</f>
        <v/>
      </c>
      <c r="N121" s="27">
        <f>IF(AD121=0,"",IF(LEFT(K121,5)="Geler",O121,IF(M121="","",IF(Baux!$Q$11="",M121,MIN(M121,ROUND(L121*(1+Baux!$Q$11/100)^IF(Baux!$P$11="Base fixe",C121*Baux!$O$11,VALUE(LEFT(F121,4))-VALUE(LEFT(H121,4))),2))))))</f>
        <v/>
      </c>
      <c r="O121" s="27">
        <f>IF(AD121=0,"",N120)</f>
        <v/>
      </c>
      <c r="P121" s="28">
        <f>IF(OR(N121="",O121=""),"",N121/O121-1)</f>
        <v/>
      </c>
      <c r="Q121" s="27">
        <f>IF(N121="","",N121/12)</f>
        <v/>
      </c>
      <c r="R121" s="27">
        <f>IF(N121="","",N121/IF(Baux!$L$11="Mensuelle",12,IF(Baux!$L$11="Trimestrielle",4,IF(Baux!$L$11="Semestrielle",2,1))))</f>
        <v/>
      </c>
      <c r="S121" s="27">
        <f>IF(AD121=0,"",IF(Baux!$J$11="",0,Baux!$J$11)/IF(Baux!$L$11="Mensuelle",12,IF(Baux!$L$11="Trimestrielle",4,IF(Baux!$L$11="Semestrielle",2,1))))</f>
        <v/>
      </c>
      <c r="T121" s="27">
        <f>IF(R121="","",(R121+S121)*Baux!$K$11/100)</f>
        <v/>
      </c>
      <c r="U121" s="27">
        <f>IF(R121="","",R121+S121+T121)</f>
        <v/>
      </c>
      <c r="V121" s="17">
        <f>IF(AD121=0,"",IF(LEFT(K121,5)="Geler","❄ Gelée",IF(G121="",IF(D121&lt;=TODAY(),"⚠ Indice attendu","À venir"),IF(D121&lt;=TODAY(),"✔ Calculable","Indice connu – à venir"))))</f>
        <v/>
      </c>
      <c r="W121" s="29" t="n"/>
      <c r="X121" s="13" t="n"/>
      <c r="Y121" s="14" t="n"/>
      <c r="Z121" s="14" t="n"/>
      <c r="AA121" s="13" t="n"/>
      <c r="AB121" s="17">
        <f>IF(A121="","",A121&amp;"#"&amp;C121)</f>
        <v/>
      </c>
      <c r="AC121" s="17">
        <f>IF(AND(AD121=1,D121&lt;=TODAY(),N121&lt;&gt;""),1,0)</f>
        <v/>
      </c>
      <c r="AD121" s="17">
        <f>IF(OR(A121="",D121=""),0,IF(AND(ISNUMBER(Baux!$H$11),D121&gt;Baux!$H$11),0,1))</f>
        <v/>
      </c>
    </row>
    <row r="122">
      <c r="A122" s="17">
        <f>IF(Baux!$A$12="","",Baux!$A$12)</f>
        <v/>
      </c>
      <c r="B122" s="17">
        <f>IF(A122="","",Baux!$B$12)</f>
        <v/>
      </c>
      <c r="C122" s="17" t="n">
        <v>1</v>
      </c>
      <c r="D122" s="15">
        <f>IF(OR(A122="",Baux!$F$12="",Baux!$O$12=""),"",EDATE(Baux!$F$12,12*Baux!$O$12*C122))</f>
        <v/>
      </c>
      <c r="E122" s="17">
        <f>IF(AD122=0,"",Baux!$M$12)</f>
        <v/>
      </c>
      <c r="F122" s="17">
        <f>IF(AD122=0,"",IFERROR(TEXT(VALUE(LEFT(Baux!$N$12,4))+C122*Baux!$O$12,"0")&amp;RIGHT(Baux!$N$12,3),""))</f>
        <v/>
      </c>
      <c r="G122" s="25">
        <f>IF(AD122=0,"",IF(F122="","",IF(SUMIFS(Indices_long!$C:$C,Indices_long!$A:$A,E122,Indices_long!$B:$B,F122)=0,"",SUMIFS(Indices_long!$C:$C,Indices_long!$A:$A,E122,Indices_long!$B:$B,F122))))</f>
        <v/>
      </c>
      <c r="H122" s="17">
        <f>IF(AD122=0,"",Baux!$N$12)</f>
        <v/>
      </c>
      <c r="I122" s="25">
        <f>IF(AD122=0,"",IF(H122="","",IF(SUMIFS(Indices_long!$C:$C,Indices_long!$A:$A,E122,Indices_long!$B:$B,H122)=0,"",SUMIFS(Indices_long!$C:$C,Indices_long!$A:$A,E122,Indices_long!$B:$B,H122))))</f>
        <v/>
      </c>
      <c r="J122" s="26">
        <f>IF(OR(G122="",I122=""),"",G122/I122)</f>
        <v/>
      </c>
      <c r="K122" s="13" t="n"/>
      <c r="L122" s="27">
        <f>IF(AD122=0,"",Baux!$I$12)</f>
        <v/>
      </c>
      <c r="M122" s="27">
        <f>IF(OR(J122="",L122=""),"",ROUND(L122*J122,2))</f>
        <v/>
      </c>
      <c r="N122" s="27">
        <f>IF(AD122=0,"",IF(LEFT(K122,5)="Geler",O122,IF(M122="","",IF(Baux!$Q$12="",M122,MIN(M122,ROUND(L122*(1+Baux!$Q$12/100)^IF(Baux!$P$12="Base fixe",C122*Baux!$O$12,VALUE(LEFT(F122,4))-VALUE(LEFT(H122,4))),2))))))</f>
        <v/>
      </c>
      <c r="O122" s="27">
        <f>IF(AD122=0,"",Baux!$I$12)</f>
        <v/>
      </c>
      <c r="P122" s="28">
        <f>IF(OR(N122="",O122=""),"",N122/O122-1)</f>
        <v/>
      </c>
      <c r="Q122" s="27">
        <f>IF(N122="","",N122/12)</f>
        <v/>
      </c>
      <c r="R122" s="27">
        <f>IF(N122="","",N122/IF(Baux!$L$12="Mensuelle",12,IF(Baux!$L$12="Trimestrielle",4,IF(Baux!$L$12="Semestrielle",2,1))))</f>
        <v/>
      </c>
      <c r="S122" s="27">
        <f>IF(AD122=0,"",IF(Baux!$J$12="",0,Baux!$J$12)/IF(Baux!$L$12="Mensuelle",12,IF(Baux!$L$12="Trimestrielle",4,IF(Baux!$L$12="Semestrielle",2,1))))</f>
        <v/>
      </c>
      <c r="T122" s="27">
        <f>IF(R122="","",(R122+S122)*Baux!$K$12/100)</f>
        <v/>
      </c>
      <c r="U122" s="27">
        <f>IF(R122="","",R122+S122+T122)</f>
        <v/>
      </c>
      <c r="V122" s="17">
        <f>IF(AD122=0,"",IF(LEFT(K122,5)="Geler","❄ Gelée",IF(G122="",IF(D122&lt;=TODAY(),"⚠ Indice attendu","À venir"),IF(D122&lt;=TODAY(),"✔ Calculable","Indice connu – à venir"))))</f>
        <v/>
      </c>
      <c r="W122" s="29" t="n"/>
      <c r="X122" s="13" t="n"/>
      <c r="Y122" s="14" t="n"/>
      <c r="Z122" s="14" t="n"/>
      <c r="AA122" s="13" t="n"/>
      <c r="AB122" s="17">
        <f>IF(A122="","",A122&amp;"#"&amp;C122)</f>
        <v/>
      </c>
      <c r="AC122" s="17">
        <f>IF(AND(AD122=1,D122&lt;=TODAY(),N122&lt;&gt;""),1,0)</f>
        <v/>
      </c>
      <c r="AD122" s="17">
        <f>IF(OR(A122="",D122=""),0,IF(AND(ISNUMBER(Baux!$H$12),D122&gt;Baux!$H$12),0,1))</f>
        <v/>
      </c>
    </row>
    <row r="123">
      <c r="A123" s="17">
        <f>IF(Baux!$A$12="","",Baux!$A$12)</f>
        <v/>
      </c>
      <c r="B123" s="17">
        <f>IF(A123="","",Baux!$B$12)</f>
        <v/>
      </c>
      <c r="C123" s="17" t="n">
        <v>2</v>
      </c>
      <c r="D123" s="15">
        <f>IF(OR(A123="",Baux!$F$12="",Baux!$O$12=""),"",EDATE(Baux!$F$12,12*Baux!$O$12*C123))</f>
        <v/>
      </c>
      <c r="E123" s="17">
        <f>IF(AD123=0,"",Baux!$M$12)</f>
        <v/>
      </c>
      <c r="F123" s="17">
        <f>IF(AD123=0,"",IFERROR(TEXT(VALUE(LEFT(Baux!$N$12,4))+C123*Baux!$O$12,"0")&amp;RIGHT(Baux!$N$12,3),""))</f>
        <v/>
      </c>
      <c r="G123" s="25">
        <f>IF(AD123=0,"",IF(F123="","",IF(SUMIFS(Indices_long!$C:$C,Indices_long!$A:$A,E123,Indices_long!$B:$B,F123)=0,"",SUMIFS(Indices_long!$C:$C,Indices_long!$A:$A,E123,Indices_long!$B:$B,F123))))</f>
        <v/>
      </c>
      <c r="H123" s="17">
        <f>IF(AD123=0,"",IF(Baux!$P$12="Base fixe",Baux!$N$12,IF(K122="Geler – rattrapage possible",H122,F122)))</f>
        <v/>
      </c>
      <c r="I123" s="25">
        <f>IF(AD123=0,"",IF(H123="","",IF(SUMIFS(Indices_long!$C:$C,Indices_long!$A:$A,E123,Indices_long!$B:$B,H123)=0,"",SUMIFS(Indices_long!$C:$C,Indices_long!$A:$A,E123,Indices_long!$B:$B,H123))))</f>
        <v/>
      </c>
      <c r="J123" s="26">
        <f>IF(OR(G123="",I123=""),"",G123/I123)</f>
        <v/>
      </c>
      <c r="K123" s="13" t="n"/>
      <c r="L123" s="27">
        <f>IF(AD123=0,"",IF(Baux!$P$12="Base fixe",Baux!$I$12,N122))</f>
        <v/>
      </c>
      <c r="M123" s="27">
        <f>IF(OR(J123="",L123=""),"",ROUND(L123*J123,2))</f>
        <v/>
      </c>
      <c r="N123" s="27">
        <f>IF(AD123=0,"",IF(LEFT(K123,5)="Geler",O123,IF(M123="","",IF(Baux!$Q$12="",M123,MIN(M123,ROUND(L123*(1+Baux!$Q$12/100)^IF(Baux!$P$12="Base fixe",C123*Baux!$O$12,VALUE(LEFT(F123,4))-VALUE(LEFT(H123,4))),2))))))</f>
        <v/>
      </c>
      <c r="O123" s="27">
        <f>IF(AD123=0,"",N122)</f>
        <v/>
      </c>
      <c r="P123" s="28">
        <f>IF(OR(N123="",O123=""),"",N123/O123-1)</f>
        <v/>
      </c>
      <c r="Q123" s="27">
        <f>IF(N123="","",N123/12)</f>
        <v/>
      </c>
      <c r="R123" s="27">
        <f>IF(N123="","",N123/IF(Baux!$L$12="Mensuelle",12,IF(Baux!$L$12="Trimestrielle",4,IF(Baux!$L$12="Semestrielle",2,1))))</f>
        <v/>
      </c>
      <c r="S123" s="27">
        <f>IF(AD123=0,"",IF(Baux!$J$12="",0,Baux!$J$12)/IF(Baux!$L$12="Mensuelle",12,IF(Baux!$L$12="Trimestrielle",4,IF(Baux!$L$12="Semestrielle",2,1))))</f>
        <v/>
      </c>
      <c r="T123" s="27">
        <f>IF(R123="","",(R123+S123)*Baux!$K$12/100)</f>
        <v/>
      </c>
      <c r="U123" s="27">
        <f>IF(R123="","",R123+S123+T123)</f>
        <v/>
      </c>
      <c r="V123" s="17">
        <f>IF(AD123=0,"",IF(LEFT(K123,5)="Geler","❄ Gelée",IF(G123="",IF(D123&lt;=TODAY(),"⚠ Indice attendu","À venir"),IF(D123&lt;=TODAY(),"✔ Calculable","Indice connu – à venir"))))</f>
        <v/>
      </c>
      <c r="W123" s="29" t="n"/>
      <c r="X123" s="13" t="n"/>
      <c r="Y123" s="14" t="n"/>
      <c r="Z123" s="14" t="n"/>
      <c r="AA123" s="13" t="n"/>
      <c r="AB123" s="17">
        <f>IF(A123="","",A123&amp;"#"&amp;C123)</f>
        <v/>
      </c>
      <c r="AC123" s="17">
        <f>IF(AND(AD123=1,D123&lt;=TODAY(),N123&lt;&gt;""),1,0)</f>
        <v/>
      </c>
      <c r="AD123" s="17">
        <f>IF(OR(A123="",D123=""),0,IF(AND(ISNUMBER(Baux!$H$12),D123&gt;Baux!$H$12),0,1))</f>
        <v/>
      </c>
    </row>
    <row r="124">
      <c r="A124" s="17">
        <f>IF(Baux!$A$12="","",Baux!$A$12)</f>
        <v/>
      </c>
      <c r="B124" s="17">
        <f>IF(A124="","",Baux!$B$12)</f>
        <v/>
      </c>
      <c r="C124" s="17" t="n">
        <v>3</v>
      </c>
      <c r="D124" s="15">
        <f>IF(OR(A124="",Baux!$F$12="",Baux!$O$12=""),"",EDATE(Baux!$F$12,12*Baux!$O$12*C124))</f>
        <v/>
      </c>
      <c r="E124" s="17">
        <f>IF(AD124=0,"",Baux!$M$12)</f>
        <v/>
      </c>
      <c r="F124" s="17">
        <f>IF(AD124=0,"",IFERROR(TEXT(VALUE(LEFT(Baux!$N$12,4))+C124*Baux!$O$12,"0")&amp;RIGHT(Baux!$N$12,3),""))</f>
        <v/>
      </c>
      <c r="G124" s="25">
        <f>IF(AD124=0,"",IF(F124="","",IF(SUMIFS(Indices_long!$C:$C,Indices_long!$A:$A,E124,Indices_long!$B:$B,F124)=0,"",SUMIFS(Indices_long!$C:$C,Indices_long!$A:$A,E124,Indices_long!$B:$B,F124))))</f>
        <v/>
      </c>
      <c r="H124" s="17">
        <f>IF(AD124=0,"",IF(Baux!$P$12="Base fixe",Baux!$N$12,IF(K123="Geler – rattrapage possible",H123,F123)))</f>
        <v/>
      </c>
      <c r="I124" s="25">
        <f>IF(AD124=0,"",IF(H124="","",IF(SUMIFS(Indices_long!$C:$C,Indices_long!$A:$A,E124,Indices_long!$B:$B,H124)=0,"",SUMIFS(Indices_long!$C:$C,Indices_long!$A:$A,E124,Indices_long!$B:$B,H124))))</f>
        <v/>
      </c>
      <c r="J124" s="26">
        <f>IF(OR(G124="",I124=""),"",G124/I124)</f>
        <v/>
      </c>
      <c r="K124" s="13" t="n"/>
      <c r="L124" s="27">
        <f>IF(AD124=0,"",IF(Baux!$P$12="Base fixe",Baux!$I$12,N123))</f>
        <v/>
      </c>
      <c r="M124" s="27">
        <f>IF(OR(J124="",L124=""),"",ROUND(L124*J124,2))</f>
        <v/>
      </c>
      <c r="N124" s="27">
        <f>IF(AD124=0,"",IF(LEFT(K124,5)="Geler",O124,IF(M124="","",IF(Baux!$Q$12="",M124,MIN(M124,ROUND(L124*(1+Baux!$Q$12/100)^IF(Baux!$P$12="Base fixe",C124*Baux!$O$12,VALUE(LEFT(F124,4))-VALUE(LEFT(H124,4))),2))))))</f>
        <v/>
      </c>
      <c r="O124" s="27">
        <f>IF(AD124=0,"",N123)</f>
        <v/>
      </c>
      <c r="P124" s="28">
        <f>IF(OR(N124="",O124=""),"",N124/O124-1)</f>
        <v/>
      </c>
      <c r="Q124" s="27">
        <f>IF(N124="","",N124/12)</f>
        <v/>
      </c>
      <c r="R124" s="27">
        <f>IF(N124="","",N124/IF(Baux!$L$12="Mensuelle",12,IF(Baux!$L$12="Trimestrielle",4,IF(Baux!$L$12="Semestrielle",2,1))))</f>
        <v/>
      </c>
      <c r="S124" s="27">
        <f>IF(AD124=0,"",IF(Baux!$J$12="",0,Baux!$J$12)/IF(Baux!$L$12="Mensuelle",12,IF(Baux!$L$12="Trimestrielle",4,IF(Baux!$L$12="Semestrielle",2,1))))</f>
        <v/>
      </c>
      <c r="T124" s="27">
        <f>IF(R124="","",(R124+S124)*Baux!$K$12/100)</f>
        <v/>
      </c>
      <c r="U124" s="27">
        <f>IF(R124="","",R124+S124+T124)</f>
        <v/>
      </c>
      <c r="V124" s="17">
        <f>IF(AD124=0,"",IF(LEFT(K124,5)="Geler","❄ Gelée",IF(G124="",IF(D124&lt;=TODAY(),"⚠ Indice attendu","À venir"),IF(D124&lt;=TODAY(),"✔ Calculable","Indice connu – à venir"))))</f>
        <v/>
      </c>
      <c r="W124" s="29" t="n"/>
      <c r="X124" s="13" t="n"/>
      <c r="Y124" s="14" t="n"/>
      <c r="Z124" s="14" t="n"/>
      <c r="AA124" s="13" t="n"/>
      <c r="AB124" s="17">
        <f>IF(A124="","",A124&amp;"#"&amp;C124)</f>
        <v/>
      </c>
      <c r="AC124" s="17">
        <f>IF(AND(AD124=1,D124&lt;=TODAY(),N124&lt;&gt;""),1,0)</f>
        <v/>
      </c>
      <c r="AD124" s="17">
        <f>IF(OR(A124="",D124=""),0,IF(AND(ISNUMBER(Baux!$H$12),D124&gt;Baux!$H$12),0,1))</f>
        <v/>
      </c>
    </row>
    <row r="125">
      <c r="A125" s="17">
        <f>IF(Baux!$A$12="","",Baux!$A$12)</f>
        <v/>
      </c>
      <c r="B125" s="17">
        <f>IF(A125="","",Baux!$B$12)</f>
        <v/>
      </c>
      <c r="C125" s="17" t="n">
        <v>4</v>
      </c>
      <c r="D125" s="15">
        <f>IF(OR(A125="",Baux!$F$12="",Baux!$O$12=""),"",EDATE(Baux!$F$12,12*Baux!$O$12*C125))</f>
        <v/>
      </c>
      <c r="E125" s="17">
        <f>IF(AD125=0,"",Baux!$M$12)</f>
        <v/>
      </c>
      <c r="F125" s="17">
        <f>IF(AD125=0,"",IFERROR(TEXT(VALUE(LEFT(Baux!$N$12,4))+C125*Baux!$O$12,"0")&amp;RIGHT(Baux!$N$12,3),""))</f>
        <v/>
      </c>
      <c r="G125" s="25">
        <f>IF(AD125=0,"",IF(F125="","",IF(SUMIFS(Indices_long!$C:$C,Indices_long!$A:$A,E125,Indices_long!$B:$B,F125)=0,"",SUMIFS(Indices_long!$C:$C,Indices_long!$A:$A,E125,Indices_long!$B:$B,F125))))</f>
        <v/>
      </c>
      <c r="H125" s="17">
        <f>IF(AD125=0,"",IF(Baux!$P$12="Base fixe",Baux!$N$12,IF(K124="Geler – rattrapage possible",H124,F124)))</f>
        <v/>
      </c>
      <c r="I125" s="25">
        <f>IF(AD125=0,"",IF(H125="","",IF(SUMIFS(Indices_long!$C:$C,Indices_long!$A:$A,E125,Indices_long!$B:$B,H125)=0,"",SUMIFS(Indices_long!$C:$C,Indices_long!$A:$A,E125,Indices_long!$B:$B,H125))))</f>
        <v/>
      </c>
      <c r="J125" s="26">
        <f>IF(OR(G125="",I125=""),"",G125/I125)</f>
        <v/>
      </c>
      <c r="K125" s="13" t="n"/>
      <c r="L125" s="27">
        <f>IF(AD125=0,"",IF(Baux!$P$12="Base fixe",Baux!$I$12,N124))</f>
        <v/>
      </c>
      <c r="M125" s="27">
        <f>IF(OR(J125="",L125=""),"",ROUND(L125*J125,2))</f>
        <v/>
      </c>
      <c r="N125" s="27">
        <f>IF(AD125=0,"",IF(LEFT(K125,5)="Geler",O125,IF(M125="","",IF(Baux!$Q$12="",M125,MIN(M125,ROUND(L125*(1+Baux!$Q$12/100)^IF(Baux!$P$12="Base fixe",C125*Baux!$O$12,VALUE(LEFT(F125,4))-VALUE(LEFT(H125,4))),2))))))</f>
        <v/>
      </c>
      <c r="O125" s="27">
        <f>IF(AD125=0,"",N124)</f>
        <v/>
      </c>
      <c r="P125" s="28">
        <f>IF(OR(N125="",O125=""),"",N125/O125-1)</f>
        <v/>
      </c>
      <c r="Q125" s="27">
        <f>IF(N125="","",N125/12)</f>
        <v/>
      </c>
      <c r="R125" s="27">
        <f>IF(N125="","",N125/IF(Baux!$L$12="Mensuelle",12,IF(Baux!$L$12="Trimestrielle",4,IF(Baux!$L$12="Semestrielle",2,1))))</f>
        <v/>
      </c>
      <c r="S125" s="27">
        <f>IF(AD125=0,"",IF(Baux!$J$12="",0,Baux!$J$12)/IF(Baux!$L$12="Mensuelle",12,IF(Baux!$L$12="Trimestrielle",4,IF(Baux!$L$12="Semestrielle",2,1))))</f>
        <v/>
      </c>
      <c r="T125" s="27">
        <f>IF(R125="","",(R125+S125)*Baux!$K$12/100)</f>
        <v/>
      </c>
      <c r="U125" s="27">
        <f>IF(R125="","",R125+S125+T125)</f>
        <v/>
      </c>
      <c r="V125" s="17">
        <f>IF(AD125=0,"",IF(LEFT(K125,5)="Geler","❄ Gelée",IF(G125="",IF(D125&lt;=TODAY(),"⚠ Indice attendu","À venir"),IF(D125&lt;=TODAY(),"✔ Calculable","Indice connu – à venir"))))</f>
        <v/>
      </c>
      <c r="W125" s="29" t="n"/>
      <c r="X125" s="13" t="n"/>
      <c r="Y125" s="14" t="n"/>
      <c r="Z125" s="14" t="n"/>
      <c r="AA125" s="13" t="n"/>
      <c r="AB125" s="17">
        <f>IF(A125="","",A125&amp;"#"&amp;C125)</f>
        <v/>
      </c>
      <c r="AC125" s="17">
        <f>IF(AND(AD125=1,D125&lt;=TODAY(),N125&lt;&gt;""),1,0)</f>
        <v/>
      </c>
      <c r="AD125" s="17">
        <f>IF(OR(A125="",D125=""),0,IF(AND(ISNUMBER(Baux!$H$12),D125&gt;Baux!$H$12),0,1))</f>
        <v/>
      </c>
    </row>
    <row r="126">
      <c r="A126" s="17">
        <f>IF(Baux!$A$12="","",Baux!$A$12)</f>
        <v/>
      </c>
      <c r="B126" s="17">
        <f>IF(A126="","",Baux!$B$12)</f>
        <v/>
      </c>
      <c r="C126" s="17" t="n">
        <v>5</v>
      </c>
      <c r="D126" s="15">
        <f>IF(OR(A126="",Baux!$F$12="",Baux!$O$12=""),"",EDATE(Baux!$F$12,12*Baux!$O$12*C126))</f>
        <v/>
      </c>
      <c r="E126" s="17">
        <f>IF(AD126=0,"",Baux!$M$12)</f>
        <v/>
      </c>
      <c r="F126" s="17">
        <f>IF(AD126=0,"",IFERROR(TEXT(VALUE(LEFT(Baux!$N$12,4))+C126*Baux!$O$12,"0")&amp;RIGHT(Baux!$N$12,3),""))</f>
        <v/>
      </c>
      <c r="G126" s="25">
        <f>IF(AD126=0,"",IF(F126="","",IF(SUMIFS(Indices_long!$C:$C,Indices_long!$A:$A,E126,Indices_long!$B:$B,F126)=0,"",SUMIFS(Indices_long!$C:$C,Indices_long!$A:$A,E126,Indices_long!$B:$B,F126))))</f>
        <v/>
      </c>
      <c r="H126" s="17">
        <f>IF(AD126=0,"",IF(Baux!$P$12="Base fixe",Baux!$N$12,IF(K125="Geler – rattrapage possible",H125,F125)))</f>
        <v/>
      </c>
      <c r="I126" s="25">
        <f>IF(AD126=0,"",IF(H126="","",IF(SUMIFS(Indices_long!$C:$C,Indices_long!$A:$A,E126,Indices_long!$B:$B,H126)=0,"",SUMIFS(Indices_long!$C:$C,Indices_long!$A:$A,E126,Indices_long!$B:$B,H126))))</f>
        <v/>
      </c>
      <c r="J126" s="26">
        <f>IF(OR(G126="",I126=""),"",G126/I126)</f>
        <v/>
      </c>
      <c r="K126" s="13" t="n"/>
      <c r="L126" s="27">
        <f>IF(AD126=0,"",IF(Baux!$P$12="Base fixe",Baux!$I$12,N125))</f>
        <v/>
      </c>
      <c r="M126" s="27">
        <f>IF(OR(J126="",L126=""),"",ROUND(L126*J126,2))</f>
        <v/>
      </c>
      <c r="N126" s="27">
        <f>IF(AD126=0,"",IF(LEFT(K126,5)="Geler",O126,IF(M126="","",IF(Baux!$Q$12="",M126,MIN(M126,ROUND(L126*(1+Baux!$Q$12/100)^IF(Baux!$P$12="Base fixe",C126*Baux!$O$12,VALUE(LEFT(F126,4))-VALUE(LEFT(H126,4))),2))))))</f>
        <v/>
      </c>
      <c r="O126" s="27">
        <f>IF(AD126=0,"",N125)</f>
        <v/>
      </c>
      <c r="P126" s="28">
        <f>IF(OR(N126="",O126=""),"",N126/O126-1)</f>
        <v/>
      </c>
      <c r="Q126" s="27">
        <f>IF(N126="","",N126/12)</f>
        <v/>
      </c>
      <c r="R126" s="27">
        <f>IF(N126="","",N126/IF(Baux!$L$12="Mensuelle",12,IF(Baux!$L$12="Trimestrielle",4,IF(Baux!$L$12="Semestrielle",2,1))))</f>
        <v/>
      </c>
      <c r="S126" s="27">
        <f>IF(AD126=0,"",IF(Baux!$J$12="",0,Baux!$J$12)/IF(Baux!$L$12="Mensuelle",12,IF(Baux!$L$12="Trimestrielle",4,IF(Baux!$L$12="Semestrielle",2,1))))</f>
        <v/>
      </c>
      <c r="T126" s="27">
        <f>IF(R126="","",(R126+S126)*Baux!$K$12/100)</f>
        <v/>
      </c>
      <c r="U126" s="27">
        <f>IF(R126="","",R126+S126+T126)</f>
        <v/>
      </c>
      <c r="V126" s="17">
        <f>IF(AD126=0,"",IF(LEFT(K126,5)="Geler","❄ Gelée",IF(G126="",IF(D126&lt;=TODAY(),"⚠ Indice attendu","À venir"),IF(D126&lt;=TODAY(),"✔ Calculable","Indice connu – à venir"))))</f>
        <v/>
      </c>
      <c r="W126" s="29" t="n"/>
      <c r="X126" s="13" t="n"/>
      <c r="Y126" s="14" t="n"/>
      <c r="Z126" s="14" t="n"/>
      <c r="AA126" s="13" t="n"/>
      <c r="AB126" s="17">
        <f>IF(A126="","",A126&amp;"#"&amp;C126)</f>
        <v/>
      </c>
      <c r="AC126" s="17">
        <f>IF(AND(AD126=1,D126&lt;=TODAY(),N126&lt;&gt;""),1,0)</f>
        <v/>
      </c>
      <c r="AD126" s="17">
        <f>IF(OR(A126="",D126=""),0,IF(AND(ISNUMBER(Baux!$H$12),D126&gt;Baux!$H$12),0,1))</f>
        <v/>
      </c>
    </row>
    <row r="127">
      <c r="A127" s="17">
        <f>IF(Baux!$A$12="","",Baux!$A$12)</f>
        <v/>
      </c>
      <c r="B127" s="17">
        <f>IF(A127="","",Baux!$B$12)</f>
        <v/>
      </c>
      <c r="C127" s="17" t="n">
        <v>6</v>
      </c>
      <c r="D127" s="15">
        <f>IF(OR(A127="",Baux!$F$12="",Baux!$O$12=""),"",EDATE(Baux!$F$12,12*Baux!$O$12*C127))</f>
        <v/>
      </c>
      <c r="E127" s="17">
        <f>IF(AD127=0,"",Baux!$M$12)</f>
        <v/>
      </c>
      <c r="F127" s="17">
        <f>IF(AD127=0,"",IFERROR(TEXT(VALUE(LEFT(Baux!$N$12,4))+C127*Baux!$O$12,"0")&amp;RIGHT(Baux!$N$12,3),""))</f>
        <v/>
      </c>
      <c r="G127" s="25">
        <f>IF(AD127=0,"",IF(F127="","",IF(SUMIFS(Indices_long!$C:$C,Indices_long!$A:$A,E127,Indices_long!$B:$B,F127)=0,"",SUMIFS(Indices_long!$C:$C,Indices_long!$A:$A,E127,Indices_long!$B:$B,F127))))</f>
        <v/>
      </c>
      <c r="H127" s="17">
        <f>IF(AD127=0,"",IF(Baux!$P$12="Base fixe",Baux!$N$12,IF(K126="Geler – rattrapage possible",H126,F126)))</f>
        <v/>
      </c>
      <c r="I127" s="25">
        <f>IF(AD127=0,"",IF(H127="","",IF(SUMIFS(Indices_long!$C:$C,Indices_long!$A:$A,E127,Indices_long!$B:$B,H127)=0,"",SUMIFS(Indices_long!$C:$C,Indices_long!$A:$A,E127,Indices_long!$B:$B,H127))))</f>
        <v/>
      </c>
      <c r="J127" s="26">
        <f>IF(OR(G127="",I127=""),"",G127/I127)</f>
        <v/>
      </c>
      <c r="K127" s="13" t="n"/>
      <c r="L127" s="27">
        <f>IF(AD127=0,"",IF(Baux!$P$12="Base fixe",Baux!$I$12,N126))</f>
        <v/>
      </c>
      <c r="M127" s="27">
        <f>IF(OR(J127="",L127=""),"",ROUND(L127*J127,2))</f>
        <v/>
      </c>
      <c r="N127" s="27">
        <f>IF(AD127=0,"",IF(LEFT(K127,5)="Geler",O127,IF(M127="","",IF(Baux!$Q$12="",M127,MIN(M127,ROUND(L127*(1+Baux!$Q$12/100)^IF(Baux!$P$12="Base fixe",C127*Baux!$O$12,VALUE(LEFT(F127,4))-VALUE(LEFT(H127,4))),2))))))</f>
        <v/>
      </c>
      <c r="O127" s="27">
        <f>IF(AD127=0,"",N126)</f>
        <v/>
      </c>
      <c r="P127" s="28">
        <f>IF(OR(N127="",O127=""),"",N127/O127-1)</f>
        <v/>
      </c>
      <c r="Q127" s="27">
        <f>IF(N127="","",N127/12)</f>
        <v/>
      </c>
      <c r="R127" s="27">
        <f>IF(N127="","",N127/IF(Baux!$L$12="Mensuelle",12,IF(Baux!$L$12="Trimestrielle",4,IF(Baux!$L$12="Semestrielle",2,1))))</f>
        <v/>
      </c>
      <c r="S127" s="27">
        <f>IF(AD127=0,"",IF(Baux!$J$12="",0,Baux!$J$12)/IF(Baux!$L$12="Mensuelle",12,IF(Baux!$L$12="Trimestrielle",4,IF(Baux!$L$12="Semestrielle",2,1))))</f>
        <v/>
      </c>
      <c r="T127" s="27">
        <f>IF(R127="","",(R127+S127)*Baux!$K$12/100)</f>
        <v/>
      </c>
      <c r="U127" s="27">
        <f>IF(R127="","",R127+S127+T127)</f>
        <v/>
      </c>
      <c r="V127" s="17">
        <f>IF(AD127=0,"",IF(LEFT(K127,5)="Geler","❄ Gelée",IF(G127="",IF(D127&lt;=TODAY(),"⚠ Indice attendu","À venir"),IF(D127&lt;=TODAY(),"✔ Calculable","Indice connu – à venir"))))</f>
        <v/>
      </c>
      <c r="W127" s="29" t="n"/>
      <c r="X127" s="13" t="n"/>
      <c r="Y127" s="14" t="n"/>
      <c r="Z127" s="14" t="n"/>
      <c r="AA127" s="13" t="n"/>
      <c r="AB127" s="17">
        <f>IF(A127="","",A127&amp;"#"&amp;C127)</f>
        <v/>
      </c>
      <c r="AC127" s="17">
        <f>IF(AND(AD127=1,D127&lt;=TODAY(),N127&lt;&gt;""),1,0)</f>
        <v/>
      </c>
      <c r="AD127" s="17">
        <f>IF(OR(A127="",D127=""),0,IF(AND(ISNUMBER(Baux!$H$12),D127&gt;Baux!$H$12),0,1))</f>
        <v/>
      </c>
    </row>
    <row r="128">
      <c r="A128" s="17">
        <f>IF(Baux!$A$12="","",Baux!$A$12)</f>
        <v/>
      </c>
      <c r="B128" s="17">
        <f>IF(A128="","",Baux!$B$12)</f>
        <v/>
      </c>
      <c r="C128" s="17" t="n">
        <v>7</v>
      </c>
      <c r="D128" s="15">
        <f>IF(OR(A128="",Baux!$F$12="",Baux!$O$12=""),"",EDATE(Baux!$F$12,12*Baux!$O$12*C128))</f>
        <v/>
      </c>
      <c r="E128" s="17">
        <f>IF(AD128=0,"",Baux!$M$12)</f>
        <v/>
      </c>
      <c r="F128" s="17">
        <f>IF(AD128=0,"",IFERROR(TEXT(VALUE(LEFT(Baux!$N$12,4))+C128*Baux!$O$12,"0")&amp;RIGHT(Baux!$N$12,3),""))</f>
        <v/>
      </c>
      <c r="G128" s="25">
        <f>IF(AD128=0,"",IF(F128="","",IF(SUMIFS(Indices_long!$C:$C,Indices_long!$A:$A,E128,Indices_long!$B:$B,F128)=0,"",SUMIFS(Indices_long!$C:$C,Indices_long!$A:$A,E128,Indices_long!$B:$B,F128))))</f>
        <v/>
      </c>
      <c r="H128" s="17">
        <f>IF(AD128=0,"",IF(Baux!$P$12="Base fixe",Baux!$N$12,IF(K127="Geler – rattrapage possible",H127,F127)))</f>
        <v/>
      </c>
      <c r="I128" s="25">
        <f>IF(AD128=0,"",IF(H128="","",IF(SUMIFS(Indices_long!$C:$C,Indices_long!$A:$A,E128,Indices_long!$B:$B,H128)=0,"",SUMIFS(Indices_long!$C:$C,Indices_long!$A:$A,E128,Indices_long!$B:$B,H128))))</f>
        <v/>
      </c>
      <c r="J128" s="26">
        <f>IF(OR(G128="",I128=""),"",G128/I128)</f>
        <v/>
      </c>
      <c r="K128" s="13" t="n"/>
      <c r="L128" s="27">
        <f>IF(AD128=0,"",IF(Baux!$P$12="Base fixe",Baux!$I$12,N127))</f>
        <v/>
      </c>
      <c r="M128" s="27">
        <f>IF(OR(J128="",L128=""),"",ROUND(L128*J128,2))</f>
        <v/>
      </c>
      <c r="N128" s="27">
        <f>IF(AD128=0,"",IF(LEFT(K128,5)="Geler",O128,IF(M128="","",IF(Baux!$Q$12="",M128,MIN(M128,ROUND(L128*(1+Baux!$Q$12/100)^IF(Baux!$P$12="Base fixe",C128*Baux!$O$12,VALUE(LEFT(F128,4))-VALUE(LEFT(H128,4))),2))))))</f>
        <v/>
      </c>
      <c r="O128" s="27">
        <f>IF(AD128=0,"",N127)</f>
        <v/>
      </c>
      <c r="P128" s="28">
        <f>IF(OR(N128="",O128=""),"",N128/O128-1)</f>
        <v/>
      </c>
      <c r="Q128" s="27">
        <f>IF(N128="","",N128/12)</f>
        <v/>
      </c>
      <c r="R128" s="27">
        <f>IF(N128="","",N128/IF(Baux!$L$12="Mensuelle",12,IF(Baux!$L$12="Trimestrielle",4,IF(Baux!$L$12="Semestrielle",2,1))))</f>
        <v/>
      </c>
      <c r="S128" s="27">
        <f>IF(AD128=0,"",IF(Baux!$J$12="",0,Baux!$J$12)/IF(Baux!$L$12="Mensuelle",12,IF(Baux!$L$12="Trimestrielle",4,IF(Baux!$L$12="Semestrielle",2,1))))</f>
        <v/>
      </c>
      <c r="T128" s="27">
        <f>IF(R128="","",(R128+S128)*Baux!$K$12/100)</f>
        <v/>
      </c>
      <c r="U128" s="27">
        <f>IF(R128="","",R128+S128+T128)</f>
        <v/>
      </c>
      <c r="V128" s="17">
        <f>IF(AD128=0,"",IF(LEFT(K128,5)="Geler","❄ Gelée",IF(G128="",IF(D128&lt;=TODAY(),"⚠ Indice attendu","À venir"),IF(D128&lt;=TODAY(),"✔ Calculable","Indice connu – à venir"))))</f>
        <v/>
      </c>
      <c r="W128" s="29" t="n"/>
      <c r="X128" s="13" t="n"/>
      <c r="Y128" s="14" t="n"/>
      <c r="Z128" s="14" t="n"/>
      <c r="AA128" s="13" t="n"/>
      <c r="AB128" s="17">
        <f>IF(A128="","",A128&amp;"#"&amp;C128)</f>
        <v/>
      </c>
      <c r="AC128" s="17">
        <f>IF(AND(AD128=1,D128&lt;=TODAY(),N128&lt;&gt;""),1,0)</f>
        <v/>
      </c>
      <c r="AD128" s="17">
        <f>IF(OR(A128="",D128=""),0,IF(AND(ISNUMBER(Baux!$H$12),D128&gt;Baux!$H$12),0,1))</f>
        <v/>
      </c>
    </row>
    <row r="129">
      <c r="A129" s="17">
        <f>IF(Baux!$A$12="","",Baux!$A$12)</f>
        <v/>
      </c>
      <c r="B129" s="17">
        <f>IF(A129="","",Baux!$B$12)</f>
        <v/>
      </c>
      <c r="C129" s="17" t="n">
        <v>8</v>
      </c>
      <c r="D129" s="15">
        <f>IF(OR(A129="",Baux!$F$12="",Baux!$O$12=""),"",EDATE(Baux!$F$12,12*Baux!$O$12*C129))</f>
        <v/>
      </c>
      <c r="E129" s="17">
        <f>IF(AD129=0,"",Baux!$M$12)</f>
        <v/>
      </c>
      <c r="F129" s="17">
        <f>IF(AD129=0,"",IFERROR(TEXT(VALUE(LEFT(Baux!$N$12,4))+C129*Baux!$O$12,"0")&amp;RIGHT(Baux!$N$12,3),""))</f>
        <v/>
      </c>
      <c r="G129" s="25">
        <f>IF(AD129=0,"",IF(F129="","",IF(SUMIFS(Indices_long!$C:$C,Indices_long!$A:$A,E129,Indices_long!$B:$B,F129)=0,"",SUMIFS(Indices_long!$C:$C,Indices_long!$A:$A,E129,Indices_long!$B:$B,F129))))</f>
        <v/>
      </c>
      <c r="H129" s="17">
        <f>IF(AD129=0,"",IF(Baux!$P$12="Base fixe",Baux!$N$12,IF(K128="Geler – rattrapage possible",H128,F128)))</f>
        <v/>
      </c>
      <c r="I129" s="25">
        <f>IF(AD129=0,"",IF(H129="","",IF(SUMIFS(Indices_long!$C:$C,Indices_long!$A:$A,E129,Indices_long!$B:$B,H129)=0,"",SUMIFS(Indices_long!$C:$C,Indices_long!$A:$A,E129,Indices_long!$B:$B,H129))))</f>
        <v/>
      </c>
      <c r="J129" s="26">
        <f>IF(OR(G129="",I129=""),"",G129/I129)</f>
        <v/>
      </c>
      <c r="K129" s="13" t="n"/>
      <c r="L129" s="27">
        <f>IF(AD129=0,"",IF(Baux!$P$12="Base fixe",Baux!$I$12,N128))</f>
        <v/>
      </c>
      <c r="M129" s="27">
        <f>IF(OR(J129="",L129=""),"",ROUND(L129*J129,2))</f>
        <v/>
      </c>
      <c r="N129" s="27">
        <f>IF(AD129=0,"",IF(LEFT(K129,5)="Geler",O129,IF(M129="","",IF(Baux!$Q$12="",M129,MIN(M129,ROUND(L129*(1+Baux!$Q$12/100)^IF(Baux!$P$12="Base fixe",C129*Baux!$O$12,VALUE(LEFT(F129,4))-VALUE(LEFT(H129,4))),2))))))</f>
        <v/>
      </c>
      <c r="O129" s="27">
        <f>IF(AD129=0,"",N128)</f>
        <v/>
      </c>
      <c r="P129" s="28">
        <f>IF(OR(N129="",O129=""),"",N129/O129-1)</f>
        <v/>
      </c>
      <c r="Q129" s="27">
        <f>IF(N129="","",N129/12)</f>
        <v/>
      </c>
      <c r="R129" s="27">
        <f>IF(N129="","",N129/IF(Baux!$L$12="Mensuelle",12,IF(Baux!$L$12="Trimestrielle",4,IF(Baux!$L$12="Semestrielle",2,1))))</f>
        <v/>
      </c>
      <c r="S129" s="27">
        <f>IF(AD129=0,"",IF(Baux!$J$12="",0,Baux!$J$12)/IF(Baux!$L$12="Mensuelle",12,IF(Baux!$L$12="Trimestrielle",4,IF(Baux!$L$12="Semestrielle",2,1))))</f>
        <v/>
      </c>
      <c r="T129" s="27">
        <f>IF(R129="","",(R129+S129)*Baux!$K$12/100)</f>
        <v/>
      </c>
      <c r="U129" s="27">
        <f>IF(R129="","",R129+S129+T129)</f>
        <v/>
      </c>
      <c r="V129" s="17">
        <f>IF(AD129=0,"",IF(LEFT(K129,5)="Geler","❄ Gelée",IF(G129="",IF(D129&lt;=TODAY(),"⚠ Indice attendu","À venir"),IF(D129&lt;=TODAY(),"✔ Calculable","Indice connu – à venir"))))</f>
        <v/>
      </c>
      <c r="W129" s="29" t="n"/>
      <c r="X129" s="13" t="n"/>
      <c r="Y129" s="14" t="n"/>
      <c r="Z129" s="14" t="n"/>
      <c r="AA129" s="13" t="n"/>
      <c r="AB129" s="17">
        <f>IF(A129="","",A129&amp;"#"&amp;C129)</f>
        <v/>
      </c>
      <c r="AC129" s="17">
        <f>IF(AND(AD129=1,D129&lt;=TODAY(),N129&lt;&gt;""),1,0)</f>
        <v/>
      </c>
      <c r="AD129" s="17">
        <f>IF(OR(A129="",D129=""),0,IF(AND(ISNUMBER(Baux!$H$12),D129&gt;Baux!$H$12),0,1))</f>
        <v/>
      </c>
    </row>
    <row r="130">
      <c r="A130" s="17">
        <f>IF(Baux!$A$12="","",Baux!$A$12)</f>
        <v/>
      </c>
      <c r="B130" s="17">
        <f>IF(A130="","",Baux!$B$12)</f>
        <v/>
      </c>
      <c r="C130" s="17" t="n">
        <v>9</v>
      </c>
      <c r="D130" s="15">
        <f>IF(OR(A130="",Baux!$F$12="",Baux!$O$12=""),"",EDATE(Baux!$F$12,12*Baux!$O$12*C130))</f>
        <v/>
      </c>
      <c r="E130" s="17">
        <f>IF(AD130=0,"",Baux!$M$12)</f>
        <v/>
      </c>
      <c r="F130" s="17">
        <f>IF(AD130=0,"",IFERROR(TEXT(VALUE(LEFT(Baux!$N$12,4))+C130*Baux!$O$12,"0")&amp;RIGHT(Baux!$N$12,3),""))</f>
        <v/>
      </c>
      <c r="G130" s="25">
        <f>IF(AD130=0,"",IF(F130="","",IF(SUMIFS(Indices_long!$C:$C,Indices_long!$A:$A,E130,Indices_long!$B:$B,F130)=0,"",SUMIFS(Indices_long!$C:$C,Indices_long!$A:$A,E130,Indices_long!$B:$B,F130))))</f>
        <v/>
      </c>
      <c r="H130" s="17">
        <f>IF(AD130=0,"",IF(Baux!$P$12="Base fixe",Baux!$N$12,IF(K129="Geler – rattrapage possible",H129,F129)))</f>
        <v/>
      </c>
      <c r="I130" s="25">
        <f>IF(AD130=0,"",IF(H130="","",IF(SUMIFS(Indices_long!$C:$C,Indices_long!$A:$A,E130,Indices_long!$B:$B,H130)=0,"",SUMIFS(Indices_long!$C:$C,Indices_long!$A:$A,E130,Indices_long!$B:$B,H130))))</f>
        <v/>
      </c>
      <c r="J130" s="26">
        <f>IF(OR(G130="",I130=""),"",G130/I130)</f>
        <v/>
      </c>
      <c r="K130" s="13" t="n"/>
      <c r="L130" s="27">
        <f>IF(AD130=0,"",IF(Baux!$P$12="Base fixe",Baux!$I$12,N129))</f>
        <v/>
      </c>
      <c r="M130" s="27">
        <f>IF(OR(J130="",L130=""),"",ROUND(L130*J130,2))</f>
        <v/>
      </c>
      <c r="N130" s="27">
        <f>IF(AD130=0,"",IF(LEFT(K130,5)="Geler",O130,IF(M130="","",IF(Baux!$Q$12="",M130,MIN(M130,ROUND(L130*(1+Baux!$Q$12/100)^IF(Baux!$P$12="Base fixe",C130*Baux!$O$12,VALUE(LEFT(F130,4))-VALUE(LEFT(H130,4))),2))))))</f>
        <v/>
      </c>
      <c r="O130" s="27">
        <f>IF(AD130=0,"",N129)</f>
        <v/>
      </c>
      <c r="P130" s="28">
        <f>IF(OR(N130="",O130=""),"",N130/O130-1)</f>
        <v/>
      </c>
      <c r="Q130" s="27">
        <f>IF(N130="","",N130/12)</f>
        <v/>
      </c>
      <c r="R130" s="27">
        <f>IF(N130="","",N130/IF(Baux!$L$12="Mensuelle",12,IF(Baux!$L$12="Trimestrielle",4,IF(Baux!$L$12="Semestrielle",2,1))))</f>
        <v/>
      </c>
      <c r="S130" s="27">
        <f>IF(AD130=0,"",IF(Baux!$J$12="",0,Baux!$J$12)/IF(Baux!$L$12="Mensuelle",12,IF(Baux!$L$12="Trimestrielle",4,IF(Baux!$L$12="Semestrielle",2,1))))</f>
        <v/>
      </c>
      <c r="T130" s="27">
        <f>IF(R130="","",(R130+S130)*Baux!$K$12/100)</f>
        <v/>
      </c>
      <c r="U130" s="27">
        <f>IF(R130="","",R130+S130+T130)</f>
        <v/>
      </c>
      <c r="V130" s="17">
        <f>IF(AD130=0,"",IF(LEFT(K130,5)="Geler","❄ Gelée",IF(G130="",IF(D130&lt;=TODAY(),"⚠ Indice attendu","À venir"),IF(D130&lt;=TODAY(),"✔ Calculable","Indice connu – à venir"))))</f>
        <v/>
      </c>
      <c r="W130" s="29" t="n"/>
      <c r="X130" s="13" t="n"/>
      <c r="Y130" s="14" t="n"/>
      <c r="Z130" s="14" t="n"/>
      <c r="AA130" s="13" t="n"/>
      <c r="AB130" s="17">
        <f>IF(A130="","",A130&amp;"#"&amp;C130)</f>
        <v/>
      </c>
      <c r="AC130" s="17">
        <f>IF(AND(AD130=1,D130&lt;=TODAY(),N130&lt;&gt;""),1,0)</f>
        <v/>
      </c>
      <c r="AD130" s="17">
        <f>IF(OR(A130="",D130=""),0,IF(AND(ISNUMBER(Baux!$H$12),D130&gt;Baux!$H$12),0,1))</f>
        <v/>
      </c>
    </row>
    <row r="131">
      <c r="A131" s="17">
        <f>IF(Baux!$A$12="","",Baux!$A$12)</f>
        <v/>
      </c>
      <c r="B131" s="17">
        <f>IF(A131="","",Baux!$B$12)</f>
        <v/>
      </c>
      <c r="C131" s="17" t="n">
        <v>10</v>
      </c>
      <c r="D131" s="15">
        <f>IF(OR(A131="",Baux!$F$12="",Baux!$O$12=""),"",EDATE(Baux!$F$12,12*Baux!$O$12*C131))</f>
        <v/>
      </c>
      <c r="E131" s="17">
        <f>IF(AD131=0,"",Baux!$M$12)</f>
        <v/>
      </c>
      <c r="F131" s="17">
        <f>IF(AD131=0,"",IFERROR(TEXT(VALUE(LEFT(Baux!$N$12,4))+C131*Baux!$O$12,"0")&amp;RIGHT(Baux!$N$12,3),""))</f>
        <v/>
      </c>
      <c r="G131" s="25">
        <f>IF(AD131=0,"",IF(F131="","",IF(SUMIFS(Indices_long!$C:$C,Indices_long!$A:$A,E131,Indices_long!$B:$B,F131)=0,"",SUMIFS(Indices_long!$C:$C,Indices_long!$A:$A,E131,Indices_long!$B:$B,F131))))</f>
        <v/>
      </c>
      <c r="H131" s="17">
        <f>IF(AD131=0,"",IF(Baux!$P$12="Base fixe",Baux!$N$12,IF(K130="Geler – rattrapage possible",H130,F130)))</f>
        <v/>
      </c>
      <c r="I131" s="25">
        <f>IF(AD131=0,"",IF(H131="","",IF(SUMIFS(Indices_long!$C:$C,Indices_long!$A:$A,E131,Indices_long!$B:$B,H131)=0,"",SUMIFS(Indices_long!$C:$C,Indices_long!$A:$A,E131,Indices_long!$B:$B,H131))))</f>
        <v/>
      </c>
      <c r="J131" s="26">
        <f>IF(OR(G131="",I131=""),"",G131/I131)</f>
        <v/>
      </c>
      <c r="K131" s="13" t="n"/>
      <c r="L131" s="27">
        <f>IF(AD131=0,"",IF(Baux!$P$12="Base fixe",Baux!$I$12,N130))</f>
        <v/>
      </c>
      <c r="M131" s="27">
        <f>IF(OR(J131="",L131=""),"",ROUND(L131*J131,2))</f>
        <v/>
      </c>
      <c r="N131" s="27">
        <f>IF(AD131=0,"",IF(LEFT(K131,5)="Geler",O131,IF(M131="","",IF(Baux!$Q$12="",M131,MIN(M131,ROUND(L131*(1+Baux!$Q$12/100)^IF(Baux!$P$12="Base fixe",C131*Baux!$O$12,VALUE(LEFT(F131,4))-VALUE(LEFT(H131,4))),2))))))</f>
        <v/>
      </c>
      <c r="O131" s="27">
        <f>IF(AD131=0,"",N130)</f>
        <v/>
      </c>
      <c r="P131" s="28">
        <f>IF(OR(N131="",O131=""),"",N131/O131-1)</f>
        <v/>
      </c>
      <c r="Q131" s="27">
        <f>IF(N131="","",N131/12)</f>
        <v/>
      </c>
      <c r="R131" s="27">
        <f>IF(N131="","",N131/IF(Baux!$L$12="Mensuelle",12,IF(Baux!$L$12="Trimestrielle",4,IF(Baux!$L$12="Semestrielle",2,1))))</f>
        <v/>
      </c>
      <c r="S131" s="27">
        <f>IF(AD131=0,"",IF(Baux!$J$12="",0,Baux!$J$12)/IF(Baux!$L$12="Mensuelle",12,IF(Baux!$L$12="Trimestrielle",4,IF(Baux!$L$12="Semestrielle",2,1))))</f>
        <v/>
      </c>
      <c r="T131" s="27">
        <f>IF(R131="","",(R131+S131)*Baux!$K$12/100)</f>
        <v/>
      </c>
      <c r="U131" s="27">
        <f>IF(R131="","",R131+S131+T131)</f>
        <v/>
      </c>
      <c r="V131" s="17">
        <f>IF(AD131=0,"",IF(LEFT(K131,5)="Geler","❄ Gelée",IF(G131="",IF(D131&lt;=TODAY(),"⚠ Indice attendu","À venir"),IF(D131&lt;=TODAY(),"✔ Calculable","Indice connu – à venir"))))</f>
        <v/>
      </c>
      <c r="W131" s="29" t="n"/>
      <c r="X131" s="13" t="n"/>
      <c r="Y131" s="14" t="n"/>
      <c r="Z131" s="14" t="n"/>
      <c r="AA131" s="13" t="n"/>
      <c r="AB131" s="17">
        <f>IF(A131="","",A131&amp;"#"&amp;C131)</f>
        <v/>
      </c>
      <c r="AC131" s="17">
        <f>IF(AND(AD131=1,D131&lt;=TODAY(),N131&lt;&gt;""),1,0)</f>
        <v/>
      </c>
      <c r="AD131" s="17">
        <f>IF(OR(A131="",D131=""),0,IF(AND(ISNUMBER(Baux!$H$12),D131&gt;Baux!$H$12),0,1))</f>
        <v/>
      </c>
    </row>
    <row r="132">
      <c r="A132" s="17">
        <f>IF(Baux!$A$12="","",Baux!$A$12)</f>
        <v/>
      </c>
      <c r="B132" s="17">
        <f>IF(A132="","",Baux!$B$12)</f>
        <v/>
      </c>
      <c r="C132" s="17" t="n">
        <v>11</v>
      </c>
      <c r="D132" s="15">
        <f>IF(OR(A132="",Baux!$F$12="",Baux!$O$12=""),"",EDATE(Baux!$F$12,12*Baux!$O$12*C132))</f>
        <v/>
      </c>
      <c r="E132" s="17">
        <f>IF(AD132=0,"",Baux!$M$12)</f>
        <v/>
      </c>
      <c r="F132" s="17">
        <f>IF(AD132=0,"",IFERROR(TEXT(VALUE(LEFT(Baux!$N$12,4))+C132*Baux!$O$12,"0")&amp;RIGHT(Baux!$N$12,3),""))</f>
        <v/>
      </c>
      <c r="G132" s="25">
        <f>IF(AD132=0,"",IF(F132="","",IF(SUMIFS(Indices_long!$C:$C,Indices_long!$A:$A,E132,Indices_long!$B:$B,F132)=0,"",SUMIFS(Indices_long!$C:$C,Indices_long!$A:$A,E132,Indices_long!$B:$B,F132))))</f>
        <v/>
      </c>
      <c r="H132" s="17">
        <f>IF(AD132=0,"",IF(Baux!$P$12="Base fixe",Baux!$N$12,IF(K131="Geler – rattrapage possible",H131,F131)))</f>
        <v/>
      </c>
      <c r="I132" s="25">
        <f>IF(AD132=0,"",IF(H132="","",IF(SUMIFS(Indices_long!$C:$C,Indices_long!$A:$A,E132,Indices_long!$B:$B,H132)=0,"",SUMIFS(Indices_long!$C:$C,Indices_long!$A:$A,E132,Indices_long!$B:$B,H132))))</f>
        <v/>
      </c>
      <c r="J132" s="26">
        <f>IF(OR(G132="",I132=""),"",G132/I132)</f>
        <v/>
      </c>
      <c r="K132" s="13" t="n"/>
      <c r="L132" s="27">
        <f>IF(AD132=0,"",IF(Baux!$P$12="Base fixe",Baux!$I$12,N131))</f>
        <v/>
      </c>
      <c r="M132" s="27">
        <f>IF(OR(J132="",L132=""),"",ROUND(L132*J132,2))</f>
        <v/>
      </c>
      <c r="N132" s="27">
        <f>IF(AD132=0,"",IF(LEFT(K132,5)="Geler",O132,IF(M132="","",IF(Baux!$Q$12="",M132,MIN(M132,ROUND(L132*(1+Baux!$Q$12/100)^IF(Baux!$P$12="Base fixe",C132*Baux!$O$12,VALUE(LEFT(F132,4))-VALUE(LEFT(H132,4))),2))))))</f>
        <v/>
      </c>
      <c r="O132" s="27">
        <f>IF(AD132=0,"",N131)</f>
        <v/>
      </c>
      <c r="P132" s="28">
        <f>IF(OR(N132="",O132=""),"",N132/O132-1)</f>
        <v/>
      </c>
      <c r="Q132" s="27">
        <f>IF(N132="","",N132/12)</f>
        <v/>
      </c>
      <c r="R132" s="27">
        <f>IF(N132="","",N132/IF(Baux!$L$12="Mensuelle",12,IF(Baux!$L$12="Trimestrielle",4,IF(Baux!$L$12="Semestrielle",2,1))))</f>
        <v/>
      </c>
      <c r="S132" s="27">
        <f>IF(AD132=0,"",IF(Baux!$J$12="",0,Baux!$J$12)/IF(Baux!$L$12="Mensuelle",12,IF(Baux!$L$12="Trimestrielle",4,IF(Baux!$L$12="Semestrielle",2,1))))</f>
        <v/>
      </c>
      <c r="T132" s="27">
        <f>IF(R132="","",(R132+S132)*Baux!$K$12/100)</f>
        <v/>
      </c>
      <c r="U132" s="27">
        <f>IF(R132="","",R132+S132+T132)</f>
        <v/>
      </c>
      <c r="V132" s="17">
        <f>IF(AD132=0,"",IF(LEFT(K132,5)="Geler","❄ Gelée",IF(G132="",IF(D132&lt;=TODAY(),"⚠ Indice attendu","À venir"),IF(D132&lt;=TODAY(),"✔ Calculable","Indice connu – à venir"))))</f>
        <v/>
      </c>
      <c r="W132" s="29" t="n"/>
      <c r="X132" s="13" t="n"/>
      <c r="Y132" s="14" t="n"/>
      <c r="Z132" s="14" t="n"/>
      <c r="AA132" s="13" t="n"/>
      <c r="AB132" s="17">
        <f>IF(A132="","",A132&amp;"#"&amp;C132)</f>
        <v/>
      </c>
      <c r="AC132" s="17">
        <f>IF(AND(AD132=1,D132&lt;=TODAY(),N132&lt;&gt;""),1,0)</f>
        <v/>
      </c>
      <c r="AD132" s="17">
        <f>IF(OR(A132="",D132=""),0,IF(AND(ISNUMBER(Baux!$H$12),D132&gt;Baux!$H$12),0,1))</f>
        <v/>
      </c>
    </row>
    <row r="133">
      <c r="A133" s="17">
        <f>IF(Baux!$A$12="","",Baux!$A$12)</f>
        <v/>
      </c>
      <c r="B133" s="17">
        <f>IF(A133="","",Baux!$B$12)</f>
        <v/>
      </c>
      <c r="C133" s="17" t="n">
        <v>12</v>
      </c>
      <c r="D133" s="15">
        <f>IF(OR(A133="",Baux!$F$12="",Baux!$O$12=""),"",EDATE(Baux!$F$12,12*Baux!$O$12*C133))</f>
        <v/>
      </c>
      <c r="E133" s="17">
        <f>IF(AD133=0,"",Baux!$M$12)</f>
        <v/>
      </c>
      <c r="F133" s="17">
        <f>IF(AD133=0,"",IFERROR(TEXT(VALUE(LEFT(Baux!$N$12,4))+C133*Baux!$O$12,"0")&amp;RIGHT(Baux!$N$12,3),""))</f>
        <v/>
      </c>
      <c r="G133" s="25">
        <f>IF(AD133=0,"",IF(F133="","",IF(SUMIFS(Indices_long!$C:$C,Indices_long!$A:$A,E133,Indices_long!$B:$B,F133)=0,"",SUMIFS(Indices_long!$C:$C,Indices_long!$A:$A,E133,Indices_long!$B:$B,F133))))</f>
        <v/>
      </c>
      <c r="H133" s="17">
        <f>IF(AD133=0,"",IF(Baux!$P$12="Base fixe",Baux!$N$12,IF(K132="Geler – rattrapage possible",H132,F132)))</f>
        <v/>
      </c>
      <c r="I133" s="25">
        <f>IF(AD133=0,"",IF(H133="","",IF(SUMIFS(Indices_long!$C:$C,Indices_long!$A:$A,E133,Indices_long!$B:$B,H133)=0,"",SUMIFS(Indices_long!$C:$C,Indices_long!$A:$A,E133,Indices_long!$B:$B,H133))))</f>
        <v/>
      </c>
      <c r="J133" s="26">
        <f>IF(OR(G133="",I133=""),"",G133/I133)</f>
        <v/>
      </c>
      <c r="K133" s="13" t="n"/>
      <c r="L133" s="27">
        <f>IF(AD133=0,"",IF(Baux!$P$12="Base fixe",Baux!$I$12,N132))</f>
        <v/>
      </c>
      <c r="M133" s="27">
        <f>IF(OR(J133="",L133=""),"",ROUND(L133*J133,2))</f>
        <v/>
      </c>
      <c r="N133" s="27">
        <f>IF(AD133=0,"",IF(LEFT(K133,5)="Geler",O133,IF(M133="","",IF(Baux!$Q$12="",M133,MIN(M133,ROUND(L133*(1+Baux!$Q$12/100)^IF(Baux!$P$12="Base fixe",C133*Baux!$O$12,VALUE(LEFT(F133,4))-VALUE(LEFT(H133,4))),2))))))</f>
        <v/>
      </c>
      <c r="O133" s="27">
        <f>IF(AD133=0,"",N132)</f>
        <v/>
      </c>
      <c r="P133" s="28">
        <f>IF(OR(N133="",O133=""),"",N133/O133-1)</f>
        <v/>
      </c>
      <c r="Q133" s="27">
        <f>IF(N133="","",N133/12)</f>
        <v/>
      </c>
      <c r="R133" s="27">
        <f>IF(N133="","",N133/IF(Baux!$L$12="Mensuelle",12,IF(Baux!$L$12="Trimestrielle",4,IF(Baux!$L$12="Semestrielle",2,1))))</f>
        <v/>
      </c>
      <c r="S133" s="27">
        <f>IF(AD133=0,"",IF(Baux!$J$12="",0,Baux!$J$12)/IF(Baux!$L$12="Mensuelle",12,IF(Baux!$L$12="Trimestrielle",4,IF(Baux!$L$12="Semestrielle",2,1))))</f>
        <v/>
      </c>
      <c r="T133" s="27">
        <f>IF(R133="","",(R133+S133)*Baux!$K$12/100)</f>
        <v/>
      </c>
      <c r="U133" s="27">
        <f>IF(R133="","",R133+S133+T133)</f>
        <v/>
      </c>
      <c r="V133" s="17">
        <f>IF(AD133=0,"",IF(LEFT(K133,5)="Geler","❄ Gelée",IF(G133="",IF(D133&lt;=TODAY(),"⚠ Indice attendu","À venir"),IF(D133&lt;=TODAY(),"✔ Calculable","Indice connu – à venir"))))</f>
        <v/>
      </c>
      <c r="W133" s="29" t="n"/>
      <c r="X133" s="13" t="n"/>
      <c r="Y133" s="14" t="n"/>
      <c r="Z133" s="14" t="n"/>
      <c r="AA133" s="13" t="n"/>
      <c r="AB133" s="17">
        <f>IF(A133="","",A133&amp;"#"&amp;C133)</f>
        <v/>
      </c>
      <c r="AC133" s="17">
        <f>IF(AND(AD133=1,D133&lt;=TODAY(),N133&lt;&gt;""),1,0)</f>
        <v/>
      </c>
      <c r="AD133" s="17">
        <f>IF(OR(A133="",D133=""),0,IF(AND(ISNUMBER(Baux!$H$12),D133&gt;Baux!$H$12),0,1))</f>
        <v/>
      </c>
    </row>
    <row r="134">
      <c r="A134" s="17">
        <f>IF(Baux!$A$13="","",Baux!$A$13)</f>
        <v/>
      </c>
      <c r="B134" s="17">
        <f>IF(A134="","",Baux!$B$13)</f>
        <v/>
      </c>
      <c r="C134" s="17" t="n">
        <v>1</v>
      </c>
      <c r="D134" s="15">
        <f>IF(OR(A134="",Baux!$F$13="",Baux!$O$13=""),"",EDATE(Baux!$F$13,12*Baux!$O$13*C134))</f>
        <v/>
      </c>
      <c r="E134" s="17">
        <f>IF(AD134=0,"",Baux!$M$13)</f>
        <v/>
      </c>
      <c r="F134" s="17">
        <f>IF(AD134=0,"",IFERROR(TEXT(VALUE(LEFT(Baux!$N$13,4))+C134*Baux!$O$13,"0")&amp;RIGHT(Baux!$N$13,3),""))</f>
        <v/>
      </c>
      <c r="G134" s="25">
        <f>IF(AD134=0,"",IF(F134="","",IF(SUMIFS(Indices_long!$C:$C,Indices_long!$A:$A,E134,Indices_long!$B:$B,F134)=0,"",SUMIFS(Indices_long!$C:$C,Indices_long!$A:$A,E134,Indices_long!$B:$B,F134))))</f>
        <v/>
      </c>
      <c r="H134" s="17">
        <f>IF(AD134=0,"",Baux!$N$13)</f>
        <v/>
      </c>
      <c r="I134" s="25">
        <f>IF(AD134=0,"",IF(H134="","",IF(SUMIFS(Indices_long!$C:$C,Indices_long!$A:$A,E134,Indices_long!$B:$B,H134)=0,"",SUMIFS(Indices_long!$C:$C,Indices_long!$A:$A,E134,Indices_long!$B:$B,H134))))</f>
        <v/>
      </c>
      <c r="J134" s="26">
        <f>IF(OR(G134="",I134=""),"",G134/I134)</f>
        <v/>
      </c>
      <c r="K134" s="13" t="n"/>
      <c r="L134" s="27">
        <f>IF(AD134=0,"",Baux!$I$13)</f>
        <v/>
      </c>
      <c r="M134" s="27">
        <f>IF(OR(J134="",L134=""),"",ROUND(L134*J134,2))</f>
        <v/>
      </c>
      <c r="N134" s="27">
        <f>IF(AD134=0,"",IF(LEFT(K134,5)="Geler",O134,IF(M134="","",IF(Baux!$Q$13="",M134,MIN(M134,ROUND(L134*(1+Baux!$Q$13/100)^IF(Baux!$P$13="Base fixe",C134*Baux!$O$13,VALUE(LEFT(F134,4))-VALUE(LEFT(H134,4))),2))))))</f>
        <v/>
      </c>
      <c r="O134" s="27">
        <f>IF(AD134=0,"",Baux!$I$13)</f>
        <v/>
      </c>
      <c r="P134" s="28">
        <f>IF(OR(N134="",O134=""),"",N134/O134-1)</f>
        <v/>
      </c>
      <c r="Q134" s="27">
        <f>IF(N134="","",N134/12)</f>
        <v/>
      </c>
      <c r="R134" s="27">
        <f>IF(N134="","",N134/IF(Baux!$L$13="Mensuelle",12,IF(Baux!$L$13="Trimestrielle",4,IF(Baux!$L$13="Semestrielle",2,1))))</f>
        <v/>
      </c>
      <c r="S134" s="27">
        <f>IF(AD134=0,"",IF(Baux!$J$13="",0,Baux!$J$13)/IF(Baux!$L$13="Mensuelle",12,IF(Baux!$L$13="Trimestrielle",4,IF(Baux!$L$13="Semestrielle",2,1))))</f>
        <v/>
      </c>
      <c r="T134" s="27">
        <f>IF(R134="","",(R134+S134)*Baux!$K$13/100)</f>
        <v/>
      </c>
      <c r="U134" s="27">
        <f>IF(R134="","",R134+S134+T134)</f>
        <v/>
      </c>
      <c r="V134" s="17">
        <f>IF(AD134=0,"",IF(LEFT(K134,5)="Geler","❄ Gelée",IF(G134="",IF(D134&lt;=TODAY(),"⚠ Indice attendu","À venir"),IF(D134&lt;=TODAY(),"✔ Calculable","Indice connu – à venir"))))</f>
        <v/>
      </c>
      <c r="W134" s="29" t="n"/>
      <c r="X134" s="13" t="n"/>
      <c r="Y134" s="14" t="n"/>
      <c r="Z134" s="14" t="n"/>
      <c r="AA134" s="13" t="n"/>
      <c r="AB134" s="17">
        <f>IF(A134="","",A134&amp;"#"&amp;C134)</f>
        <v/>
      </c>
      <c r="AC134" s="17">
        <f>IF(AND(AD134=1,D134&lt;=TODAY(),N134&lt;&gt;""),1,0)</f>
        <v/>
      </c>
      <c r="AD134" s="17">
        <f>IF(OR(A134="",D134=""),0,IF(AND(ISNUMBER(Baux!$H$13),D134&gt;Baux!$H$13),0,1))</f>
        <v/>
      </c>
    </row>
    <row r="135">
      <c r="A135" s="17">
        <f>IF(Baux!$A$13="","",Baux!$A$13)</f>
        <v/>
      </c>
      <c r="B135" s="17">
        <f>IF(A135="","",Baux!$B$13)</f>
        <v/>
      </c>
      <c r="C135" s="17" t="n">
        <v>2</v>
      </c>
      <c r="D135" s="15">
        <f>IF(OR(A135="",Baux!$F$13="",Baux!$O$13=""),"",EDATE(Baux!$F$13,12*Baux!$O$13*C135))</f>
        <v/>
      </c>
      <c r="E135" s="17">
        <f>IF(AD135=0,"",Baux!$M$13)</f>
        <v/>
      </c>
      <c r="F135" s="17">
        <f>IF(AD135=0,"",IFERROR(TEXT(VALUE(LEFT(Baux!$N$13,4))+C135*Baux!$O$13,"0")&amp;RIGHT(Baux!$N$13,3),""))</f>
        <v/>
      </c>
      <c r="G135" s="25">
        <f>IF(AD135=0,"",IF(F135="","",IF(SUMIFS(Indices_long!$C:$C,Indices_long!$A:$A,E135,Indices_long!$B:$B,F135)=0,"",SUMIFS(Indices_long!$C:$C,Indices_long!$A:$A,E135,Indices_long!$B:$B,F135))))</f>
        <v/>
      </c>
      <c r="H135" s="17">
        <f>IF(AD135=0,"",IF(Baux!$P$13="Base fixe",Baux!$N$13,IF(K134="Geler – rattrapage possible",H134,F134)))</f>
        <v/>
      </c>
      <c r="I135" s="25">
        <f>IF(AD135=0,"",IF(H135="","",IF(SUMIFS(Indices_long!$C:$C,Indices_long!$A:$A,E135,Indices_long!$B:$B,H135)=0,"",SUMIFS(Indices_long!$C:$C,Indices_long!$A:$A,E135,Indices_long!$B:$B,H135))))</f>
        <v/>
      </c>
      <c r="J135" s="26">
        <f>IF(OR(G135="",I135=""),"",G135/I135)</f>
        <v/>
      </c>
      <c r="K135" s="13" t="n"/>
      <c r="L135" s="27">
        <f>IF(AD135=0,"",IF(Baux!$P$13="Base fixe",Baux!$I$13,N134))</f>
        <v/>
      </c>
      <c r="M135" s="27">
        <f>IF(OR(J135="",L135=""),"",ROUND(L135*J135,2))</f>
        <v/>
      </c>
      <c r="N135" s="27">
        <f>IF(AD135=0,"",IF(LEFT(K135,5)="Geler",O135,IF(M135="","",IF(Baux!$Q$13="",M135,MIN(M135,ROUND(L135*(1+Baux!$Q$13/100)^IF(Baux!$P$13="Base fixe",C135*Baux!$O$13,VALUE(LEFT(F135,4))-VALUE(LEFT(H135,4))),2))))))</f>
        <v/>
      </c>
      <c r="O135" s="27">
        <f>IF(AD135=0,"",N134)</f>
        <v/>
      </c>
      <c r="P135" s="28">
        <f>IF(OR(N135="",O135=""),"",N135/O135-1)</f>
        <v/>
      </c>
      <c r="Q135" s="27">
        <f>IF(N135="","",N135/12)</f>
        <v/>
      </c>
      <c r="R135" s="27">
        <f>IF(N135="","",N135/IF(Baux!$L$13="Mensuelle",12,IF(Baux!$L$13="Trimestrielle",4,IF(Baux!$L$13="Semestrielle",2,1))))</f>
        <v/>
      </c>
      <c r="S135" s="27">
        <f>IF(AD135=0,"",IF(Baux!$J$13="",0,Baux!$J$13)/IF(Baux!$L$13="Mensuelle",12,IF(Baux!$L$13="Trimestrielle",4,IF(Baux!$L$13="Semestrielle",2,1))))</f>
        <v/>
      </c>
      <c r="T135" s="27">
        <f>IF(R135="","",(R135+S135)*Baux!$K$13/100)</f>
        <v/>
      </c>
      <c r="U135" s="27">
        <f>IF(R135="","",R135+S135+T135)</f>
        <v/>
      </c>
      <c r="V135" s="17">
        <f>IF(AD135=0,"",IF(LEFT(K135,5)="Geler","❄ Gelée",IF(G135="",IF(D135&lt;=TODAY(),"⚠ Indice attendu","À venir"),IF(D135&lt;=TODAY(),"✔ Calculable","Indice connu – à venir"))))</f>
        <v/>
      </c>
      <c r="W135" s="29" t="n"/>
      <c r="X135" s="13" t="n"/>
      <c r="Y135" s="14" t="n"/>
      <c r="Z135" s="14" t="n"/>
      <c r="AA135" s="13" t="n"/>
      <c r="AB135" s="17">
        <f>IF(A135="","",A135&amp;"#"&amp;C135)</f>
        <v/>
      </c>
      <c r="AC135" s="17">
        <f>IF(AND(AD135=1,D135&lt;=TODAY(),N135&lt;&gt;""),1,0)</f>
        <v/>
      </c>
      <c r="AD135" s="17">
        <f>IF(OR(A135="",D135=""),0,IF(AND(ISNUMBER(Baux!$H$13),D135&gt;Baux!$H$13),0,1))</f>
        <v/>
      </c>
    </row>
    <row r="136">
      <c r="A136" s="17">
        <f>IF(Baux!$A$13="","",Baux!$A$13)</f>
        <v/>
      </c>
      <c r="B136" s="17">
        <f>IF(A136="","",Baux!$B$13)</f>
        <v/>
      </c>
      <c r="C136" s="17" t="n">
        <v>3</v>
      </c>
      <c r="D136" s="15">
        <f>IF(OR(A136="",Baux!$F$13="",Baux!$O$13=""),"",EDATE(Baux!$F$13,12*Baux!$O$13*C136))</f>
        <v/>
      </c>
      <c r="E136" s="17">
        <f>IF(AD136=0,"",Baux!$M$13)</f>
        <v/>
      </c>
      <c r="F136" s="17">
        <f>IF(AD136=0,"",IFERROR(TEXT(VALUE(LEFT(Baux!$N$13,4))+C136*Baux!$O$13,"0")&amp;RIGHT(Baux!$N$13,3),""))</f>
        <v/>
      </c>
      <c r="G136" s="25">
        <f>IF(AD136=0,"",IF(F136="","",IF(SUMIFS(Indices_long!$C:$C,Indices_long!$A:$A,E136,Indices_long!$B:$B,F136)=0,"",SUMIFS(Indices_long!$C:$C,Indices_long!$A:$A,E136,Indices_long!$B:$B,F136))))</f>
        <v/>
      </c>
      <c r="H136" s="17">
        <f>IF(AD136=0,"",IF(Baux!$P$13="Base fixe",Baux!$N$13,IF(K135="Geler – rattrapage possible",H135,F135)))</f>
        <v/>
      </c>
      <c r="I136" s="25">
        <f>IF(AD136=0,"",IF(H136="","",IF(SUMIFS(Indices_long!$C:$C,Indices_long!$A:$A,E136,Indices_long!$B:$B,H136)=0,"",SUMIFS(Indices_long!$C:$C,Indices_long!$A:$A,E136,Indices_long!$B:$B,H136))))</f>
        <v/>
      </c>
      <c r="J136" s="26">
        <f>IF(OR(G136="",I136=""),"",G136/I136)</f>
        <v/>
      </c>
      <c r="K136" s="13" t="n"/>
      <c r="L136" s="27">
        <f>IF(AD136=0,"",IF(Baux!$P$13="Base fixe",Baux!$I$13,N135))</f>
        <v/>
      </c>
      <c r="M136" s="27">
        <f>IF(OR(J136="",L136=""),"",ROUND(L136*J136,2))</f>
        <v/>
      </c>
      <c r="N136" s="27">
        <f>IF(AD136=0,"",IF(LEFT(K136,5)="Geler",O136,IF(M136="","",IF(Baux!$Q$13="",M136,MIN(M136,ROUND(L136*(1+Baux!$Q$13/100)^IF(Baux!$P$13="Base fixe",C136*Baux!$O$13,VALUE(LEFT(F136,4))-VALUE(LEFT(H136,4))),2))))))</f>
        <v/>
      </c>
      <c r="O136" s="27">
        <f>IF(AD136=0,"",N135)</f>
        <v/>
      </c>
      <c r="P136" s="28">
        <f>IF(OR(N136="",O136=""),"",N136/O136-1)</f>
        <v/>
      </c>
      <c r="Q136" s="27">
        <f>IF(N136="","",N136/12)</f>
        <v/>
      </c>
      <c r="R136" s="27">
        <f>IF(N136="","",N136/IF(Baux!$L$13="Mensuelle",12,IF(Baux!$L$13="Trimestrielle",4,IF(Baux!$L$13="Semestrielle",2,1))))</f>
        <v/>
      </c>
      <c r="S136" s="27">
        <f>IF(AD136=0,"",IF(Baux!$J$13="",0,Baux!$J$13)/IF(Baux!$L$13="Mensuelle",12,IF(Baux!$L$13="Trimestrielle",4,IF(Baux!$L$13="Semestrielle",2,1))))</f>
        <v/>
      </c>
      <c r="T136" s="27">
        <f>IF(R136="","",(R136+S136)*Baux!$K$13/100)</f>
        <v/>
      </c>
      <c r="U136" s="27">
        <f>IF(R136="","",R136+S136+T136)</f>
        <v/>
      </c>
      <c r="V136" s="17">
        <f>IF(AD136=0,"",IF(LEFT(K136,5)="Geler","❄ Gelée",IF(G136="",IF(D136&lt;=TODAY(),"⚠ Indice attendu","À venir"),IF(D136&lt;=TODAY(),"✔ Calculable","Indice connu – à venir"))))</f>
        <v/>
      </c>
      <c r="W136" s="29" t="n"/>
      <c r="X136" s="13" t="n"/>
      <c r="Y136" s="14" t="n"/>
      <c r="Z136" s="14" t="n"/>
      <c r="AA136" s="13" t="n"/>
      <c r="AB136" s="17">
        <f>IF(A136="","",A136&amp;"#"&amp;C136)</f>
        <v/>
      </c>
      <c r="AC136" s="17">
        <f>IF(AND(AD136=1,D136&lt;=TODAY(),N136&lt;&gt;""),1,0)</f>
        <v/>
      </c>
      <c r="AD136" s="17">
        <f>IF(OR(A136="",D136=""),0,IF(AND(ISNUMBER(Baux!$H$13),D136&gt;Baux!$H$13),0,1))</f>
        <v/>
      </c>
    </row>
    <row r="137">
      <c r="A137" s="17">
        <f>IF(Baux!$A$13="","",Baux!$A$13)</f>
        <v/>
      </c>
      <c r="B137" s="17">
        <f>IF(A137="","",Baux!$B$13)</f>
        <v/>
      </c>
      <c r="C137" s="17" t="n">
        <v>4</v>
      </c>
      <c r="D137" s="15">
        <f>IF(OR(A137="",Baux!$F$13="",Baux!$O$13=""),"",EDATE(Baux!$F$13,12*Baux!$O$13*C137))</f>
        <v/>
      </c>
      <c r="E137" s="17">
        <f>IF(AD137=0,"",Baux!$M$13)</f>
        <v/>
      </c>
      <c r="F137" s="17">
        <f>IF(AD137=0,"",IFERROR(TEXT(VALUE(LEFT(Baux!$N$13,4))+C137*Baux!$O$13,"0")&amp;RIGHT(Baux!$N$13,3),""))</f>
        <v/>
      </c>
      <c r="G137" s="25">
        <f>IF(AD137=0,"",IF(F137="","",IF(SUMIFS(Indices_long!$C:$C,Indices_long!$A:$A,E137,Indices_long!$B:$B,F137)=0,"",SUMIFS(Indices_long!$C:$C,Indices_long!$A:$A,E137,Indices_long!$B:$B,F137))))</f>
        <v/>
      </c>
      <c r="H137" s="17">
        <f>IF(AD137=0,"",IF(Baux!$P$13="Base fixe",Baux!$N$13,IF(K136="Geler – rattrapage possible",H136,F136)))</f>
        <v/>
      </c>
      <c r="I137" s="25">
        <f>IF(AD137=0,"",IF(H137="","",IF(SUMIFS(Indices_long!$C:$C,Indices_long!$A:$A,E137,Indices_long!$B:$B,H137)=0,"",SUMIFS(Indices_long!$C:$C,Indices_long!$A:$A,E137,Indices_long!$B:$B,H137))))</f>
        <v/>
      </c>
      <c r="J137" s="26">
        <f>IF(OR(G137="",I137=""),"",G137/I137)</f>
        <v/>
      </c>
      <c r="K137" s="13" t="n"/>
      <c r="L137" s="27">
        <f>IF(AD137=0,"",IF(Baux!$P$13="Base fixe",Baux!$I$13,N136))</f>
        <v/>
      </c>
      <c r="M137" s="27">
        <f>IF(OR(J137="",L137=""),"",ROUND(L137*J137,2))</f>
        <v/>
      </c>
      <c r="N137" s="27">
        <f>IF(AD137=0,"",IF(LEFT(K137,5)="Geler",O137,IF(M137="","",IF(Baux!$Q$13="",M137,MIN(M137,ROUND(L137*(1+Baux!$Q$13/100)^IF(Baux!$P$13="Base fixe",C137*Baux!$O$13,VALUE(LEFT(F137,4))-VALUE(LEFT(H137,4))),2))))))</f>
        <v/>
      </c>
      <c r="O137" s="27">
        <f>IF(AD137=0,"",N136)</f>
        <v/>
      </c>
      <c r="P137" s="28">
        <f>IF(OR(N137="",O137=""),"",N137/O137-1)</f>
        <v/>
      </c>
      <c r="Q137" s="27">
        <f>IF(N137="","",N137/12)</f>
        <v/>
      </c>
      <c r="R137" s="27">
        <f>IF(N137="","",N137/IF(Baux!$L$13="Mensuelle",12,IF(Baux!$L$13="Trimestrielle",4,IF(Baux!$L$13="Semestrielle",2,1))))</f>
        <v/>
      </c>
      <c r="S137" s="27">
        <f>IF(AD137=0,"",IF(Baux!$J$13="",0,Baux!$J$13)/IF(Baux!$L$13="Mensuelle",12,IF(Baux!$L$13="Trimestrielle",4,IF(Baux!$L$13="Semestrielle",2,1))))</f>
        <v/>
      </c>
      <c r="T137" s="27">
        <f>IF(R137="","",(R137+S137)*Baux!$K$13/100)</f>
        <v/>
      </c>
      <c r="U137" s="27">
        <f>IF(R137="","",R137+S137+T137)</f>
        <v/>
      </c>
      <c r="V137" s="17">
        <f>IF(AD137=0,"",IF(LEFT(K137,5)="Geler","❄ Gelée",IF(G137="",IF(D137&lt;=TODAY(),"⚠ Indice attendu","À venir"),IF(D137&lt;=TODAY(),"✔ Calculable","Indice connu – à venir"))))</f>
        <v/>
      </c>
      <c r="W137" s="29" t="n"/>
      <c r="X137" s="13" t="n"/>
      <c r="Y137" s="14" t="n"/>
      <c r="Z137" s="14" t="n"/>
      <c r="AA137" s="13" t="n"/>
      <c r="AB137" s="17">
        <f>IF(A137="","",A137&amp;"#"&amp;C137)</f>
        <v/>
      </c>
      <c r="AC137" s="17">
        <f>IF(AND(AD137=1,D137&lt;=TODAY(),N137&lt;&gt;""),1,0)</f>
        <v/>
      </c>
      <c r="AD137" s="17">
        <f>IF(OR(A137="",D137=""),0,IF(AND(ISNUMBER(Baux!$H$13),D137&gt;Baux!$H$13),0,1))</f>
        <v/>
      </c>
    </row>
    <row r="138">
      <c r="A138" s="17">
        <f>IF(Baux!$A$13="","",Baux!$A$13)</f>
        <v/>
      </c>
      <c r="B138" s="17">
        <f>IF(A138="","",Baux!$B$13)</f>
        <v/>
      </c>
      <c r="C138" s="17" t="n">
        <v>5</v>
      </c>
      <c r="D138" s="15">
        <f>IF(OR(A138="",Baux!$F$13="",Baux!$O$13=""),"",EDATE(Baux!$F$13,12*Baux!$O$13*C138))</f>
        <v/>
      </c>
      <c r="E138" s="17">
        <f>IF(AD138=0,"",Baux!$M$13)</f>
        <v/>
      </c>
      <c r="F138" s="17">
        <f>IF(AD138=0,"",IFERROR(TEXT(VALUE(LEFT(Baux!$N$13,4))+C138*Baux!$O$13,"0")&amp;RIGHT(Baux!$N$13,3),""))</f>
        <v/>
      </c>
      <c r="G138" s="25">
        <f>IF(AD138=0,"",IF(F138="","",IF(SUMIFS(Indices_long!$C:$C,Indices_long!$A:$A,E138,Indices_long!$B:$B,F138)=0,"",SUMIFS(Indices_long!$C:$C,Indices_long!$A:$A,E138,Indices_long!$B:$B,F138))))</f>
        <v/>
      </c>
      <c r="H138" s="17">
        <f>IF(AD138=0,"",IF(Baux!$P$13="Base fixe",Baux!$N$13,IF(K137="Geler – rattrapage possible",H137,F137)))</f>
        <v/>
      </c>
      <c r="I138" s="25">
        <f>IF(AD138=0,"",IF(H138="","",IF(SUMIFS(Indices_long!$C:$C,Indices_long!$A:$A,E138,Indices_long!$B:$B,H138)=0,"",SUMIFS(Indices_long!$C:$C,Indices_long!$A:$A,E138,Indices_long!$B:$B,H138))))</f>
        <v/>
      </c>
      <c r="J138" s="26">
        <f>IF(OR(G138="",I138=""),"",G138/I138)</f>
        <v/>
      </c>
      <c r="K138" s="13" t="n"/>
      <c r="L138" s="27">
        <f>IF(AD138=0,"",IF(Baux!$P$13="Base fixe",Baux!$I$13,N137))</f>
        <v/>
      </c>
      <c r="M138" s="27">
        <f>IF(OR(J138="",L138=""),"",ROUND(L138*J138,2))</f>
        <v/>
      </c>
      <c r="N138" s="27">
        <f>IF(AD138=0,"",IF(LEFT(K138,5)="Geler",O138,IF(M138="","",IF(Baux!$Q$13="",M138,MIN(M138,ROUND(L138*(1+Baux!$Q$13/100)^IF(Baux!$P$13="Base fixe",C138*Baux!$O$13,VALUE(LEFT(F138,4))-VALUE(LEFT(H138,4))),2))))))</f>
        <v/>
      </c>
      <c r="O138" s="27">
        <f>IF(AD138=0,"",N137)</f>
        <v/>
      </c>
      <c r="P138" s="28">
        <f>IF(OR(N138="",O138=""),"",N138/O138-1)</f>
        <v/>
      </c>
      <c r="Q138" s="27">
        <f>IF(N138="","",N138/12)</f>
        <v/>
      </c>
      <c r="R138" s="27">
        <f>IF(N138="","",N138/IF(Baux!$L$13="Mensuelle",12,IF(Baux!$L$13="Trimestrielle",4,IF(Baux!$L$13="Semestrielle",2,1))))</f>
        <v/>
      </c>
      <c r="S138" s="27">
        <f>IF(AD138=0,"",IF(Baux!$J$13="",0,Baux!$J$13)/IF(Baux!$L$13="Mensuelle",12,IF(Baux!$L$13="Trimestrielle",4,IF(Baux!$L$13="Semestrielle",2,1))))</f>
        <v/>
      </c>
      <c r="T138" s="27">
        <f>IF(R138="","",(R138+S138)*Baux!$K$13/100)</f>
        <v/>
      </c>
      <c r="U138" s="27">
        <f>IF(R138="","",R138+S138+T138)</f>
        <v/>
      </c>
      <c r="V138" s="17">
        <f>IF(AD138=0,"",IF(LEFT(K138,5)="Geler","❄ Gelée",IF(G138="",IF(D138&lt;=TODAY(),"⚠ Indice attendu","À venir"),IF(D138&lt;=TODAY(),"✔ Calculable","Indice connu – à venir"))))</f>
        <v/>
      </c>
      <c r="W138" s="29" t="n"/>
      <c r="X138" s="13" t="n"/>
      <c r="Y138" s="14" t="n"/>
      <c r="Z138" s="14" t="n"/>
      <c r="AA138" s="13" t="n"/>
      <c r="AB138" s="17">
        <f>IF(A138="","",A138&amp;"#"&amp;C138)</f>
        <v/>
      </c>
      <c r="AC138" s="17">
        <f>IF(AND(AD138=1,D138&lt;=TODAY(),N138&lt;&gt;""),1,0)</f>
        <v/>
      </c>
      <c r="AD138" s="17">
        <f>IF(OR(A138="",D138=""),0,IF(AND(ISNUMBER(Baux!$H$13),D138&gt;Baux!$H$13),0,1))</f>
        <v/>
      </c>
    </row>
    <row r="139">
      <c r="A139" s="17">
        <f>IF(Baux!$A$13="","",Baux!$A$13)</f>
        <v/>
      </c>
      <c r="B139" s="17">
        <f>IF(A139="","",Baux!$B$13)</f>
        <v/>
      </c>
      <c r="C139" s="17" t="n">
        <v>6</v>
      </c>
      <c r="D139" s="15">
        <f>IF(OR(A139="",Baux!$F$13="",Baux!$O$13=""),"",EDATE(Baux!$F$13,12*Baux!$O$13*C139))</f>
        <v/>
      </c>
      <c r="E139" s="17">
        <f>IF(AD139=0,"",Baux!$M$13)</f>
        <v/>
      </c>
      <c r="F139" s="17">
        <f>IF(AD139=0,"",IFERROR(TEXT(VALUE(LEFT(Baux!$N$13,4))+C139*Baux!$O$13,"0")&amp;RIGHT(Baux!$N$13,3),""))</f>
        <v/>
      </c>
      <c r="G139" s="25">
        <f>IF(AD139=0,"",IF(F139="","",IF(SUMIFS(Indices_long!$C:$C,Indices_long!$A:$A,E139,Indices_long!$B:$B,F139)=0,"",SUMIFS(Indices_long!$C:$C,Indices_long!$A:$A,E139,Indices_long!$B:$B,F139))))</f>
        <v/>
      </c>
      <c r="H139" s="17">
        <f>IF(AD139=0,"",IF(Baux!$P$13="Base fixe",Baux!$N$13,IF(K138="Geler – rattrapage possible",H138,F138)))</f>
        <v/>
      </c>
      <c r="I139" s="25">
        <f>IF(AD139=0,"",IF(H139="","",IF(SUMIFS(Indices_long!$C:$C,Indices_long!$A:$A,E139,Indices_long!$B:$B,H139)=0,"",SUMIFS(Indices_long!$C:$C,Indices_long!$A:$A,E139,Indices_long!$B:$B,H139))))</f>
        <v/>
      </c>
      <c r="J139" s="26">
        <f>IF(OR(G139="",I139=""),"",G139/I139)</f>
        <v/>
      </c>
      <c r="K139" s="13" t="n"/>
      <c r="L139" s="27">
        <f>IF(AD139=0,"",IF(Baux!$P$13="Base fixe",Baux!$I$13,N138))</f>
        <v/>
      </c>
      <c r="M139" s="27">
        <f>IF(OR(J139="",L139=""),"",ROUND(L139*J139,2))</f>
        <v/>
      </c>
      <c r="N139" s="27">
        <f>IF(AD139=0,"",IF(LEFT(K139,5)="Geler",O139,IF(M139="","",IF(Baux!$Q$13="",M139,MIN(M139,ROUND(L139*(1+Baux!$Q$13/100)^IF(Baux!$P$13="Base fixe",C139*Baux!$O$13,VALUE(LEFT(F139,4))-VALUE(LEFT(H139,4))),2))))))</f>
        <v/>
      </c>
      <c r="O139" s="27">
        <f>IF(AD139=0,"",N138)</f>
        <v/>
      </c>
      <c r="P139" s="28">
        <f>IF(OR(N139="",O139=""),"",N139/O139-1)</f>
        <v/>
      </c>
      <c r="Q139" s="27">
        <f>IF(N139="","",N139/12)</f>
        <v/>
      </c>
      <c r="R139" s="27">
        <f>IF(N139="","",N139/IF(Baux!$L$13="Mensuelle",12,IF(Baux!$L$13="Trimestrielle",4,IF(Baux!$L$13="Semestrielle",2,1))))</f>
        <v/>
      </c>
      <c r="S139" s="27">
        <f>IF(AD139=0,"",IF(Baux!$J$13="",0,Baux!$J$13)/IF(Baux!$L$13="Mensuelle",12,IF(Baux!$L$13="Trimestrielle",4,IF(Baux!$L$13="Semestrielle",2,1))))</f>
        <v/>
      </c>
      <c r="T139" s="27">
        <f>IF(R139="","",(R139+S139)*Baux!$K$13/100)</f>
        <v/>
      </c>
      <c r="U139" s="27">
        <f>IF(R139="","",R139+S139+T139)</f>
        <v/>
      </c>
      <c r="V139" s="17">
        <f>IF(AD139=0,"",IF(LEFT(K139,5)="Geler","❄ Gelée",IF(G139="",IF(D139&lt;=TODAY(),"⚠ Indice attendu","À venir"),IF(D139&lt;=TODAY(),"✔ Calculable","Indice connu – à venir"))))</f>
        <v/>
      </c>
      <c r="W139" s="29" t="n"/>
      <c r="X139" s="13" t="n"/>
      <c r="Y139" s="14" t="n"/>
      <c r="Z139" s="14" t="n"/>
      <c r="AA139" s="13" t="n"/>
      <c r="AB139" s="17">
        <f>IF(A139="","",A139&amp;"#"&amp;C139)</f>
        <v/>
      </c>
      <c r="AC139" s="17">
        <f>IF(AND(AD139=1,D139&lt;=TODAY(),N139&lt;&gt;""),1,0)</f>
        <v/>
      </c>
      <c r="AD139" s="17">
        <f>IF(OR(A139="",D139=""),0,IF(AND(ISNUMBER(Baux!$H$13),D139&gt;Baux!$H$13),0,1))</f>
        <v/>
      </c>
    </row>
    <row r="140">
      <c r="A140" s="17">
        <f>IF(Baux!$A$13="","",Baux!$A$13)</f>
        <v/>
      </c>
      <c r="B140" s="17">
        <f>IF(A140="","",Baux!$B$13)</f>
        <v/>
      </c>
      <c r="C140" s="17" t="n">
        <v>7</v>
      </c>
      <c r="D140" s="15">
        <f>IF(OR(A140="",Baux!$F$13="",Baux!$O$13=""),"",EDATE(Baux!$F$13,12*Baux!$O$13*C140))</f>
        <v/>
      </c>
      <c r="E140" s="17">
        <f>IF(AD140=0,"",Baux!$M$13)</f>
        <v/>
      </c>
      <c r="F140" s="17">
        <f>IF(AD140=0,"",IFERROR(TEXT(VALUE(LEFT(Baux!$N$13,4))+C140*Baux!$O$13,"0")&amp;RIGHT(Baux!$N$13,3),""))</f>
        <v/>
      </c>
      <c r="G140" s="25">
        <f>IF(AD140=0,"",IF(F140="","",IF(SUMIFS(Indices_long!$C:$C,Indices_long!$A:$A,E140,Indices_long!$B:$B,F140)=0,"",SUMIFS(Indices_long!$C:$C,Indices_long!$A:$A,E140,Indices_long!$B:$B,F140))))</f>
        <v/>
      </c>
      <c r="H140" s="17">
        <f>IF(AD140=0,"",IF(Baux!$P$13="Base fixe",Baux!$N$13,IF(K139="Geler – rattrapage possible",H139,F139)))</f>
        <v/>
      </c>
      <c r="I140" s="25">
        <f>IF(AD140=0,"",IF(H140="","",IF(SUMIFS(Indices_long!$C:$C,Indices_long!$A:$A,E140,Indices_long!$B:$B,H140)=0,"",SUMIFS(Indices_long!$C:$C,Indices_long!$A:$A,E140,Indices_long!$B:$B,H140))))</f>
        <v/>
      </c>
      <c r="J140" s="26">
        <f>IF(OR(G140="",I140=""),"",G140/I140)</f>
        <v/>
      </c>
      <c r="K140" s="13" t="n"/>
      <c r="L140" s="27">
        <f>IF(AD140=0,"",IF(Baux!$P$13="Base fixe",Baux!$I$13,N139))</f>
        <v/>
      </c>
      <c r="M140" s="27">
        <f>IF(OR(J140="",L140=""),"",ROUND(L140*J140,2))</f>
        <v/>
      </c>
      <c r="N140" s="27">
        <f>IF(AD140=0,"",IF(LEFT(K140,5)="Geler",O140,IF(M140="","",IF(Baux!$Q$13="",M140,MIN(M140,ROUND(L140*(1+Baux!$Q$13/100)^IF(Baux!$P$13="Base fixe",C140*Baux!$O$13,VALUE(LEFT(F140,4))-VALUE(LEFT(H140,4))),2))))))</f>
        <v/>
      </c>
      <c r="O140" s="27">
        <f>IF(AD140=0,"",N139)</f>
        <v/>
      </c>
      <c r="P140" s="28">
        <f>IF(OR(N140="",O140=""),"",N140/O140-1)</f>
        <v/>
      </c>
      <c r="Q140" s="27">
        <f>IF(N140="","",N140/12)</f>
        <v/>
      </c>
      <c r="R140" s="27">
        <f>IF(N140="","",N140/IF(Baux!$L$13="Mensuelle",12,IF(Baux!$L$13="Trimestrielle",4,IF(Baux!$L$13="Semestrielle",2,1))))</f>
        <v/>
      </c>
      <c r="S140" s="27">
        <f>IF(AD140=0,"",IF(Baux!$J$13="",0,Baux!$J$13)/IF(Baux!$L$13="Mensuelle",12,IF(Baux!$L$13="Trimestrielle",4,IF(Baux!$L$13="Semestrielle",2,1))))</f>
        <v/>
      </c>
      <c r="T140" s="27">
        <f>IF(R140="","",(R140+S140)*Baux!$K$13/100)</f>
        <v/>
      </c>
      <c r="U140" s="27">
        <f>IF(R140="","",R140+S140+T140)</f>
        <v/>
      </c>
      <c r="V140" s="17">
        <f>IF(AD140=0,"",IF(LEFT(K140,5)="Geler","❄ Gelée",IF(G140="",IF(D140&lt;=TODAY(),"⚠ Indice attendu","À venir"),IF(D140&lt;=TODAY(),"✔ Calculable","Indice connu – à venir"))))</f>
        <v/>
      </c>
      <c r="W140" s="29" t="n"/>
      <c r="X140" s="13" t="n"/>
      <c r="Y140" s="14" t="n"/>
      <c r="Z140" s="14" t="n"/>
      <c r="AA140" s="13" t="n"/>
      <c r="AB140" s="17">
        <f>IF(A140="","",A140&amp;"#"&amp;C140)</f>
        <v/>
      </c>
      <c r="AC140" s="17">
        <f>IF(AND(AD140=1,D140&lt;=TODAY(),N140&lt;&gt;""),1,0)</f>
        <v/>
      </c>
      <c r="AD140" s="17">
        <f>IF(OR(A140="",D140=""),0,IF(AND(ISNUMBER(Baux!$H$13),D140&gt;Baux!$H$13),0,1))</f>
        <v/>
      </c>
    </row>
    <row r="141">
      <c r="A141" s="17">
        <f>IF(Baux!$A$13="","",Baux!$A$13)</f>
        <v/>
      </c>
      <c r="B141" s="17">
        <f>IF(A141="","",Baux!$B$13)</f>
        <v/>
      </c>
      <c r="C141" s="17" t="n">
        <v>8</v>
      </c>
      <c r="D141" s="15">
        <f>IF(OR(A141="",Baux!$F$13="",Baux!$O$13=""),"",EDATE(Baux!$F$13,12*Baux!$O$13*C141))</f>
        <v/>
      </c>
      <c r="E141" s="17">
        <f>IF(AD141=0,"",Baux!$M$13)</f>
        <v/>
      </c>
      <c r="F141" s="17">
        <f>IF(AD141=0,"",IFERROR(TEXT(VALUE(LEFT(Baux!$N$13,4))+C141*Baux!$O$13,"0")&amp;RIGHT(Baux!$N$13,3),""))</f>
        <v/>
      </c>
      <c r="G141" s="25">
        <f>IF(AD141=0,"",IF(F141="","",IF(SUMIFS(Indices_long!$C:$C,Indices_long!$A:$A,E141,Indices_long!$B:$B,F141)=0,"",SUMIFS(Indices_long!$C:$C,Indices_long!$A:$A,E141,Indices_long!$B:$B,F141))))</f>
        <v/>
      </c>
      <c r="H141" s="17">
        <f>IF(AD141=0,"",IF(Baux!$P$13="Base fixe",Baux!$N$13,IF(K140="Geler – rattrapage possible",H140,F140)))</f>
        <v/>
      </c>
      <c r="I141" s="25">
        <f>IF(AD141=0,"",IF(H141="","",IF(SUMIFS(Indices_long!$C:$C,Indices_long!$A:$A,E141,Indices_long!$B:$B,H141)=0,"",SUMIFS(Indices_long!$C:$C,Indices_long!$A:$A,E141,Indices_long!$B:$B,H141))))</f>
        <v/>
      </c>
      <c r="J141" s="26">
        <f>IF(OR(G141="",I141=""),"",G141/I141)</f>
        <v/>
      </c>
      <c r="K141" s="13" t="n"/>
      <c r="L141" s="27">
        <f>IF(AD141=0,"",IF(Baux!$P$13="Base fixe",Baux!$I$13,N140))</f>
        <v/>
      </c>
      <c r="M141" s="27">
        <f>IF(OR(J141="",L141=""),"",ROUND(L141*J141,2))</f>
        <v/>
      </c>
      <c r="N141" s="27">
        <f>IF(AD141=0,"",IF(LEFT(K141,5)="Geler",O141,IF(M141="","",IF(Baux!$Q$13="",M141,MIN(M141,ROUND(L141*(1+Baux!$Q$13/100)^IF(Baux!$P$13="Base fixe",C141*Baux!$O$13,VALUE(LEFT(F141,4))-VALUE(LEFT(H141,4))),2))))))</f>
        <v/>
      </c>
      <c r="O141" s="27">
        <f>IF(AD141=0,"",N140)</f>
        <v/>
      </c>
      <c r="P141" s="28">
        <f>IF(OR(N141="",O141=""),"",N141/O141-1)</f>
        <v/>
      </c>
      <c r="Q141" s="27">
        <f>IF(N141="","",N141/12)</f>
        <v/>
      </c>
      <c r="R141" s="27">
        <f>IF(N141="","",N141/IF(Baux!$L$13="Mensuelle",12,IF(Baux!$L$13="Trimestrielle",4,IF(Baux!$L$13="Semestrielle",2,1))))</f>
        <v/>
      </c>
      <c r="S141" s="27">
        <f>IF(AD141=0,"",IF(Baux!$J$13="",0,Baux!$J$13)/IF(Baux!$L$13="Mensuelle",12,IF(Baux!$L$13="Trimestrielle",4,IF(Baux!$L$13="Semestrielle",2,1))))</f>
        <v/>
      </c>
      <c r="T141" s="27">
        <f>IF(R141="","",(R141+S141)*Baux!$K$13/100)</f>
        <v/>
      </c>
      <c r="U141" s="27">
        <f>IF(R141="","",R141+S141+T141)</f>
        <v/>
      </c>
      <c r="V141" s="17">
        <f>IF(AD141=0,"",IF(LEFT(K141,5)="Geler","❄ Gelée",IF(G141="",IF(D141&lt;=TODAY(),"⚠ Indice attendu","À venir"),IF(D141&lt;=TODAY(),"✔ Calculable","Indice connu – à venir"))))</f>
        <v/>
      </c>
      <c r="W141" s="29" t="n"/>
      <c r="X141" s="13" t="n"/>
      <c r="Y141" s="14" t="n"/>
      <c r="Z141" s="14" t="n"/>
      <c r="AA141" s="13" t="n"/>
      <c r="AB141" s="17">
        <f>IF(A141="","",A141&amp;"#"&amp;C141)</f>
        <v/>
      </c>
      <c r="AC141" s="17">
        <f>IF(AND(AD141=1,D141&lt;=TODAY(),N141&lt;&gt;""),1,0)</f>
        <v/>
      </c>
      <c r="AD141" s="17">
        <f>IF(OR(A141="",D141=""),0,IF(AND(ISNUMBER(Baux!$H$13),D141&gt;Baux!$H$13),0,1))</f>
        <v/>
      </c>
    </row>
    <row r="142">
      <c r="A142" s="17">
        <f>IF(Baux!$A$13="","",Baux!$A$13)</f>
        <v/>
      </c>
      <c r="B142" s="17">
        <f>IF(A142="","",Baux!$B$13)</f>
        <v/>
      </c>
      <c r="C142" s="17" t="n">
        <v>9</v>
      </c>
      <c r="D142" s="15">
        <f>IF(OR(A142="",Baux!$F$13="",Baux!$O$13=""),"",EDATE(Baux!$F$13,12*Baux!$O$13*C142))</f>
        <v/>
      </c>
      <c r="E142" s="17">
        <f>IF(AD142=0,"",Baux!$M$13)</f>
        <v/>
      </c>
      <c r="F142" s="17">
        <f>IF(AD142=0,"",IFERROR(TEXT(VALUE(LEFT(Baux!$N$13,4))+C142*Baux!$O$13,"0")&amp;RIGHT(Baux!$N$13,3),""))</f>
        <v/>
      </c>
      <c r="G142" s="25">
        <f>IF(AD142=0,"",IF(F142="","",IF(SUMIFS(Indices_long!$C:$C,Indices_long!$A:$A,E142,Indices_long!$B:$B,F142)=0,"",SUMIFS(Indices_long!$C:$C,Indices_long!$A:$A,E142,Indices_long!$B:$B,F142))))</f>
        <v/>
      </c>
      <c r="H142" s="17">
        <f>IF(AD142=0,"",IF(Baux!$P$13="Base fixe",Baux!$N$13,IF(K141="Geler – rattrapage possible",H141,F141)))</f>
        <v/>
      </c>
      <c r="I142" s="25">
        <f>IF(AD142=0,"",IF(H142="","",IF(SUMIFS(Indices_long!$C:$C,Indices_long!$A:$A,E142,Indices_long!$B:$B,H142)=0,"",SUMIFS(Indices_long!$C:$C,Indices_long!$A:$A,E142,Indices_long!$B:$B,H142))))</f>
        <v/>
      </c>
      <c r="J142" s="26">
        <f>IF(OR(G142="",I142=""),"",G142/I142)</f>
        <v/>
      </c>
      <c r="K142" s="13" t="n"/>
      <c r="L142" s="27">
        <f>IF(AD142=0,"",IF(Baux!$P$13="Base fixe",Baux!$I$13,N141))</f>
        <v/>
      </c>
      <c r="M142" s="27">
        <f>IF(OR(J142="",L142=""),"",ROUND(L142*J142,2))</f>
        <v/>
      </c>
      <c r="N142" s="27">
        <f>IF(AD142=0,"",IF(LEFT(K142,5)="Geler",O142,IF(M142="","",IF(Baux!$Q$13="",M142,MIN(M142,ROUND(L142*(1+Baux!$Q$13/100)^IF(Baux!$P$13="Base fixe",C142*Baux!$O$13,VALUE(LEFT(F142,4))-VALUE(LEFT(H142,4))),2))))))</f>
        <v/>
      </c>
      <c r="O142" s="27">
        <f>IF(AD142=0,"",N141)</f>
        <v/>
      </c>
      <c r="P142" s="28">
        <f>IF(OR(N142="",O142=""),"",N142/O142-1)</f>
        <v/>
      </c>
      <c r="Q142" s="27">
        <f>IF(N142="","",N142/12)</f>
        <v/>
      </c>
      <c r="R142" s="27">
        <f>IF(N142="","",N142/IF(Baux!$L$13="Mensuelle",12,IF(Baux!$L$13="Trimestrielle",4,IF(Baux!$L$13="Semestrielle",2,1))))</f>
        <v/>
      </c>
      <c r="S142" s="27">
        <f>IF(AD142=0,"",IF(Baux!$J$13="",0,Baux!$J$13)/IF(Baux!$L$13="Mensuelle",12,IF(Baux!$L$13="Trimestrielle",4,IF(Baux!$L$13="Semestrielle",2,1))))</f>
        <v/>
      </c>
      <c r="T142" s="27">
        <f>IF(R142="","",(R142+S142)*Baux!$K$13/100)</f>
        <v/>
      </c>
      <c r="U142" s="27">
        <f>IF(R142="","",R142+S142+T142)</f>
        <v/>
      </c>
      <c r="V142" s="17">
        <f>IF(AD142=0,"",IF(LEFT(K142,5)="Geler","❄ Gelée",IF(G142="",IF(D142&lt;=TODAY(),"⚠ Indice attendu","À venir"),IF(D142&lt;=TODAY(),"✔ Calculable","Indice connu – à venir"))))</f>
        <v/>
      </c>
      <c r="W142" s="29" t="n"/>
      <c r="X142" s="13" t="n"/>
      <c r="Y142" s="14" t="n"/>
      <c r="Z142" s="14" t="n"/>
      <c r="AA142" s="13" t="n"/>
      <c r="AB142" s="17">
        <f>IF(A142="","",A142&amp;"#"&amp;C142)</f>
        <v/>
      </c>
      <c r="AC142" s="17">
        <f>IF(AND(AD142=1,D142&lt;=TODAY(),N142&lt;&gt;""),1,0)</f>
        <v/>
      </c>
      <c r="AD142" s="17">
        <f>IF(OR(A142="",D142=""),0,IF(AND(ISNUMBER(Baux!$H$13),D142&gt;Baux!$H$13),0,1))</f>
        <v/>
      </c>
    </row>
    <row r="143">
      <c r="A143" s="17">
        <f>IF(Baux!$A$13="","",Baux!$A$13)</f>
        <v/>
      </c>
      <c r="B143" s="17">
        <f>IF(A143="","",Baux!$B$13)</f>
        <v/>
      </c>
      <c r="C143" s="17" t="n">
        <v>10</v>
      </c>
      <c r="D143" s="15">
        <f>IF(OR(A143="",Baux!$F$13="",Baux!$O$13=""),"",EDATE(Baux!$F$13,12*Baux!$O$13*C143))</f>
        <v/>
      </c>
      <c r="E143" s="17">
        <f>IF(AD143=0,"",Baux!$M$13)</f>
        <v/>
      </c>
      <c r="F143" s="17">
        <f>IF(AD143=0,"",IFERROR(TEXT(VALUE(LEFT(Baux!$N$13,4))+C143*Baux!$O$13,"0")&amp;RIGHT(Baux!$N$13,3),""))</f>
        <v/>
      </c>
      <c r="G143" s="25">
        <f>IF(AD143=0,"",IF(F143="","",IF(SUMIFS(Indices_long!$C:$C,Indices_long!$A:$A,E143,Indices_long!$B:$B,F143)=0,"",SUMIFS(Indices_long!$C:$C,Indices_long!$A:$A,E143,Indices_long!$B:$B,F143))))</f>
        <v/>
      </c>
      <c r="H143" s="17">
        <f>IF(AD143=0,"",IF(Baux!$P$13="Base fixe",Baux!$N$13,IF(K142="Geler – rattrapage possible",H142,F142)))</f>
        <v/>
      </c>
      <c r="I143" s="25">
        <f>IF(AD143=0,"",IF(H143="","",IF(SUMIFS(Indices_long!$C:$C,Indices_long!$A:$A,E143,Indices_long!$B:$B,H143)=0,"",SUMIFS(Indices_long!$C:$C,Indices_long!$A:$A,E143,Indices_long!$B:$B,H143))))</f>
        <v/>
      </c>
      <c r="J143" s="26">
        <f>IF(OR(G143="",I143=""),"",G143/I143)</f>
        <v/>
      </c>
      <c r="K143" s="13" t="n"/>
      <c r="L143" s="27">
        <f>IF(AD143=0,"",IF(Baux!$P$13="Base fixe",Baux!$I$13,N142))</f>
        <v/>
      </c>
      <c r="M143" s="27">
        <f>IF(OR(J143="",L143=""),"",ROUND(L143*J143,2))</f>
        <v/>
      </c>
      <c r="N143" s="27">
        <f>IF(AD143=0,"",IF(LEFT(K143,5)="Geler",O143,IF(M143="","",IF(Baux!$Q$13="",M143,MIN(M143,ROUND(L143*(1+Baux!$Q$13/100)^IF(Baux!$P$13="Base fixe",C143*Baux!$O$13,VALUE(LEFT(F143,4))-VALUE(LEFT(H143,4))),2))))))</f>
        <v/>
      </c>
      <c r="O143" s="27">
        <f>IF(AD143=0,"",N142)</f>
        <v/>
      </c>
      <c r="P143" s="28">
        <f>IF(OR(N143="",O143=""),"",N143/O143-1)</f>
        <v/>
      </c>
      <c r="Q143" s="27">
        <f>IF(N143="","",N143/12)</f>
        <v/>
      </c>
      <c r="R143" s="27">
        <f>IF(N143="","",N143/IF(Baux!$L$13="Mensuelle",12,IF(Baux!$L$13="Trimestrielle",4,IF(Baux!$L$13="Semestrielle",2,1))))</f>
        <v/>
      </c>
      <c r="S143" s="27">
        <f>IF(AD143=0,"",IF(Baux!$J$13="",0,Baux!$J$13)/IF(Baux!$L$13="Mensuelle",12,IF(Baux!$L$13="Trimestrielle",4,IF(Baux!$L$13="Semestrielle",2,1))))</f>
        <v/>
      </c>
      <c r="T143" s="27">
        <f>IF(R143="","",(R143+S143)*Baux!$K$13/100)</f>
        <v/>
      </c>
      <c r="U143" s="27">
        <f>IF(R143="","",R143+S143+T143)</f>
        <v/>
      </c>
      <c r="V143" s="17">
        <f>IF(AD143=0,"",IF(LEFT(K143,5)="Geler","❄ Gelée",IF(G143="",IF(D143&lt;=TODAY(),"⚠ Indice attendu","À venir"),IF(D143&lt;=TODAY(),"✔ Calculable","Indice connu – à venir"))))</f>
        <v/>
      </c>
      <c r="W143" s="29" t="n"/>
      <c r="X143" s="13" t="n"/>
      <c r="Y143" s="14" t="n"/>
      <c r="Z143" s="14" t="n"/>
      <c r="AA143" s="13" t="n"/>
      <c r="AB143" s="17">
        <f>IF(A143="","",A143&amp;"#"&amp;C143)</f>
        <v/>
      </c>
      <c r="AC143" s="17">
        <f>IF(AND(AD143=1,D143&lt;=TODAY(),N143&lt;&gt;""),1,0)</f>
        <v/>
      </c>
      <c r="AD143" s="17">
        <f>IF(OR(A143="",D143=""),0,IF(AND(ISNUMBER(Baux!$H$13),D143&gt;Baux!$H$13),0,1))</f>
        <v/>
      </c>
    </row>
    <row r="144">
      <c r="A144" s="17">
        <f>IF(Baux!$A$13="","",Baux!$A$13)</f>
        <v/>
      </c>
      <c r="B144" s="17">
        <f>IF(A144="","",Baux!$B$13)</f>
        <v/>
      </c>
      <c r="C144" s="17" t="n">
        <v>11</v>
      </c>
      <c r="D144" s="15">
        <f>IF(OR(A144="",Baux!$F$13="",Baux!$O$13=""),"",EDATE(Baux!$F$13,12*Baux!$O$13*C144))</f>
        <v/>
      </c>
      <c r="E144" s="17">
        <f>IF(AD144=0,"",Baux!$M$13)</f>
        <v/>
      </c>
      <c r="F144" s="17">
        <f>IF(AD144=0,"",IFERROR(TEXT(VALUE(LEFT(Baux!$N$13,4))+C144*Baux!$O$13,"0")&amp;RIGHT(Baux!$N$13,3),""))</f>
        <v/>
      </c>
      <c r="G144" s="25">
        <f>IF(AD144=0,"",IF(F144="","",IF(SUMIFS(Indices_long!$C:$C,Indices_long!$A:$A,E144,Indices_long!$B:$B,F144)=0,"",SUMIFS(Indices_long!$C:$C,Indices_long!$A:$A,E144,Indices_long!$B:$B,F144))))</f>
        <v/>
      </c>
      <c r="H144" s="17">
        <f>IF(AD144=0,"",IF(Baux!$P$13="Base fixe",Baux!$N$13,IF(K143="Geler – rattrapage possible",H143,F143)))</f>
        <v/>
      </c>
      <c r="I144" s="25">
        <f>IF(AD144=0,"",IF(H144="","",IF(SUMIFS(Indices_long!$C:$C,Indices_long!$A:$A,E144,Indices_long!$B:$B,H144)=0,"",SUMIFS(Indices_long!$C:$C,Indices_long!$A:$A,E144,Indices_long!$B:$B,H144))))</f>
        <v/>
      </c>
      <c r="J144" s="26">
        <f>IF(OR(G144="",I144=""),"",G144/I144)</f>
        <v/>
      </c>
      <c r="K144" s="13" t="n"/>
      <c r="L144" s="27">
        <f>IF(AD144=0,"",IF(Baux!$P$13="Base fixe",Baux!$I$13,N143))</f>
        <v/>
      </c>
      <c r="M144" s="27">
        <f>IF(OR(J144="",L144=""),"",ROUND(L144*J144,2))</f>
        <v/>
      </c>
      <c r="N144" s="27">
        <f>IF(AD144=0,"",IF(LEFT(K144,5)="Geler",O144,IF(M144="","",IF(Baux!$Q$13="",M144,MIN(M144,ROUND(L144*(1+Baux!$Q$13/100)^IF(Baux!$P$13="Base fixe",C144*Baux!$O$13,VALUE(LEFT(F144,4))-VALUE(LEFT(H144,4))),2))))))</f>
        <v/>
      </c>
      <c r="O144" s="27">
        <f>IF(AD144=0,"",N143)</f>
        <v/>
      </c>
      <c r="P144" s="28">
        <f>IF(OR(N144="",O144=""),"",N144/O144-1)</f>
        <v/>
      </c>
      <c r="Q144" s="27">
        <f>IF(N144="","",N144/12)</f>
        <v/>
      </c>
      <c r="R144" s="27">
        <f>IF(N144="","",N144/IF(Baux!$L$13="Mensuelle",12,IF(Baux!$L$13="Trimestrielle",4,IF(Baux!$L$13="Semestrielle",2,1))))</f>
        <v/>
      </c>
      <c r="S144" s="27">
        <f>IF(AD144=0,"",IF(Baux!$J$13="",0,Baux!$J$13)/IF(Baux!$L$13="Mensuelle",12,IF(Baux!$L$13="Trimestrielle",4,IF(Baux!$L$13="Semestrielle",2,1))))</f>
        <v/>
      </c>
      <c r="T144" s="27">
        <f>IF(R144="","",(R144+S144)*Baux!$K$13/100)</f>
        <v/>
      </c>
      <c r="U144" s="27">
        <f>IF(R144="","",R144+S144+T144)</f>
        <v/>
      </c>
      <c r="V144" s="17">
        <f>IF(AD144=0,"",IF(LEFT(K144,5)="Geler","❄ Gelée",IF(G144="",IF(D144&lt;=TODAY(),"⚠ Indice attendu","À venir"),IF(D144&lt;=TODAY(),"✔ Calculable","Indice connu – à venir"))))</f>
        <v/>
      </c>
      <c r="W144" s="29" t="n"/>
      <c r="X144" s="13" t="n"/>
      <c r="Y144" s="14" t="n"/>
      <c r="Z144" s="14" t="n"/>
      <c r="AA144" s="13" t="n"/>
      <c r="AB144" s="17">
        <f>IF(A144="","",A144&amp;"#"&amp;C144)</f>
        <v/>
      </c>
      <c r="AC144" s="17">
        <f>IF(AND(AD144=1,D144&lt;=TODAY(),N144&lt;&gt;""),1,0)</f>
        <v/>
      </c>
      <c r="AD144" s="17">
        <f>IF(OR(A144="",D144=""),0,IF(AND(ISNUMBER(Baux!$H$13),D144&gt;Baux!$H$13),0,1))</f>
        <v/>
      </c>
    </row>
    <row r="145">
      <c r="A145" s="17">
        <f>IF(Baux!$A$13="","",Baux!$A$13)</f>
        <v/>
      </c>
      <c r="B145" s="17">
        <f>IF(A145="","",Baux!$B$13)</f>
        <v/>
      </c>
      <c r="C145" s="17" t="n">
        <v>12</v>
      </c>
      <c r="D145" s="15">
        <f>IF(OR(A145="",Baux!$F$13="",Baux!$O$13=""),"",EDATE(Baux!$F$13,12*Baux!$O$13*C145))</f>
        <v/>
      </c>
      <c r="E145" s="17">
        <f>IF(AD145=0,"",Baux!$M$13)</f>
        <v/>
      </c>
      <c r="F145" s="17">
        <f>IF(AD145=0,"",IFERROR(TEXT(VALUE(LEFT(Baux!$N$13,4))+C145*Baux!$O$13,"0")&amp;RIGHT(Baux!$N$13,3),""))</f>
        <v/>
      </c>
      <c r="G145" s="25">
        <f>IF(AD145=0,"",IF(F145="","",IF(SUMIFS(Indices_long!$C:$C,Indices_long!$A:$A,E145,Indices_long!$B:$B,F145)=0,"",SUMIFS(Indices_long!$C:$C,Indices_long!$A:$A,E145,Indices_long!$B:$B,F145))))</f>
        <v/>
      </c>
      <c r="H145" s="17">
        <f>IF(AD145=0,"",IF(Baux!$P$13="Base fixe",Baux!$N$13,IF(K144="Geler – rattrapage possible",H144,F144)))</f>
        <v/>
      </c>
      <c r="I145" s="25">
        <f>IF(AD145=0,"",IF(H145="","",IF(SUMIFS(Indices_long!$C:$C,Indices_long!$A:$A,E145,Indices_long!$B:$B,H145)=0,"",SUMIFS(Indices_long!$C:$C,Indices_long!$A:$A,E145,Indices_long!$B:$B,H145))))</f>
        <v/>
      </c>
      <c r="J145" s="26">
        <f>IF(OR(G145="",I145=""),"",G145/I145)</f>
        <v/>
      </c>
      <c r="K145" s="13" t="n"/>
      <c r="L145" s="27">
        <f>IF(AD145=0,"",IF(Baux!$P$13="Base fixe",Baux!$I$13,N144))</f>
        <v/>
      </c>
      <c r="M145" s="27">
        <f>IF(OR(J145="",L145=""),"",ROUND(L145*J145,2))</f>
        <v/>
      </c>
      <c r="N145" s="27">
        <f>IF(AD145=0,"",IF(LEFT(K145,5)="Geler",O145,IF(M145="","",IF(Baux!$Q$13="",M145,MIN(M145,ROUND(L145*(1+Baux!$Q$13/100)^IF(Baux!$P$13="Base fixe",C145*Baux!$O$13,VALUE(LEFT(F145,4))-VALUE(LEFT(H145,4))),2))))))</f>
        <v/>
      </c>
      <c r="O145" s="27">
        <f>IF(AD145=0,"",N144)</f>
        <v/>
      </c>
      <c r="P145" s="28">
        <f>IF(OR(N145="",O145=""),"",N145/O145-1)</f>
        <v/>
      </c>
      <c r="Q145" s="27">
        <f>IF(N145="","",N145/12)</f>
        <v/>
      </c>
      <c r="R145" s="27">
        <f>IF(N145="","",N145/IF(Baux!$L$13="Mensuelle",12,IF(Baux!$L$13="Trimestrielle",4,IF(Baux!$L$13="Semestrielle",2,1))))</f>
        <v/>
      </c>
      <c r="S145" s="27">
        <f>IF(AD145=0,"",IF(Baux!$J$13="",0,Baux!$J$13)/IF(Baux!$L$13="Mensuelle",12,IF(Baux!$L$13="Trimestrielle",4,IF(Baux!$L$13="Semestrielle",2,1))))</f>
        <v/>
      </c>
      <c r="T145" s="27">
        <f>IF(R145="","",(R145+S145)*Baux!$K$13/100)</f>
        <v/>
      </c>
      <c r="U145" s="27">
        <f>IF(R145="","",R145+S145+T145)</f>
        <v/>
      </c>
      <c r="V145" s="17">
        <f>IF(AD145=0,"",IF(LEFT(K145,5)="Geler","❄ Gelée",IF(G145="",IF(D145&lt;=TODAY(),"⚠ Indice attendu","À venir"),IF(D145&lt;=TODAY(),"✔ Calculable","Indice connu – à venir"))))</f>
        <v/>
      </c>
      <c r="W145" s="29" t="n"/>
      <c r="X145" s="13" t="n"/>
      <c r="Y145" s="14" t="n"/>
      <c r="Z145" s="14" t="n"/>
      <c r="AA145" s="13" t="n"/>
      <c r="AB145" s="17">
        <f>IF(A145="","",A145&amp;"#"&amp;C145)</f>
        <v/>
      </c>
      <c r="AC145" s="17">
        <f>IF(AND(AD145=1,D145&lt;=TODAY(),N145&lt;&gt;""),1,0)</f>
        <v/>
      </c>
      <c r="AD145" s="17">
        <f>IF(OR(A145="",D145=""),0,IF(AND(ISNUMBER(Baux!$H$13),D145&gt;Baux!$H$13),0,1))</f>
        <v/>
      </c>
    </row>
    <row r="146">
      <c r="A146" s="17">
        <f>IF(Baux!$A$14="","",Baux!$A$14)</f>
        <v/>
      </c>
      <c r="B146" s="17">
        <f>IF(A146="","",Baux!$B$14)</f>
        <v/>
      </c>
      <c r="C146" s="17" t="n">
        <v>1</v>
      </c>
      <c r="D146" s="15">
        <f>IF(OR(A146="",Baux!$F$14="",Baux!$O$14=""),"",EDATE(Baux!$F$14,12*Baux!$O$14*C146))</f>
        <v/>
      </c>
      <c r="E146" s="17">
        <f>IF(AD146=0,"",Baux!$M$14)</f>
        <v/>
      </c>
      <c r="F146" s="17">
        <f>IF(AD146=0,"",IFERROR(TEXT(VALUE(LEFT(Baux!$N$14,4))+C146*Baux!$O$14,"0")&amp;RIGHT(Baux!$N$14,3),""))</f>
        <v/>
      </c>
      <c r="G146" s="25">
        <f>IF(AD146=0,"",IF(F146="","",IF(SUMIFS(Indices_long!$C:$C,Indices_long!$A:$A,E146,Indices_long!$B:$B,F146)=0,"",SUMIFS(Indices_long!$C:$C,Indices_long!$A:$A,E146,Indices_long!$B:$B,F146))))</f>
        <v/>
      </c>
      <c r="H146" s="17">
        <f>IF(AD146=0,"",Baux!$N$14)</f>
        <v/>
      </c>
      <c r="I146" s="25">
        <f>IF(AD146=0,"",IF(H146="","",IF(SUMIFS(Indices_long!$C:$C,Indices_long!$A:$A,E146,Indices_long!$B:$B,H146)=0,"",SUMIFS(Indices_long!$C:$C,Indices_long!$A:$A,E146,Indices_long!$B:$B,H146))))</f>
        <v/>
      </c>
      <c r="J146" s="26">
        <f>IF(OR(G146="",I146=""),"",G146/I146)</f>
        <v/>
      </c>
      <c r="K146" s="13" t="n"/>
      <c r="L146" s="27">
        <f>IF(AD146=0,"",Baux!$I$14)</f>
        <v/>
      </c>
      <c r="M146" s="27">
        <f>IF(OR(J146="",L146=""),"",ROUND(L146*J146,2))</f>
        <v/>
      </c>
      <c r="N146" s="27">
        <f>IF(AD146=0,"",IF(LEFT(K146,5)="Geler",O146,IF(M146="","",IF(Baux!$Q$14="",M146,MIN(M146,ROUND(L146*(1+Baux!$Q$14/100)^IF(Baux!$P$14="Base fixe",C146*Baux!$O$14,VALUE(LEFT(F146,4))-VALUE(LEFT(H146,4))),2))))))</f>
        <v/>
      </c>
      <c r="O146" s="27">
        <f>IF(AD146=0,"",Baux!$I$14)</f>
        <v/>
      </c>
      <c r="P146" s="28">
        <f>IF(OR(N146="",O146=""),"",N146/O146-1)</f>
        <v/>
      </c>
      <c r="Q146" s="27">
        <f>IF(N146="","",N146/12)</f>
        <v/>
      </c>
      <c r="R146" s="27">
        <f>IF(N146="","",N146/IF(Baux!$L$14="Mensuelle",12,IF(Baux!$L$14="Trimestrielle",4,IF(Baux!$L$14="Semestrielle",2,1))))</f>
        <v/>
      </c>
      <c r="S146" s="27">
        <f>IF(AD146=0,"",IF(Baux!$J$14="",0,Baux!$J$14)/IF(Baux!$L$14="Mensuelle",12,IF(Baux!$L$14="Trimestrielle",4,IF(Baux!$L$14="Semestrielle",2,1))))</f>
        <v/>
      </c>
      <c r="T146" s="27">
        <f>IF(R146="","",(R146+S146)*Baux!$K$14/100)</f>
        <v/>
      </c>
      <c r="U146" s="27">
        <f>IF(R146="","",R146+S146+T146)</f>
        <v/>
      </c>
      <c r="V146" s="17">
        <f>IF(AD146=0,"",IF(LEFT(K146,5)="Geler","❄ Gelée",IF(G146="",IF(D146&lt;=TODAY(),"⚠ Indice attendu","À venir"),IF(D146&lt;=TODAY(),"✔ Calculable","Indice connu – à venir"))))</f>
        <v/>
      </c>
      <c r="W146" s="29" t="n"/>
      <c r="X146" s="13" t="n"/>
      <c r="Y146" s="14" t="n"/>
      <c r="Z146" s="14" t="n"/>
      <c r="AA146" s="13" t="n"/>
      <c r="AB146" s="17">
        <f>IF(A146="","",A146&amp;"#"&amp;C146)</f>
        <v/>
      </c>
      <c r="AC146" s="17">
        <f>IF(AND(AD146=1,D146&lt;=TODAY(),N146&lt;&gt;""),1,0)</f>
        <v/>
      </c>
      <c r="AD146" s="17">
        <f>IF(OR(A146="",D146=""),0,IF(AND(ISNUMBER(Baux!$H$14),D146&gt;Baux!$H$14),0,1))</f>
        <v/>
      </c>
    </row>
    <row r="147">
      <c r="A147" s="17">
        <f>IF(Baux!$A$14="","",Baux!$A$14)</f>
        <v/>
      </c>
      <c r="B147" s="17">
        <f>IF(A147="","",Baux!$B$14)</f>
        <v/>
      </c>
      <c r="C147" s="17" t="n">
        <v>2</v>
      </c>
      <c r="D147" s="15">
        <f>IF(OR(A147="",Baux!$F$14="",Baux!$O$14=""),"",EDATE(Baux!$F$14,12*Baux!$O$14*C147))</f>
        <v/>
      </c>
      <c r="E147" s="17">
        <f>IF(AD147=0,"",Baux!$M$14)</f>
        <v/>
      </c>
      <c r="F147" s="17">
        <f>IF(AD147=0,"",IFERROR(TEXT(VALUE(LEFT(Baux!$N$14,4))+C147*Baux!$O$14,"0")&amp;RIGHT(Baux!$N$14,3),""))</f>
        <v/>
      </c>
      <c r="G147" s="25">
        <f>IF(AD147=0,"",IF(F147="","",IF(SUMIFS(Indices_long!$C:$C,Indices_long!$A:$A,E147,Indices_long!$B:$B,F147)=0,"",SUMIFS(Indices_long!$C:$C,Indices_long!$A:$A,E147,Indices_long!$B:$B,F147))))</f>
        <v/>
      </c>
      <c r="H147" s="17">
        <f>IF(AD147=0,"",IF(Baux!$P$14="Base fixe",Baux!$N$14,IF(K146="Geler – rattrapage possible",H146,F146)))</f>
        <v/>
      </c>
      <c r="I147" s="25">
        <f>IF(AD147=0,"",IF(H147="","",IF(SUMIFS(Indices_long!$C:$C,Indices_long!$A:$A,E147,Indices_long!$B:$B,H147)=0,"",SUMIFS(Indices_long!$C:$C,Indices_long!$A:$A,E147,Indices_long!$B:$B,H147))))</f>
        <v/>
      </c>
      <c r="J147" s="26">
        <f>IF(OR(G147="",I147=""),"",G147/I147)</f>
        <v/>
      </c>
      <c r="K147" s="13" t="n"/>
      <c r="L147" s="27">
        <f>IF(AD147=0,"",IF(Baux!$P$14="Base fixe",Baux!$I$14,N146))</f>
        <v/>
      </c>
      <c r="M147" s="27">
        <f>IF(OR(J147="",L147=""),"",ROUND(L147*J147,2))</f>
        <v/>
      </c>
      <c r="N147" s="27">
        <f>IF(AD147=0,"",IF(LEFT(K147,5)="Geler",O147,IF(M147="","",IF(Baux!$Q$14="",M147,MIN(M147,ROUND(L147*(1+Baux!$Q$14/100)^IF(Baux!$P$14="Base fixe",C147*Baux!$O$14,VALUE(LEFT(F147,4))-VALUE(LEFT(H147,4))),2))))))</f>
        <v/>
      </c>
      <c r="O147" s="27">
        <f>IF(AD147=0,"",N146)</f>
        <v/>
      </c>
      <c r="P147" s="28">
        <f>IF(OR(N147="",O147=""),"",N147/O147-1)</f>
        <v/>
      </c>
      <c r="Q147" s="27">
        <f>IF(N147="","",N147/12)</f>
        <v/>
      </c>
      <c r="R147" s="27">
        <f>IF(N147="","",N147/IF(Baux!$L$14="Mensuelle",12,IF(Baux!$L$14="Trimestrielle",4,IF(Baux!$L$14="Semestrielle",2,1))))</f>
        <v/>
      </c>
      <c r="S147" s="27">
        <f>IF(AD147=0,"",IF(Baux!$J$14="",0,Baux!$J$14)/IF(Baux!$L$14="Mensuelle",12,IF(Baux!$L$14="Trimestrielle",4,IF(Baux!$L$14="Semestrielle",2,1))))</f>
        <v/>
      </c>
      <c r="T147" s="27">
        <f>IF(R147="","",(R147+S147)*Baux!$K$14/100)</f>
        <v/>
      </c>
      <c r="U147" s="27">
        <f>IF(R147="","",R147+S147+T147)</f>
        <v/>
      </c>
      <c r="V147" s="17">
        <f>IF(AD147=0,"",IF(LEFT(K147,5)="Geler","❄ Gelée",IF(G147="",IF(D147&lt;=TODAY(),"⚠ Indice attendu","À venir"),IF(D147&lt;=TODAY(),"✔ Calculable","Indice connu – à venir"))))</f>
        <v/>
      </c>
      <c r="W147" s="29" t="n"/>
      <c r="X147" s="13" t="n"/>
      <c r="Y147" s="14" t="n"/>
      <c r="Z147" s="14" t="n"/>
      <c r="AA147" s="13" t="n"/>
      <c r="AB147" s="17">
        <f>IF(A147="","",A147&amp;"#"&amp;C147)</f>
        <v/>
      </c>
      <c r="AC147" s="17">
        <f>IF(AND(AD147=1,D147&lt;=TODAY(),N147&lt;&gt;""),1,0)</f>
        <v/>
      </c>
      <c r="AD147" s="17">
        <f>IF(OR(A147="",D147=""),0,IF(AND(ISNUMBER(Baux!$H$14),D147&gt;Baux!$H$14),0,1))</f>
        <v/>
      </c>
    </row>
    <row r="148">
      <c r="A148" s="17">
        <f>IF(Baux!$A$14="","",Baux!$A$14)</f>
        <v/>
      </c>
      <c r="B148" s="17">
        <f>IF(A148="","",Baux!$B$14)</f>
        <v/>
      </c>
      <c r="C148" s="17" t="n">
        <v>3</v>
      </c>
      <c r="D148" s="15">
        <f>IF(OR(A148="",Baux!$F$14="",Baux!$O$14=""),"",EDATE(Baux!$F$14,12*Baux!$O$14*C148))</f>
        <v/>
      </c>
      <c r="E148" s="17">
        <f>IF(AD148=0,"",Baux!$M$14)</f>
        <v/>
      </c>
      <c r="F148" s="17">
        <f>IF(AD148=0,"",IFERROR(TEXT(VALUE(LEFT(Baux!$N$14,4))+C148*Baux!$O$14,"0")&amp;RIGHT(Baux!$N$14,3),""))</f>
        <v/>
      </c>
      <c r="G148" s="25">
        <f>IF(AD148=0,"",IF(F148="","",IF(SUMIFS(Indices_long!$C:$C,Indices_long!$A:$A,E148,Indices_long!$B:$B,F148)=0,"",SUMIFS(Indices_long!$C:$C,Indices_long!$A:$A,E148,Indices_long!$B:$B,F148))))</f>
        <v/>
      </c>
      <c r="H148" s="17">
        <f>IF(AD148=0,"",IF(Baux!$P$14="Base fixe",Baux!$N$14,IF(K147="Geler – rattrapage possible",H147,F147)))</f>
        <v/>
      </c>
      <c r="I148" s="25">
        <f>IF(AD148=0,"",IF(H148="","",IF(SUMIFS(Indices_long!$C:$C,Indices_long!$A:$A,E148,Indices_long!$B:$B,H148)=0,"",SUMIFS(Indices_long!$C:$C,Indices_long!$A:$A,E148,Indices_long!$B:$B,H148))))</f>
        <v/>
      </c>
      <c r="J148" s="26">
        <f>IF(OR(G148="",I148=""),"",G148/I148)</f>
        <v/>
      </c>
      <c r="K148" s="13" t="n"/>
      <c r="L148" s="27">
        <f>IF(AD148=0,"",IF(Baux!$P$14="Base fixe",Baux!$I$14,N147))</f>
        <v/>
      </c>
      <c r="M148" s="27">
        <f>IF(OR(J148="",L148=""),"",ROUND(L148*J148,2))</f>
        <v/>
      </c>
      <c r="N148" s="27">
        <f>IF(AD148=0,"",IF(LEFT(K148,5)="Geler",O148,IF(M148="","",IF(Baux!$Q$14="",M148,MIN(M148,ROUND(L148*(1+Baux!$Q$14/100)^IF(Baux!$P$14="Base fixe",C148*Baux!$O$14,VALUE(LEFT(F148,4))-VALUE(LEFT(H148,4))),2))))))</f>
        <v/>
      </c>
      <c r="O148" s="27">
        <f>IF(AD148=0,"",N147)</f>
        <v/>
      </c>
      <c r="P148" s="28">
        <f>IF(OR(N148="",O148=""),"",N148/O148-1)</f>
        <v/>
      </c>
      <c r="Q148" s="27">
        <f>IF(N148="","",N148/12)</f>
        <v/>
      </c>
      <c r="R148" s="27">
        <f>IF(N148="","",N148/IF(Baux!$L$14="Mensuelle",12,IF(Baux!$L$14="Trimestrielle",4,IF(Baux!$L$14="Semestrielle",2,1))))</f>
        <v/>
      </c>
      <c r="S148" s="27">
        <f>IF(AD148=0,"",IF(Baux!$J$14="",0,Baux!$J$14)/IF(Baux!$L$14="Mensuelle",12,IF(Baux!$L$14="Trimestrielle",4,IF(Baux!$L$14="Semestrielle",2,1))))</f>
        <v/>
      </c>
      <c r="T148" s="27">
        <f>IF(R148="","",(R148+S148)*Baux!$K$14/100)</f>
        <v/>
      </c>
      <c r="U148" s="27">
        <f>IF(R148="","",R148+S148+T148)</f>
        <v/>
      </c>
      <c r="V148" s="17">
        <f>IF(AD148=0,"",IF(LEFT(K148,5)="Geler","❄ Gelée",IF(G148="",IF(D148&lt;=TODAY(),"⚠ Indice attendu","À venir"),IF(D148&lt;=TODAY(),"✔ Calculable","Indice connu – à venir"))))</f>
        <v/>
      </c>
      <c r="W148" s="29" t="n"/>
      <c r="X148" s="13" t="n"/>
      <c r="Y148" s="14" t="n"/>
      <c r="Z148" s="14" t="n"/>
      <c r="AA148" s="13" t="n"/>
      <c r="AB148" s="17">
        <f>IF(A148="","",A148&amp;"#"&amp;C148)</f>
        <v/>
      </c>
      <c r="AC148" s="17">
        <f>IF(AND(AD148=1,D148&lt;=TODAY(),N148&lt;&gt;""),1,0)</f>
        <v/>
      </c>
      <c r="AD148" s="17">
        <f>IF(OR(A148="",D148=""),0,IF(AND(ISNUMBER(Baux!$H$14),D148&gt;Baux!$H$14),0,1))</f>
        <v/>
      </c>
    </row>
    <row r="149">
      <c r="A149" s="17">
        <f>IF(Baux!$A$14="","",Baux!$A$14)</f>
        <v/>
      </c>
      <c r="B149" s="17">
        <f>IF(A149="","",Baux!$B$14)</f>
        <v/>
      </c>
      <c r="C149" s="17" t="n">
        <v>4</v>
      </c>
      <c r="D149" s="15">
        <f>IF(OR(A149="",Baux!$F$14="",Baux!$O$14=""),"",EDATE(Baux!$F$14,12*Baux!$O$14*C149))</f>
        <v/>
      </c>
      <c r="E149" s="17">
        <f>IF(AD149=0,"",Baux!$M$14)</f>
        <v/>
      </c>
      <c r="F149" s="17">
        <f>IF(AD149=0,"",IFERROR(TEXT(VALUE(LEFT(Baux!$N$14,4))+C149*Baux!$O$14,"0")&amp;RIGHT(Baux!$N$14,3),""))</f>
        <v/>
      </c>
      <c r="G149" s="25">
        <f>IF(AD149=0,"",IF(F149="","",IF(SUMIFS(Indices_long!$C:$C,Indices_long!$A:$A,E149,Indices_long!$B:$B,F149)=0,"",SUMIFS(Indices_long!$C:$C,Indices_long!$A:$A,E149,Indices_long!$B:$B,F149))))</f>
        <v/>
      </c>
      <c r="H149" s="17">
        <f>IF(AD149=0,"",IF(Baux!$P$14="Base fixe",Baux!$N$14,IF(K148="Geler – rattrapage possible",H148,F148)))</f>
        <v/>
      </c>
      <c r="I149" s="25">
        <f>IF(AD149=0,"",IF(H149="","",IF(SUMIFS(Indices_long!$C:$C,Indices_long!$A:$A,E149,Indices_long!$B:$B,H149)=0,"",SUMIFS(Indices_long!$C:$C,Indices_long!$A:$A,E149,Indices_long!$B:$B,H149))))</f>
        <v/>
      </c>
      <c r="J149" s="26">
        <f>IF(OR(G149="",I149=""),"",G149/I149)</f>
        <v/>
      </c>
      <c r="K149" s="13" t="n"/>
      <c r="L149" s="27">
        <f>IF(AD149=0,"",IF(Baux!$P$14="Base fixe",Baux!$I$14,N148))</f>
        <v/>
      </c>
      <c r="M149" s="27">
        <f>IF(OR(J149="",L149=""),"",ROUND(L149*J149,2))</f>
        <v/>
      </c>
      <c r="N149" s="27">
        <f>IF(AD149=0,"",IF(LEFT(K149,5)="Geler",O149,IF(M149="","",IF(Baux!$Q$14="",M149,MIN(M149,ROUND(L149*(1+Baux!$Q$14/100)^IF(Baux!$P$14="Base fixe",C149*Baux!$O$14,VALUE(LEFT(F149,4))-VALUE(LEFT(H149,4))),2))))))</f>
        <v/>
      </c>
      <c r="O149" s="27">
        <f>IF(AD149=0,"",N148)</f>
        <v/>
      </c>
      <c r="P149" s="28">
        <f>IF(OR(N149="",O149=""),"",N149/O149-1)</f>
        <v/>
      </c>
      <c r="Q149" s="27">
        <f>IF(N149="","",N149/12)</f>
        <v/>
      </c>
      <c r="R149" s="27">
        <f>IF(N149="","",N149/IF(Baux!$L$14="Mensuelle",12,IF(Baux!$L$14="Trimestrielle",4,IF(Baux!$L$14="Semestrielle",2,1))))</f>
        <v/>
      </c>
      <c r="S149" s="27">
        <f>IF(AD149=0,"",IF(Baux!$J$14="",0,Baux!$J$14)/IF(Baux!$L$14="Mensuelle",12,IF(Baux!$L$14="Trimestrielle",4,IF(Baux!$L$14="Semestrielle",2,1))))</f>
        <v/>
      </c>
      <c r="T149" s="27">
        <f>IF(R149="","",(R149+S149)*Baux!$K$14/100)</f>
        <v/>
      </c>
      <c r="U149" s="27">
        <f>IF(R149="","",R149+S149+T149)</f>
        <v/>
      </c>
      <c r="V149" s="17">
        <f>IF(AD149=0,"",IF(LEFT(K149,5)="Geler","❄ Gelée",IF(G149="",IF(D149&lt;=TODAY(),"⚠ Indice attendu","À venir"),IF(D149&lt;=TODAY(),"✔ Calculable","Indice connu – à venir"))))</f>
        <v/>
      </c>
      <c r="W149" s="29" t="n"/>
      <c r="X149" s="13" t="n"/>
      <c r="Y149" s="14" t="n"/>
      <c r="Z149" s="14" t="n"/>
      <c r="AA149" s="13" t="n"/>
      <c r="AB149" s="17">
        <f>IF(A149="","",A149&amp;"#"&amp;C149)</f>
        <v/>
      </c>
      <c r="AC149" s="17">
        <f>IF(AND(AD149=1,D149&lt;=TODAY(),N149&lt;&gt;""),1,0)</f>
        <v/>
      </c>
      <c r="AD149" s="17">
        <f>IF(OR(A149="",D149=""),0,IF(AND(ISNUMBER(Baux!$H$14),D149&gt;Baux!$H$14),0,1))</f>
        <v/>
      </c>
    </row>
    <row r="150">
      <c r="A150" s="17">
        <f>IF(Baux!$A$14="","",Baux!$A$14)</f>
        <v/>
      </c>
      <c r="B150" s="17">
        <f>IF(A150="","",Baux!$B$14)</f>
        <v/>
      </c>
      <c r="C150" s="17" t="n">
        <v>5</v>
      </c>
      <c r="D150" s="15">
        <f>IF(OR(A150="",Baux!$F$14="",Baux!$O$14=""),"",EDATE(Baux!$F$14,12*Baux!$O$14*C150))</f>
        <v/>
      </c>
      <c r="E150" s="17">
        <f>IF(AD150=0,"",Baux!$M$14)</f>
        <v/>
      </c>
      <c r="F150" s="17">
        <f>IF(AD150=0,"",IFERROR(TEXT(VALUE(LEFT(Baux!$N$14,4))+C150*Baux!$O$14,"0")&amp;RIGHT(Baux!$N$14,3),""))</f>
        <v/>
      </c>
      <c r="G150" s="25">
        <f>IF(AD150=0,"",IF(F150="","",IF(SUMIFS(Indices_long!$C:$C,Indices_long!$A:$A,E150,Indices_long!$B:$B,F150)=0,"",SUMIFS(Indices_long!$C:$C,Indices_long!$A:$A,E150,Indices_long!$B:$B,F150))))</f>
        <v/>
      </c>
      <c r="H150" s="17">
        <f>IF(AD150=0,"",IF(Baux!$P$14="Base fixe",Baux!$N$14,IF(K149="Geler – rattrapage possible",H149,F149)))</f>
        <v/>
      </c>
      <c r="I150" s="25">
        <f>IF(AD150=0,"",IF(H150="","",IF(SUMIFS(Indices_long!$C:$C,Indices_long!$A:$A,E150,Indices_long!$B:$B,H150)=0,"",SUMIFS(Indices_long!$C:$C,Indices_long!$A:$A,E150,Indices_long!$B:$B,H150))))</f>
        <v/>
      </c>
      <c r="J150" s="26">
        <f>IF(OR(G150="",I150=""),"",G150/I150)</f>
        <v/>
      </c>
      <c r="K150" s="13" t="n"/>
      <c r="L150" s="27">
        <f>IF(AD150=0,"",IF(Baux!$P$14="Base fixe",Baux!$I$14,N149))</f>
        <v/>
      </c>
      <c r="M150" s="27">
        <f>IF(OR(J150="",L150=""),"",ROUND(L150*J150,2))</f>
        <v/>
      </c>
      <c r="N150" s="27">
        <f>IF(AD150=0,"",IF(LEFT(K150,5)="Geler",O150,IF(M150="","",IF(Baux!$Q$14="",M150,MIN(M150,ROUND(L150*(1+Baux!$Q$14/100)^IF(Baux!$P$14="Base fixe",C150*Baux!$O$14,VALUE(LEFT(F150,4))-VALUE(LEFT(H150,4))),2))))))</f>
        <v/>
      </c>
      <c r="O150" s="27">
        <f>IF(AD150=0,"",N149)</f>
        <v/>
      </c>
      <c r="P150" s="28">
        <f>IF(OR(N150="",O150=""),"",N150/O150-1)</f>
        <v/>
      </c>
      <c r="Q150" s="27">
        <f>IF(N150="","",N150/12)</f>
        <v/>
      </c>
      <c r="R150" s="27">
        <f>IF(N150="","",N150/IF(Baux!$L$14="Mensuelle",12,IF(Baux!$L$14="Trimestrielle",4,IF(Baux!$L$14="Semestrielle",2,1))))</f>
        <v/>
      </c>
      <c r="S150" s="27">
        <f>IF(AD150=0,"",IF(Baux!$J$14="",0,Baux!$J$14)/IF(Baux!$L$14="Mensuelle",12,IF(Baux!$L$14="Trimestrielle",4,IF(Baux!$L$14="Semestrielle",2,1))))</f>
        <v/>
      </c>
      <c r="T150" s="27">
        <f>IF(R150="","",(R150+S150)*Baux!$K$14/100)</f>
        <v/>
      </c>
      <c r="U150" s="27">
        <f>IF(R150="","",R150+S150+T150)</f>
        <v/>
      </c>
      <c r="V150" s="17">
        <f>IF(AD150=0,"",IF(LEFT(K150,5)="Geler","❄ Gelée",IF(G150="",IF(D150&lt;=TODAY(),"⚠ Indice attendu","À venir"),IF(D150&lt;=TODAY(),"✔ Calculable","Indice connu – à venir"))))</f>
        <v/>
      </c>
      <c r="W150" s="29" t="n"/>
      <c r="X150" s="13" t="n"/>
      <c r="Y150" s="14" t="n"/>
      <c r="Z150" s="14" t="n"/>
      <c r="AA150" s="13" t="n"/>
      <c r="AB150" s="17">
        <f>IF(A150="","",A150&amp;"#"&amp;C150)</f>
        <v/>
      </c>
      <c r="AC150" s="17">
        <f>IF(AND(AD150=1,D150&lt;=TODAY(),N150&lt;&gt;""),1,0)</f>
        <v/>
      </c>
      <c r="AD150" s="17">
        <f>IF(OR(A150="",D150=""),0,IF(AND(ISNUMBER(Baux!$H$14),D150&gt;Baux!$H$14),0,1))</f>
        <v/>
      </c>
    </row>
    <row r="151">
      <c r="A151" s="17">
        <f>IF(Baux!$A$14="","",Baux!$A$14)</f>
        <v/>
      </c>
      <c r="B151" s="17">
        <f>IF(A151="","",Baux!$B$14)</f>
        <v/>
      </c>
      <c r="C151" s="17" t="n">
        <v>6</v>
      </c>
      <c r="D151" s="15">
        <f>IF(OR(A151="",Baux!$F$14="",Baux!$O$14=""),"",EDATE(Baux!$F$14,12*Baux!$O$14*C151))</f>
        <v/>
      </c>
      <c r="E151" s="17">
        <f>IF(AD151=0,"",Baux!$M$14)</f>
        <v/>
      </c>
      <c r="F151" s="17">
        <f>IF(AD151=0,"",IFERROR(TEXT(VALUE(LEFT(Baux!$N$14,4))+C151*Baux!$O$14,"0")&amp;RIGHT(Baux!$N$14,3),""))</f>
        <v/>
      </c>
      <c r="G151" s="25">
        <f>IF(AD151=0,"",IF(F151="","",IF(SUMIFS(Indices_long!$C:$C,Indices_long!$A:$A,E151,Indices_long!$B:$B,F151)=0,"",SUMIFS(Indices_long!$C:$C,Indices_long!$A:$A,E151,Indices_long!$B:$B,F151))))</f>
        <v/>
      </c>
      <c r="H151" s="17">
        <f>IF(AD151=0,"",IF(Baux!$P$14="Base fixe",Baux!$N$14,IF(K150="Geler – rattrapage possible",H150,F150)))</f>
        <v/>
      </c>
      <c r="I151" s="25">
        <f>IF(AD151=0,"",IF(H151="","",IF(SUMIFS(Indices_long!$C:$C,Indices_long!$A:$A,E151,Indices_long!$B:$B,H151)=0,"",SUMIFS(Indices_long!$C:$C,Indices_long!$A:$A,E151,Indices_long!$B:$B,H151))))</f>
        <v/>
      </c>
      <c r="J151" s="26">
        <f>IF(OR(G151="",I151=""),"",G151/I151)</f>
        <v/>
      </c>
      <c r="K151" s="13" t="n"/>
      <c r="L151" s="27">
        <f>IF(AD151=0,"",IF(Baux!$P$14="Base fixe",Baux!$I$14,N150))</f>
        <v/>
      </c>
      <c r="M151" s="27">
        <f>IF(OR(J151="",L151=""),"",ROUND(L151*J151,2))</f>
        <v/>
      </c>
      <c r="N151" s="27">
        <f>IF(AD151=0,"",IF(LEFT(K151,5)="Geler",O151,IF(M151="","",IF(Baux!$Q$14="",M151,MIN(M151,ROUND(L151*(1+Baux!$Q$14/100)^IF(Baux!$P$14="Base fixe",C151*Baux!$O$14,VALUE(LEFT(F151,4))-VALUE(LEFT(H151,4))),2))))))</f>
        <v/>
      </c>
      <c r="O151" s="27">
        <f>IF(AD151=0,"",N150)</f>
        <v/>
      </c>
      <c r="P151" s="28">
        <f>IF(OR(N151="",O151=""),"",N151/O151-1)</f>
        <v/>
      </c>
      <c r="Q151" s="27">
        <f>IF(N151="","",N151/12)</f>
        <v/>
      </c>
      <c r="R151" s="27">
        <f>IF(N151="","",N151/IF(Baux!$L$14="Mensuelle",12,IF(Baux!$L$14="Trimestrielle",4,IF(Baux!$L$14="Semestrielle",2,1))))</f>
        <v/>
      </c>
      <c r="S151" s="27">
        <f>IF(AD151=0,"",IF(Baux!$J$14="",0,Baux!$J$14)/IF(Baux!$L$14="Mensuelle",12,IF(Baux!$L$14="Trimestrielle",4,IF(Baux!$L$14="Semestrielle",2,1))))</f>
        <v/>
      </c>
      <c r="T151" s="27">
        <f>IF(R151="","",(R151+S151)*Baux!$K$14/100)</f>
        <v/>
      </c>
      <c r="U151" s="27">
        <f>IF(R151="","",R151+S151+T151)</f>
        <v/>
      </c>
      <c r="V151" s="17">
        <f>IF(AD151=0,"",IF(LEFT(K151,5)="Geler","❄ Gelée",IF(G151="",IF(D151&lt;=TODAY(),"⚠ Indice attendu","À venir"),IF(D151&lt;=TODAY(),"✔ Calculable","Indice connu – à venir"))))</f>
        <v/>
      </c>
      <c r="W151" s="29" t="n"/>
      <c r="X151" s="13" t="n"/>
      <c r="Y151" s="14" t="n"/>
      <c r="Z151" s="14" t="n"/>
      <c r="AA151" s="13" t="n"/>
      <c r="AB151" s="17">
        <f>IF(A151="","",A151&amp;"#"&amp;C151)</f>
        <v/>
      </c>
      <c r="AC151" s="17">
        <f>IF(AND(AD151=1,D151&lt;=TODAY(),N151&lt;&gt;""),1,0)</f>
        <v/>
      </c>
      <c r="AD151" s="17">
        <f>IF(OR(A151="",D151=""),0,IF(AND(ISNUMBER(Baux!$H$14),D151&gt;Baux!$H$14),0,1))</f>
        <v/>
      </c>
    </row>
    <row r="152">
      <c r="A152" s="17">
        <f>IF(Baux!$A$14="","",Baux!$A$14)</f>
        <v/>
      </c>
      <c r="B152" s="17">
        <f>IF(A152="","",Baux!$B$14)</f>
        <v/>
      </c>
      <c r="C152" s="17" t="n">
        <v>7</v>
      </c>
      <c r="D152" s="15">
        <f>IF(OR(A152="",Baux!$F$14="",Baux!$O$14=""),"",EDATE(Baux!$F$14,12*Baux!$O$14*C152))</f>
        <v/>
      </c>
      <c r="E152" s="17">
        <f>IF(AD152=0,"",Baux!$M$14)</f>
        <v/>
      </c>
      <c r="F152" s="17">
        <f>IF(AD152=0,"",IFERROR(TEXT(VALUE(LEFT(Baux!$N$14,4))+C152*Baux!$O$14,"0")&amp;RIGHT(Baux!$N$14,3),""))</f>
        <v/>
      </c>
      <c r="G152" s="25">
        <f>IF(AD152=0,"",IF(F152="","",IF(SUMIFS(Indices_long!$C:$C,Indices_long!$A:$A,E152,Indices_long!$B:$B,F152)=0,"",SUMIFS(Indices_long!$C:$C,Indices_long!$A:$A,E152,Indices_long!$B:$B,F152))))</f>
        <v/>
      </c>
      <c r="H152" s="17">
        <f>IF(AD152=0,"",IF(Baux!$P$14="Base fixe",Baux!$N$14,IF(K151="Geler – rattrapage possible",H151,F151)))</f>
        <v/>
      </c>
      <c r="I152" s="25">
        <f>IF(AD152=0,"",IF(H152="","",IF(SUMIFS(Indices_long!$C:$C,Indices_long!$A:$A,E152,Indices_long!$B:$B,H152)=0,"",SUMIFS(Indices_long!$C:$C,Indices_long!$A:$A,E152,Indices_long!$B:$B,H152))))</f>
        <v/>
      </c>
      <c r="J152" s="26">
        <f>IF(OR(G152="",I152=""),"",G152/I152)</f>
        <v/>
      </c>
      <c r="K152" s="13" t="n"/>
      <c r="L152" s="27">
        <f>IF(AD152=0,"",IF(Baux!$P$14="Base fixe",Baux!$I$14,N151))</f>
        <v/>
      </c>
      <c r="M152" s="27">
        <f>IF(OR(J152="",L152=""),"",ROUND(L152*J152,2))</f>
        <v/>
      </c>
      <c r="N152" s="27">
        <f>IF(AD152=0,"",IF(LEFT(K152,5)="Geler",O152,IF(M152="","",IF(Baux!$Q$14="",M152,MIN(M152,ROUND(L152*(1+Baux!$Q$14/100)^IF(Baux!$P$14="Base fixe",C152*Baux!$O$14,VALUE(LEFT(F152,4))-VALUE(LEFT(H152,4))),2))))))</f>
        <v/>
      </c>
      <c r="O152" s="27">
        <f>IF(AD152=0,"",N151)</f>
        <v/>
      </c>
      <c r="P152" s="28">
        <f>IF(OR(N152="",O152=""),"",N152/O152-1)</f>
        <v/>
      </c>
      <c r="Q152" s="27">
        <f>IF(N152="","",N152/12)</f>
        <v/>
      </c>
      <c r="R152" s="27">
        <f>IF(N152="","",N152/IF(Baux!$L$14="Mensuelle",12,IF(Baux!$L$14="Trimestrielle",4,IF(Baux!$L$14="Semestrielle",2,1))))</f>
        <v/>
      </c>
      <c r="S152" s="27">
        <f>IF(AD152=0,"",IF(Baux!$J$14="",0,Baux!$J$14)/IF(Baux!$L$14="Mensuelle",12,IF(Baux!$L$14="Trimestrielle",4,IF(Baux!$L$14="Semestrielle",2,1))))</f>
        <v/>
      </c>
      <c r="T152" s="27">
        <f>IF(R152="","",(R152+S152)*Baux!$K$14/100)</f>
        <v/>
      </c>
      <c r="U152" s="27">
        <f>IF(R152="","",R152+S152+T152)</f>
        <v/>
      </c>
      <c r="V152" s="17">
        <f>IF(AD152=0,"",IF(LEFT(K152,5)="Geler","❄ Gelée",IF(G152="",IF(D152&lt;=TODAY(),"⚠ Indice attendu","À venir"),IF(D152&lt;=TODAY(),"✔ Calculable","Indice connu – à venir"))))</f>
        <v/>
      </c>
      <c r="W152" s="29" t="n"/>
      <c r="X152" s="13" t="n"/>
      <c r="Y152" s="14" t="n"/>
      <c r="Z152" s="14" t="n"/>
      <c r="AA152" s="13" t="n"/>
      <c r="AB152" s="17">
        <f>IF(A152="","",A152&amp;"#"&amp;C152)</f>
        <v/>
      </c>
      <c r="AC152" s="17">
        <f>IF(AND(AD152=1,D152&lt;=TODAY(),N152&lt;&gt;""),1,0)</f>
        <v/>
      </c>
      <c r="AD152" s="17">
        <f>IF(OR(A152="",D152=""),0,IF(AND(ISNUMBER(Baux!$H$14),D152&gt;Baux!$H$14),0,1))</f>
        <v/>
      </c>
    </row>
    <row r="153">
      <c r="A153" s="17">
        <f>IF(Baux!$A$14="","",Baux!$A$14)</f>
        <v/>
      </c>
      <c r="B153" s="17">
        <f>IF(A153="","",Baux!$B$14)</f>
        <v/>
      </c>
      <c r="C153" s="17" t="n">
        <v>8</v>
      </c>
      <c r="D153" s="15">
        <f>IF(OR(A153="",Baux!$F$14="",Baux!$O$14=""),"",EDATE(Baux!$F$14,12*Baux!$O$14*C153))</f>
        <v/>
      </c>
      <c r="E153" s="17">
        <f>IF(AD153=0,"",Baux!$M$14)</f>
        <v/>
      </c>
      <c r="F153" s="17">
        <f>IF(AD153=0,"",IFERROR(TEXT(VALUE(LEFT(Baux!$N$14,4))+C153*Baux!$O$14,"0")&amp;RIGHT(Baux!$N$14,3),""))</f>
        <v/>
      </c>
      <c r="G153" s="25">
        <f>IF(AD153=0,"",IF(F153="","",IF(SUMIFS(Indices_long!$C:$C,Indices_long!$A:$A,E153,Indices_long!$B:$B,F153)=0,"",SUMIFS(Indices_long!$C:$C,Indices_long!$A:$A,E153,Indices_long!$B:$B,F153))))</f>
        <v/>
      </c>
      <c r="H153" s="17">
        <f>IF(AD153=0,"",IF(Baux!$P$14="Base fixe",Baux!$N$14,IF(K152="Geler – rattrapage possible",H152,F152)))</f>
        <v/>
      </c>
      <c r="I153" s="25">
        <f>IF(AD153=0,"",IF(H153="","",IF(SUMIFS(Indices_long!$C:$C,Indices_long!$A:$A,E153,Indices_long!$B:$B,H153)=0,"",SUMIFS(Indices_long!$C:$C,Indices_long!$A:$A,E153,Indices_long!$B:$B,H153))))</f>
        <v/>
      </c>
      <c r="J153" s="26">
        <f>IF(OR(G153="",I153=""),"",G153/I153)</f>
        <v/>
      </c>
      <c r="K153" s="13" t="n"/>
      <c r="L153" s="27">
        <f>IF(AD153=0,"",IF(Baux!$P$14="Base fixe",Baux!$I$14,N152))</f>
        <v/>
      </c>
      <c r="M153" s="27">
        <f>IF(OR(J153="",L153=""),"",ROUND(L153*J153,2))</f>
        <v/>
      </c>
      <c r="N153" s="27">
        <f>IF(AD153=0,"",IF(LEFT(K153,5)="Geler",O153,IF(M153="","",IF(Baux!$Q$14="",M153,MIN(M153,ROUND(L153*(1+Baux!$Q$14/100)^IF(Baux!$P$14="Base fixe",C153*Baux!$O$14,VALUE(LEFT(F153,4))-VALUE(LEFT(H153,4))),2))))))</f>
        <v/>
      </c>
      <c r="O153" s="27">
        <f>IF(AD153=0,"",N152)</f>
        <v/>
      </c>
      <c r="P153" s="28">
        <f>IF(OR(N153="",O153=""),"",N153/O153-1)</f>
        <v/>
      </c>
      <c r="Q153" s="27">
        <f>IF(N153="","",N153/12)</f>
        <v/>
      </c>
      <c r="R153" s="27">
        <f>IF(N153="","",N153/IF(Baux!$L$14="Mensuelle",12,IF(Baux!$L$14="Trimestrielle",4,IF(Baux!$L$14="Semestrielle",2,1))))</f>
        <v/>
      </c>
      <c r="S153" s="27">
        <f>IF(AD153=0,"",IF(Baux!$J$14="",0,Baux!$J$14)/IF(Baux!$L$14="Mensuelle",12,IF(Baux!$L$14="Trimestrielle",4,IF(Baux!$L$14="Semestrielle",2,1))))</f>
        <v/>
      </c>
      <c r="T153" s="27">
        <f>IF(R153="","",(R153+S153)*Baux!$K$14/100)</f>
        <v/>
      </c>
      <c r="U153" s="27">
        <f>IF(R153="","",R153+S153+T153)</f>
        <v/>
      </c>
      <c r="V153" s="17">
        <f>IF(AD153=0,"",IF(LEFT(K153,5)="Geler","❄ Gelée",IF(G153="",IF(D153&lt;=TODAY(),"⚠ Indice attendu","À venir"),IF(D153&lt;=TODAY(),"✔ Calculable","Indice connu – à venir"))))</f>
        <v/>
      </c>
      <c r="W153" s="29" t="n"/>
      <c r="X153" s="13" t="n"/>
      <c r="Y153" s="14" t="n"/>
      <c r="Z153" s="14" t="n"/>
      <c r="AA153" s="13" t="n"/>
      <c r="AB153" s="17">
        <f>IF(A153="","",A153&amp;"#"&amp;C153)</f>
        <v/>
      </c>
      <c r="AC153" s="17">
        <f>IF(AND(AD153=1,D153&lt;=TODAY(),N153&lt;&gt;""),1,0)</f>
        <v/>
      </c>
      <c r="AD153" s="17">
        <f>IF(OR(A153="",D153=""),0,IF(AND(ISNUMBER(Baux!$H$14),D153&gt;Baux!$H$14),0,1))</f>
        <v/>
      </c>
    </row>
    <row r="154">
      <c r="A154" s="17">
        <f>IF(Baux!$A$14="","",Baux!$A$14)</f>
        <v/>
      </c>
      <c r="B154" s="17">
        <f>IF(A154="","",Baux!$B$14)</f>
        <v/>
      </c>
      <c r="C154" s="17" t="n">
        <v>9</v>
      </c>
      <c r="D154" s="15">
        <f>IF(OR(A154="",Baux!$F$14="",Baux!$O$14=""),"",EDATE(Baux!$F$14,12*Baux!$O$14*C154))</f>
        <v/>
      </c>
      <c r="E154" s="17">
        <f>IF(AD154=0,"",Baux!$M$14)</f>
        <v/>
      </c>
      <c r="F154" s="17">
        <f>IF(AD154=0,"",IFERROR(TEXT(VALUE(LEFT(Baux!$N$14,4))+C154*Baux!$O$14,"0")&amp;RIGHT(Baux!$N$14,3),""))</f>
        <v/>
      </c>
      <c r="G154" s="25">
        <f>IF(AD154=0,"",IF(F154="","",IF(SUMIFS(Indices_long!$C:$C,Indices_long!$A:$A,E154,Indices_long!$B:$B,F154)=0,"",SUMIFS(Indices_long!$C:$C,Indices_long!$A:$A,E154,Indices_long!$B:$B,F154))))</f>
        <v/>
      </c>
      <c r="H154" s="17">
        <f>IF(AD154=0,"",IF(Baux!$P$14="Base fixe",Baux!$N$14,IF(K153="Geler – rattrapage possible",H153,F153)))</f>
        <v/>
      </c>
      <c r="I154" s="25">
        <f>IF(AD154=0,"",IF(H154="","",IF(SUMIFS(Indices_long!$C:$C,Indices_long!$A:$A,E154,Indices_long!$B:$B,H154)=0,"",SUMIFS(Indices_long!$C:$C,Indices_long!$A:$A,E154,Indices_long!$B:$B,H154))))</f>
        <v/>
      </c>
      <c r="J154" s="26">
        <f>IF(OR(G154="",I154=""),"",G154/I154)</f>
        <v/>
      </c>
      <c r="K154" s="13" t="n"/>
      <c r="L154" s="27">
        <f>IF(AD154=0,"",IF(Baux!$P$14="Base fixe",Baux!$I$14,N153))</f>
        <v/>
      </c>
      <c r="M154" s="27">
        <f>IF(OR(J154="",L154=""),"",ROUND(L154*J154,2))</f>
        <v/>
      </c>
      <c r="N154" s="27">
        <f>IF(AD154=0,"",IF(LEFT(K154,5)="Geler",O154,IF(M154="","",IF(Baux!$Q$14="",M154,MIN(M154,ROUND(L154*(1+Baux!$Q$14/100)^IF(Baux!$P$14="Base fixe",C154*Baux!$O$14,VALUE(LEFT(F154,4))-VALUE(LEFT(H154,4))),2))))))</f>
        <v/>
      </c>
      <c r="O154" s="27">
        <f>IF(AD154=0,"",N153)</f>
        <v/>
      </c>
      <c r="P154" s="28">
        <f>IF(OR(N154="",O154=""),"",N154/O154-1)</f>
        <v/>
      </c>
      <c r="Q154" s="27">
        <f>IF(N154="","",N154/12)</f>
        <v/>
      </c>
      <c r="R154" s="27">
        <f>IF(N154="","",N154/IF(Baux!$L$14="Mensuelle",12,IF(Baux!$L$14="Trimestrielle",4,IF(Baux!$L$14="Semestrielle",2,1))))</f>
        <v/>
      </c>
      <c r="S154" s="27">
        <f>IF(AD154=0,"",IF(Baux!$J$14="",0,Baux!$J$14)/IF(Baux!$L$14="Mensuelle",12,IF(Baux!$L$14="Trimestrielle",4,IF(Baux!$L$14="Semestrielle",2,1))))</f>
        <v/>
      </c>
      <c r="T154" s="27">
        <f>IF(R154="","",(R154+S154)*Baux!$K$14/100)</f>
        <v/>
      </c>
      <c r="U154" s="27">
        <f>IF(R154="","",R154+S154+T154)</f>
        <v/>
      </c>
      <c r="V154" s="17">
        <f>IF(AD154=0,"",IF(LEFT(K154,5)="Geler","❄ Gelée",IF(G154="",IF(D154&lt;=TODAY(),"⚠ Indice attendu","À venir"),IF(D154&lt;=TODAY(),"✔ Calculable","Indice connu – à venir"))))</f>
        <v/>
      </c>
      <c r="W154" s="29" t="n"/>
      <c r="X154" s="13" t="n"/>
      <c r="Y154" s="14" t="n"/>
      <c r="Z154" s="14" t="n"/>
      <c r="AA154" s="13" t="n"/>
      <c r="AB154" s="17">
        <f>IF(A154="","",A154&amp;"#"&amp;C154)</f>
        <v/>
      </c>
      <c r="AC154" s="17">
        <f>IF(AND(AD154=1,D154&lt;=TODAY(),N154&lt;&gt;""),1,0)</f>
        <v/>
      </c>
      <c r="AD154" s="17">
        <f>IF(OR(A154="",D154=""),0,IF(AND(ISNUMBER(Baux!$H$14),D154&gt;Baux!$H$14),0,1))</f>
        <v/>
      </c>
    </row>
    <row r="155">
      <c r="A155" s="17">
        <f>IF(Baux!$A$14="","",Baux!$A$14)</f>
        <v/>
      </c>
      <c r="B155" s="17">
        <f>IF(A155="","",Baux!$B$14)</f>
        <v/>
      </c>
      <c r="C155" s="17" t="n">
        <v>10</v>
      </c>
      <c r="D155" s="15">
        <f>IF(OR(A155="",Baux!$F$14="",Baux!$O$14=""),"",EDATE(Baux!$F$14,12*Baux!$O$14*C155))</f>
        <v/>
      </c>
      <c r="E155" s="17">
        <f>IF(AD155=0,"",Baux!$M$14)</f>
        <v/>
      </c>
      <c r="F155" s="17">
        <f>IF(AD155=0,"",IFERROR(TEXT(VALUE(LEFT(Baux!$N$14,4))+C155*Baux!$O$14,"0")&amp;RIGHT(Baux!$N$14,3),""))</f>
        <v/>
      </c>
      <c r="G155" s="25">
        <f>IF(AD155=0,"",IF(F155="","",IF(SUMIFS(Indices_long!$C:$C,Indices_long!$A:$A,E155,Indices_long!$B:$B,F155)=0,"",SUMIFS(Indices_long!$C:$C,Indices_long!$A:$A,E155,Indices_long!$B:$B,F155))))</f>
        <v/>
      </c>
      <c r="H155" s="17">
        <f>IF(AD155=0,"",IF(Baux!$P$14="Base fixe",Baux!$N$14,IF(K154="Geler – rattrapage possible",H154,F154)))</f>
        <v/>
      </c>
      <c r="I155" s="25">
        <f>IF(AD155=0,"",IF(H155="","",IF(SUMIFS(Indices_long!$C:$C,Indices_long!$A:$A,E155,Indices_long!$B:$B,H155)=0,"",SUMIFS(Indices_long!$C:$C,Indices_long!$A:$A,E155,Indices_long!$B:$B,H155))))</f>
        <v/>
      </c>
      <c r="J155" s="26">
        <f>IF(OR(G155="",I155=""),"",G155/I155)</f>
        <v/>
      </c>
      <c r="K155" s="13" t="n"/>
      <c r="L155" s="27">
        <f>IF(AD155=0,"",IF(Baux!$P$14="Base fixe",Baux!$I$14,N154))</f>
        <v/>
      </c>
      <c r="M155" s="27">
        <f>IF(OR(J155="",L155=""),"",ROUND(L155*J155,2))</f>
        <v/>
      </c>
      <c r="N155" s="27">
        <f>IF(AD155=0,"",IF(LEFT(K155,5)="Geler",O155,IF(M155="","",IF(Baux!$Q$14="",M155,MIN(M155,ROUND(L155*(1+Baux!$Q$14/100)^IF(Baux!$P$14="Base fixe",C155*Baux!$O$14,VALUE(LEFT(F155,4))-VALUE(LEFT(H155,4))),2))))))</f>
        <v/>
      </c>
      <c r="O155" s="27">
        <f>IF(AD155=0,"",N154)</f>
        <v/>
      </c>
      <c r="P155" s="28">
        <f>IF(OR(N155="",O155=""),"",N155/O155-1)</f>
        <v/>
      </c>
      <c r="Q155" s="27">
        <f>IF(N155="","",N155/12)</f>
        <v/>
      </c>
      <c r="R155" s="27">
        <f>IF(N155="","",N155/IF(Baux!$L$14="Mensuelle",12,IF(Baux!$L$14="Trimestrielle",4,IF(Baux!$L$14="Semestrielle",2,1))))</f>
        <v/>
      </c>
      <c r="S155" s="27">
        <f>IF(AD155=0,"",IF(Baux!$J$14="",0,Baux!$J$14)/IF(Baux!$L$14="Mensuelle",12,IF(Baux!$L$14="Trimestrielle",4,IF(Baux!$L$14="Semestrielle",2,1))))</f>
        <v/>
      </c>
      <c r="T155" s="27">
        <f>IF(R155="","",(R155+S155)*Baux!$K$14/100)</f>
        <v/>
      </c>
      <c r="U155" s="27">
        <f>IF(R155="","",R155+S155+T155)</f>
        <v/>
      </c>
      <c r="V155" s="17">
        <f>IF(AD155=0,"",IF(LEFT(K155,5)="Geler","❄ Gelée",IF(G155="",IF(D155&lt;=TODAY(),"⚠ Indice attendu","À venir"),IF(D155&lt;=TODAY(),"✔ Calculable","Indice connu – à venir"))))</f>
        <v/>
      </c>
      <c r="W155" s="29" t="n"/>
      <c r="X155" s="13" t="n"/>
      <c r="Y155" s="14" t="n"/>
      <c r="Z155" s="14" t="n"/>
      <c r="AA155" s="13" t="n"/>
      <c r="AB155" s="17">
        <f>IF(A155="","",A155&amp;"#"&amp;C155)</f>
        <v/>
      </c>
      <c r="AC155" s="17">
        <f>IF(AND(AD155=1,D155&lt;=TODAY(),N155&lt;&gt;""),1,0)</f>
        <v/>
      </c>
      <c r="AD155" s="17">
        <f>IF(OR(A155="",D155=""),0,IF(AND(ISNUMBER(Baux!$H$14),D155&gt;Baux!$H$14),0,1))</f>
        <v/>
      </c>
    </row>
    <row r="156">
      <c r="A156" s="17">
        <f>IF(Baux!$A$14="","",Baux!$A$14)</f>
        <v/>
      </c>
      <c r="B156" s="17">
        <f>IF(A156="","",Baux!$B$14)</f>
        <v/>
      </c>
      <c r="C156" s="17" t="n">
        <v>11</v>
      </c>
      <c r="D156" s="15">
        <f>IF(OR(A156="",Baux!$F$14="",Baux!$O$14=""),"",EDATE(Baux!$F$14,12*Baux!$O$14*C156))</f>
        <v/>
      </c>
      <c r="E156" s="17">
        <f>IF(AD156=0,"",Baux!$M$14)</f>
        <v/>
      </c>
      <c r="F156" s="17">
        <f>IF(AD156=0,"",IFERROR(TEXT(VALUE(LEFT(Baux!$N$14,4))+C156*Baux!$O$14,"0")&amp;RIGHT(Baux!$N$14,3),""))</f>
        <v/>
      </c>
      <c r="G156" s="25">
        <f>IF(AD156=0,"",IF(F156="","",IF(SUMIFS(Indices_long!$C:$C,Indices_long!$A:$A,E156,Indices_long!$B:$B,F156)=0,"",SUMIFS(Indices_long!$C:$C,Indices_long!$A:$A,E156,Indices_long!$B:$B,F156))))</f>
        <v/>
      </c>
      <c r="H156" s="17">
        <f>IF(AD156=0,"",IF(Baux!$P$14="Base fixe",Baux!$N$14,IF(K155="Geler – rattrapage possible",H155,F155)))</f>
        <v/>
      </c>
      <c r="I156" s="25">
        <f>IF(AD156=0,"",IF(H156="","",IF(SUMIFS(Indices_long!$C:$C,Indices_long!$A:$A,E156,Indices_long!$B:$B,H156)=0,"",SUMIFS(Indices_long!$C:$C,Indices_long!$A:$A,E156,Indices_long!$B:$B,H156))))</f>
        <v/>
      </c>
      <c r="J156" s="26">
        <f>IF(OR(G156="",I156=""),"",G156/I156)</f>
        <v/>
      </c>
      <c r="K156" s="13" t="n"/>
      <c r="L156" s="27">
        <f>IF(AD156=0,"",IF(Baux!$P$14="Base fixe",Baux!$I$14,N155))</f>
        <v/>
      </c>
      <c r="M156" s="27">
        <f>IF(OR(J156="",L156=""),"",ROUND(L156*J156,2))</f>
        <v/>
      </c>
      <c r="N156" s="27">
        <f>IF(AD156=0,"",IF(LEFT(K156,5)="Geler",O156,IF(M156="","",IF(Baux!$Q$14="",M156,MIN(M156,ROUND(L156*(1+Baux!$Q$14/100)^IF(Baux!$P$14="Base fixe",C156*Baux!$O$14,VALUE(LEFT(F156,4))-VALUE(LEFT(H156,4))),2))))))</f>
        <v/>
      </c>
      <c r="O156" s="27">
        <f>IF(AD156=0,"",N155)</f>
        <v/>
      </c>
      <c r="P156" s="28">
        <f>IF(OR(N156="",O156=""),"",N156/O156-1)</f>
        <v/>
      </c>
      <c r="Q156" s="27">
        <f>IF(N156="","",N156/12)</f>
        <v/>
      </c>
      <c r="R156" s="27">
        <f>IF(N156="","",N156/IF(Baux!$L$14="Mensuelle",12,IF(Baux!$L$14="Trimestrielle",4,IF(Baux!$L$14="Semestrielle",2,1))))</f>
        <v/>
      </c>
      <c r="S156" s="27">
        <f>IF(AD156=0,"",IF(Baux!$J$14="",0,Baux!$J$14)/IF(Baux!$L$14="Mensuelle",12,IF(Baux!$L$14="Trimestrielle",4,IF(Baux!$L$14="Semestrielle",2,1))))</f>
        <v/>
      </c>
      <c r="T156" s="27">
        <f>IF(R156="","",(R156+S156)*Baux!$K$14/100)</f>
        <v/>
      </c>
      <c r="U156" s="27">
        <f>IF(R156="","",R156+S156+T156)</f>
        <v/>
      </c>
      <c r="V156" s="17">
        <f>IF(AD156=0,"",IF(LEFT(K156,5)="Geler","❄ Gelée",IF(G156="",IF(D156&lt;=TODAY(),"⚠ Indice attendu","À venir"),IF(D156&lt;=TODAY(),"✔ Calculable","Indice connu – à venir"))))</f>
        <v/>
      </c>
      <c r="W156" s="29" t="n"/>
      <c r="X156" s="13" t="n"/>
      <c r="Y156" s="14" t="n"/>
      <c r="Z156" s="14" t="n"/>
      <c r="AA156" s="13" t="n"/>
      <c r="AB156" s="17">
        <f>IF(A156="","",A156&amp;"#"&amp;C156)</f>
        <v/>
      </c>
      <c r="AC156" s="17">
        <f>IF(AND(AD156=1,D156&lt;=TODAY(),N156&lt;&gt;""),1,0)</f>
        <v/>
      </c>
      <c r="AD156" s="17">
        <f>IF(OR(A156="",D156=""),0,IF(AND(ISNUMBER(Baux!$H$14),D156&gt;Baux!$H$14),0,1))</f>
        <v/>
      </c>
    </row>
    <row r="157">
      <c r="A157" s="17">
        <f>IF(Baux!$A$14="","",Baux!$A$14)</f>
        <v/>
      </c>
      <c r="B157" s="17">
        <f>IF(A157="","",Baux!$B$14)</f>
        <v/>
      </c>
      <c r="C157" s="17" t="n">
        <v>12</v>
      </c>
      <c r="D157" s="15">
        <f>IF(OR(A157="",Baux!$F$14="",Baux!$O$14=""),"",EDATE(Baux!$F$14,12*Baux!$O$14*C157))</f>
        <v/>
      </c>
      <c r="E157" s="17">
        <f>IF(AD157=0,"",Baux!$M$14)</f>
        <v/>
      </c>
      <c r="F157" s="17">
        <f>IF(AD157=0,"",IFERROR(TEXT(VALUE(LEFT(Baux!$N$14,4))+C157*Baux!$O$14,"0")&amp;RIGHT(Baux!$N$14,3),""))</f>
        <v/>
      </c>
      <c r="G157" s="25">
        <f>IF(AD157=0,"",IF(F157="","",IF(SUMIFS(Indices_long!$C:$C,Indices_long!$A:$A,E157,Indices_long!$B:$B,F157)=0,"",SUMIFS(Indices_long!$C:$C,Indices_long!$A:$A,E157,Indices_long!$B:$B,F157))))</f>
        <v/>
      </c>
      <c r="H157" s="17">
        <f>IF(AD157=0,"",IF(Baux!$P$14="Base fixe",Baux!$N$14,IF(K156="Geler – rattrapage possible",H156,F156)))</f>
        <v/>
      </c>
      <c r="I157" s="25">
        <f>IF(AD157=0,"",IF(H157="","",IF(SUMIFS(Indices_long!$C:$C,Indices_long!$A:$A,E157,Indices_long!$B:$B,H157)=0,"",SUMIFS(Indices_long!$C:$C,Indices_long!$A:$A,E157,Indices_long!$B:$B,H157))))</f>
        <v/>
      </c>
      <c r="J157" s="26">
        <f>IF(OR(G157="",I157=""),"",G157/I157)</f>
        <v/>
      </c>
      <c r="K157" s="13" t="n"/>
      <c r="L157" s="27">
        <f>IF(AD157=0,"",IF(Baux!$P$14="Base fixe",Baux!$I$14,N156))</f>
        <v/>
      </c>
      <c r="M157" s="27">
        <f>IF(OR(J157="",L157=""),"",ROUND(L157*J157,2))</f>
        <v/>
      </c>
      <c r="N157" s="27">
        <f>IF(AD157=0,"",IF(LEFT(K157,5)="Geler",O157,IF(M157="","",IF(Baux!$Q$14="",M157,MIN(M157,ROUND(L157*(1+Baux!$Q$14/100)^IF(Baux!$P$14="Base fixe",C157*Baux!$O$14,VALUE(LEFT(F157,4))-VALUE(LEFT(H157,4))),2))))))</f>
        <v/>
      </c>
      <c r="O157" s="27">
        <f>IF(AD157=0,"",N156)</f>
        <v/>
      </c>
      <c r="P157" s="28">
        <f>IF(OR(N157="",O157=""),"",N157/O157-1)</f>
        <v/>
      </c>
      <c r="Q157" s="27">
        <f>IF(N157="","",N157/12)</f>
        <v/>
      </c>
      <c r="R157" s="27">
        <f>IF(N157="","",N157/IF(Baux!$L$14="Mensuelle",12,IF(Baux!$L$14="Trimestrielle",4,IF(Baux!$L$14="Semestrielle",2,1))))</f>
        <v/>
      </c>
      <c r="S157" s="27">
        <f>IF(AD157=0,"",IF(Baux!$J$14="",0,Baux!$J$14)/IF(Baux!$L$14="Mensuelle",12,IF(Baux!$L$14="Trimestrielle",4,IF(Baux!$L$14="Semestrielle",2,1))))</f>
        <v/>
      </c>
      <c r="T157" s="27">
        <f>IF(R157="","",(R157+S157)*Baux!$K$14/100)</f>
        <v/>
      </c>
      <c r="U157" s="27">
        <f>IF(R157="","",R157+S157+T157)</f>
        <v/>
      </c>
      <c r="V157" s="17">
        <f>IF(AD157=0,"",IF(LEFT(K157,5)="Geler","❄ Gelée",IF(G157="",IF(D157&lt;=TODAY(),"⚠ Indice attendu","À venir"),IF(D157&lt;=TODAY(),"✔ Calculable","Indice connu – à venir"))))</f>
        <v/>
      </c>
      <c r="W157" s="29" t="n"/>
      <c r="X157" s="13" t="n"/>
      <c r="Y157" s="14" t="n"/>
      <c r="Z157" s="14" t="n"/>
      <c r="AA157" s="13" t="n"/>
      <c r="AB157" s="17">
        <f>IF(A157="","",A157&amp;"#"&amp;C157)</f>
        <v/>
      </c>
      <c r="AC157" s="17">
        <f>IF(AND(AD157=1,D157&lt;=TODAY(),N157&lt;&gt;""),1,0)</f>
        <v/>
      </c>
      <c r="AD157" s="17">
        <f>IF(OR(A157="",D157=""),0,IF(AND(ISNUMBER(Baux!$H$14),D157&gt;Baux!$H$14),0,1))</f>
        <v/>
      </c>
    </row>
    <row r="158">
      <c r="A158" s="17">
        <f>IF(Baux!$A$15="","",Baux!$A$15)</f>
        <v/>
      </c>
      <c r="B158" s="17">
        <f>IF(A158="","",Baux!$B$15)</f>
        <v/>
      </c>
      <c r="C158" s="17" t="n">
        <v>1</v>
      </c>
      <c r="D158" s="15">
        <f>IF(OR(A158="",Baux!$F$15="",Baux!$O$15=""),"",EDATE(Baux!$F$15,12*Baux!$O$15*C158))</f>
        <v/>
      </c>
      <c r="E158" s="17">
        <f>IF(AD158=0,"",Baux!$M$15)</f>
        <v/>
      </c>
      <c r="F158" s="17">
        <f>IF(AD158=0,"",IFERROR(TEXT(VALUE(LEFT(Baux!$N$15,4))+C158*Baux!$O$15,"0")&amp;RIGHT(Baux!$N$15,3),""))</f>
        <v/>
      </c>
      <c r="G158" s="25">
        <f>IF(AD158=0,"",IF(F158="","",IF(SUMIFS(Indices_long!$C:$C,Indices_long!$A:$A,E158,Indices_long!$B:$B,F158)=0,"",SUMIFS(Indices_long!$C:$C,Indices_long!$A:$A,E158,Indices_long!$B:$B,F158))))</f>
        <v/>
      </c>
      <c r="H158" s="17">
        <f>IF(AD158=0,"",Baux!$N$15)</f>
        <v/>
      </c>
      <c r="I158" s="25">
        <f>IF(AD158=0,"",IF(H158="","",IF(SUMIFS(Indices_long!$C:$C,Indices_long!$A:$A,E158,Indices_long!$B:$B,H158)=0,"",SUMIFS(Indices_long!$C:$C,Indices_long!$A:$A,E158,Indices_long!$B:$B,H158))))</f>
        <v/>
      </c>
      <c r="J158" s="26">
        <f>IF(OR(G158="",I158=""),"",G158/I158)</f>
        <v/>
      </c>
      <c r="K158" s="13" t="n"/>
      <c r="L158" s="27">
        <f>IF(AD158=0,"",Baux!$I$15)</f>
        <v/>
      </c>
      <c r="M158" s="27">
        <f>IF(OR(J158="",L158=""),"",ROUND(L158*J158,2))</f>
        <v/>
      </c>
      <c r="N158" s="27">
        <f>IF(AD158=0,"",IF(LEFT(K158,5)="Geler",O158,IF(M158="","",IF(Baux!$Q$15="",M158,MIN(M158,ROUND(L158*(1+Baux!$Q$15/100)^IF(Baux!$P$15="Base fixe",C158*Baux!$O$15,VALUE(LEFT(F158,4))-VALUE(LEFT(H158,4))),2))))))</f>
        <v/>
      </c>
      <c r="O158" s="27">
        <f>IF(AD158=0,"",Baux!$I$15)</f>
        <v/>
      </c>
      <c r="P158" s="28">
        <f>IF(OR(N158="",O158=""),"",N158/O158-1)</f>
        <v/>
      </c>
      <c r="Q158" s="27">
        <f>IF(N158="","",N158/12)</f>
        <v/>
      </c>
      <c r="R158" s="27">
        <f>IF(N158="","",N158/IF(Baux!$L$15="Mensuelle",12,IF(Baux!$L$15="Trimestrielle",4,IF(Baux!$L$15="Semestrielle",2,1))))</f>
        <v/>
      </c>
      <c r="S158" s="27">
        <f>IF(AD158=0,"",IF(Baux!$J$15="",0,Baux!$J$15)/IF(Baux!$L$15="Mensuelle",12,IF(Baux!$L$15="Trimestrielle",4,IF(Baux!$L$15="Semestrielle",2,1))))</f>
        <v/>
      </c>
      <c r="T158" s="27">
        <f>IF(R158="","",(R158+S158)*Baux!$K$15/100)</f>
        <v/>
      </c>
      <c r="U158" s="27">
        <f>IF(R158="","",R158+S158+T158)</f>
        <v/>
      </c>
      <c r="V158" s="17">
        <f>IF(AD158=0,"",IF(LEFT(K158,5)="Geler","❄ Gelée",IF(G158="",IF(D158&lt;=TODAY(),"⚠ Indice attendu","À venir"),IF(D158&lt;=TODAY(),"✔ Calculable","Indice connu – à venir"))))</f>
        <v/>
      </c>
      <c r="W158" s="29" t="n"/>
      <c r="X158" s="13" t="n"/>
      <c r="Y158" s="14" t="n"/>
      <c r="Z158" s="14" t="n"/>
      <c r="AA158" s="13" t="n"/>
      <c r="AB158" s="17">
        <f>IF(A158="","",A158&amp;"#"&amp;C158)</f>
        <v/>
      </c>
      <c r="AC158" s="17">
        <f>IF(AND(AD158=1,D158&lt;=TODAY(),N158&lt;&gt;""),1,0)</f>
        <v/>
      </c>
      <c r="AD158" s="17">
        <f>IF(OR(A158="",D158=""),0,IF(AND(ISNUMBER(Baux!$H$15),D158&gt;Baux!$H$15),0,1))</f>
        <v/>
      </c>
    </row>
    <row r="159">
      <c r="A159" s="17">
        <f>IF(Baux!$A$15="","",Baux!$A$15)</f>
        <v/>
      </c>
      <c r="B159" s="17">
        <f>IF(A159="","",Baux!$B$15)</f>
        <v/>
      </c>
      <c r="C159" s="17" t="n">
        <v>2</v>
      </c>
      <c r="D159" s="15">
        <f>IF(OR(A159="",Baux!$F$15="",Baux!$O$15=""),"",EDATE(Baux!$F$15,12*Baux!$O$15*C159))</f>
        <v/>
      </c>
      <c r="E159" s="17">
        <f>IF(AD159=0,"",Baux!$M$15)</f>
        <v/>
      </c>
      <c r="F159" s="17">
        <f>IF(AD159=0,"",IFERROR(TEXT(VALUE(LEFT(Baux!$N$15,4))+C159*Baux!$O$15,"0")&amp;RIGHT(Baux!$N$15,3),""))</f>
        <v/>
      </c>
      <c r="G159" s="25">
        <f>IF(AD159=0,"",IF(F159="","",IF(SUMIFS(Indices_long!$C:$C,Indices_long!$A:$A,E159,Indices_long!$B:$B,F159)=0,"",SUMIFS(Indices_long!$C:$C,Indices_long!$A:$A,E159,Indices_long!$B:$B,F159))))</f>
        <v/>
      </c>
      <c r="H159" s="17">
        <f>IF(AD159=0,"",IF(Baux!$P$15="Base fixe",Baux!$N$15,IF(K158="Geler – rattrapage possible",H158,F158)))</f>
        <v/>
      </c>
      <c r="I159" s="25">
        <f>IF(AD159=0,"",IF(H159="","",IF(SUMIFS(Indices_long!$C:$C,Indices_long!$A:$A,E159,Indices_long!$B:$B,H159)=0,"",SUMIFS(Indices_long!$C:$C,Indices_long!$A:$A,E159,Indices_long!$B:$B,H159))))</f>
        <v/>
      </c>
      <c r="J159" s="26">
        <f>IF(OR(G159="",I159=""),"",G159/I159)</f>
        <v/>
      </c>
      <c r="K159" s="13" t="n"/>
      <c r="L159" s="27">
        <f>IF(AD159=0,"",IF(Baux!$P$15="Base fixe",Baux!$I$15,N158))</f>
        <v/>
      </c>
      <c r="M159" s="27">
        <f>IF(OR(J159="",L159=""),"",ROUND(L159*J159,2))</f>
        <v/>
      </c>
      <c r="N159" s="27">
        <f>IF(AD159=0,"",IF(LEFT(K159,5)="Geler",O159,IF(M159="","",IF(Baux!$Q$15="",M159,MIN(M159,ROUND(L159*(1+Baux!$Q$15/100)^IF(Baux!$P$15="Base fixe",C159*Baux!$O$15,VALUE(LEFT(F159,4))-VALUE(LEFT(H159,4))),2))))))</f>
        <v/>
      </c>
      <c r="O159" s="27">
        <f>IF(AD159=0,"",N158)</f>
        <v/>
      </c>
      <c r="P159" s="28">
        <f>IF(OR(N159="",O159=""),"",N159/O159-1)</f>
        <v/>
      </c>
      <c r="Q159" s="27">
        <f>IF(N159="","",N159/12)</f>
        <v/>
      </c>
      <c r="R159" s="27">
        <f>IF(N159="","",N159/IF(Baux!$L$15="Mensuelle",12,IF(Baux!$L$15="Trimestrielle",4,IF(Baux!$L$15="Semestrielle",2,1))))</f>
        <v/>
      </c>
      <c r="S159" s="27">
        <f>IF(AD159=0,"",IF(Baux!$J$15="",0,Baux!$J$15)/IF(Baux!$L$15="Mensuelle",12,IF(Baux!$L$15="Trimestrielle",4,IF(Baux!$L$15="Semestrielle",2,1))))</f>
        <v/>
      </c>
      <c r="T159" s="27">
        <f>IF(R159="","",(R159+S159)*Baux!$K$15/100)</f>
        <v/>
      </c>
      <c r="U159" s="27">
        <f>IF(R159="","",R159+S159+T159)</f>
        <v/>
      </c>
      <c r="V159" s="17">
        <f>IF(AD159=0,"",IF(LEFT(K159,5)="Geler","❄ Gelée",IF(G159="",IF(D159&lt;=TODAY(),"⚠ Indice attendu","À venir"),IF(D159&lt;=TODAY(),"✔ Calculable","Indice connu – à venir"))))</f>
        <v/>
      </c>
      <c r="W159" s="29" t="n"/>
      <c r="X159" s="13" t="n"/>
      <c r="Y159" s="14" t="n"/>
      <c r="Z159" s="14" t="n"/>
      <c r="AA159" s="13" t="n"/>
      <c r="AB159" s="17">
        <f>IF(A159="","",A159&amp;"#"&amp;C159)</f>
        <v/>
      </c>
      <c r="AC159" s="17">
        <f>IF(AND(AD159=1,D159&lt;=TODAY(),N159&lt;&gt;""),1,0)</f>
        <v/>
      </c>
      <c r="AD159" s="17">
        <f>IF(OR(A159="",D159=""),0,IF(AND(ISNUMBER(Baux!$H$15),D159&gt;Baux!$H$15),0,1))</f>
        <v/>
      </c>
    </row>
    <row r="160">
      <c r="A160" s="17">
        <f>IF(Baux!$A$15="","",Baux!$A$15)</f>
        <v/>
      </c>
      <c r="B160" s="17">
        <f>IF(A160="","",Baux!$B$15)</f>
        <v/>
      </c>
      <c r="C160" s="17" t="n">
        <v>3</v>
      </c>
      <c r="D160" s="15">
        <f>IF(OR(A160="",Baux!$F$15="",Baux!$O$15=""),"",EDATE(Baux!$F$15,12*Baux!$O$15*C160))</f>
        <v/>
      </c>
      <c r="E160" s="17">
        <f>IF(AD160=0,"",Baux!$M$15)</f>
        <v/>
      </c>
      <c r="F160" s="17">
        <f>IF(AD160=0,"",IFERROR(TEXT(VALUE(LEFT(Baux!$N$15,4))+C160*Baux!$O$15,"0")&amp;RIGHT(Baux!$N$15,3),""))</f>
        <v/>
      </c>
      <c r="G160" s="25">
        <f>IF(AD160=0,"",IF(F160="","",IF(SUMIFS(Indices_long!$C:$C,Indices_long!$A:$A,E160,Indices_long!$B:$B,F160)=0,"",SUMIFS(Indices_long!$C:$C,Indices_long!$A:$A,E160,Indices_long!$B:$B,F160))))</f>
        <v/>
      </c>
      <c r="H160" s="17">
        <f>IF(AD160=0,"",IF(Baux!$P$15="Base fixe",Baux!$N$15,IF(K159="Geler – rattrapage possible",H159,F159)))</f>
        <v/>
      </c>
      <c r="I160" s="25">
        <f>IF(AD160=0,"",IF(H160="","",IF(SUMIFS(Indices_long!$C:$C,Indices_long!$A:$A,E160,Indices_long!$B:$B,H160)=0,"",SUMIFS(Indices_long!$C:$C,Indices_long!$A:$A,E160,Indices_long!$B:$B,H160))))</f>
        <v/>
      </c>
      <c r="J160" s="26">
        <f>IF(OR(G160="",I160=""),"",G160/I160)</f>
        <v/>
      </c>
      <c r="K160" s="13" t="n"/>
      <c r="L160" s="27">
        <f>IF(AD160=0,"",IF(Baux!$P$15="Base fixe",Baux!$I$15,N159))</f>
        <v/>
      </c>
      <c r="M160" s="27">
        <f>IF(OR(J160="",L160=""),"",ROUND(L160*J160,2))</f>
        <v/>
      </c>
      <c r="N160" s="27">
        <f>IF(AD160=0,"",IF(LEFT(K160,5)="Geler",O160,IF(M160="","",IF(Baux!$Q$15="",M160,MIN(M160,ROUND(L160*(1+Baux!$Q$15/100)^IF(Baux!$P$15="Base fixe",C160*Baux!$O$15,VALUE(LEFT(F160,4))-VALUE(LEFT(H160,4))),2))))))</f>
        <v/>
      </c>
      <c r="O160" s="27">
        <f>IF(AD160=0,"",N159)</f>
        <v/>
      </c>
      <c r="P160" s="28">
        <f>IF(OR(N160="",O160=""),"",N160/O160-1)</f>
        <v/>
      </c>
      <c r="Q160" s="27">
        <f>IF(N160="","",N160/12)</f>
        <v/>
      </c>
      <c r="R160" s="27">
        <f>IF(N160="","",N160/IF(Baux!$L$15="Mensuelle",12,IF(Baux!$L$15="Trimestrielle",4,IF(Baux!$L$15="Semestrielle",2,1))))</f>
        <v/>
      </c>
      <c r="S160" s="27">
        <f>IF(AD160=0,"",IF(Baux!$J$15="",0,Baux!$J$15)/IF(Baux!$L$15="Mensuelle",12,IF(Baux!$L$15="Trimestrielle",4,IF(Baux!$L$15="Semestrielle",2,1))))</f>
        <v/>
      </c>
      <c r="T160" s="27">
        <f>IF(R160="","",(R160+S160)*Baux!$K$15/100)</f>
        <v/>
      </c>
      <c r="U160" s="27">
        <f>IF(R160="","",R160+S160+T160)</f>
        <v/>
      </c>
      <c r="V160" s="17">
        <f>IF(AD160=0,"",IF(LEFT(K160,5)="Geler","❄ Gelée",IF(G160="",IF(D160&lt;=TODAY(),"⚠ Indice attendu","À venir"),IF(D160&lt;=TODAY(),"✔ Calculable","Indice connu – à venir"))))</f>
        <v/>
      </c>
      <c r="W160" s="29" t="n"/>
      <c r="X160" s="13" t="n"/>
      <c r="Y160" s="14" t="n"/>
      <c r="Z160" s="14" t="n"/>
      <c r="AA160" s="13" t="n"/>
      <c r="AB160" s="17">
        <f>IF(A160="","",A160&amp;"#"&amp;C160)</f>
        <v/>
      </c>
      <c r="AC160" s="17">
        <f>IF(AND(AD160=1,D160&lt;=TODAY(),N160&lt;&gt;""),1,0)</f>
        <v/>
      </c>
      <c r="AD160" s="17">
        <f>IF(OR(A160="",D160=""),0,IF(AND(ISNUMBER(Baux!$H$15),D160&gt;Baux!$H$15),0,1))</f>
        <v/>
      </c>
    </row>
    <row r="161">
      <c r="A161" s="17">
        <f>IF(Baux!$A$15="","",Baux!$A$15)</f>
        <v/>
      </c>
      <c r="B161" s="17">
        <f>IF(A161="","",Baux!$B$15)</f>
        <v/>
      </c>
      <c r="C161" s="17" t="n">
        <v>4</v>
      </c>
      <c r="D161" s="15">
        <f>IF(OR(A161="",Baux!$F$15="",Baux!$O$15=""),"",EDATE(Baux!$F$15,12*Baux!$O$15*C161))</f>
        <v/>
      </c>
      <c r="E161" s="17">
        <f>IF(AD161=0,"",Baux!$M$15)</f>
        <v/>
      </c>
      <c r="F161" s="17">
        <f>IF(AD161=0,"",IFERROR(TEXT(VALUE(LEFT(Baux!$N$15,4))+C161*Baux!$O$15,"0")&amp;RIGHT(Baux!$N$15,3),""))</f>
        <v/>
      </c>
      <c r="G161" s="25">
        <f>IF(AD161=0,"",IF(F161="","",IF(SUMIFS(Indices_long!$C:$C,Indices_long!$A:$A,E161,Indices_long!$B:$B,F161)=0,"",SUMIFS(Indices_long!$C:$C,Indices_long!$A:$A,E161,Indices_long!$B:$B,F161))))</f>
        <v/>
      </c>
      <c r="H161" s="17">
        <f>IF(AD161=0,"",IF(Baux!$P$15="Base fixe",Baux!$N$15,IF(K160="Geler – rattrapage possible",H160,F160)))</f>
        <v/>
      </c>
      <c r="I161" s="25">
        <f>IF(AD161=0,"",IF(H161="","",IF(SUMIFS(Indices_long!$C:$C,Indices_long!$A:$A,E161,Indices_long!$B:$B,H161)=0,"",SUMIFS(Indices_long!$C:$C,Indices_long!$A:$A,E161,Indices_long!$B:$B,H161))))</f>
        <v/>
      </c>
      <c r="J161" s="26">
        <f>IF(OR(G161="",I161=""),"",G161/I161)</f>
        <v/>
      </c>
      <c r="K161" s="13" t="n"/>
      <c r="L161" s="27">
        <f>IF(AD161=0,"",IF(Baux!$P$15="Base fixe",Baux!$I$15,N160))</f>
        <v/>
      </c>
      <c r="M161" s="27">
        <f>IF(OR(J161="",L161=""),"",ROUND(L161*J161,2))</f>
        <v/>
      </c>
      <c r="N161" s="27">
        <f>IF(AD161=0,"",IF(LEFT(K161,5)="Geler",O161,IF(M161="","",IF(Baux!$Q$15="",M161,MIN(M161,ROUND(L161*(1+Baux!$Q$15/100)^IF(Baux!$P$15="Base fixe",C161*Baux!$O$15,VALUE(LEFT(F161,4))-VALUE(LEFT(H161,4))),2))))))</f>
        <v/>
      </c>
      <c r="O161" s="27">
        <f>IF(AD161=0,"",N160)</f>
        <v/>
      </c>
      <c r="P161" s="28">
        <f>IF(OR(N161="",O161=""),"",N161/O161-1)</f>
        <v/>
      </c>
      <c r="Q161" s="27">
        <f>IF(N161="","",N161/12)</f>
        <v/>
      </c>
      <c r="R161" s="27">
        <f>IF(N161="","",N161/IF(Baux!$L$15="Mensuelle",12,IF(Baux!$L$15="Trimestrielle",4,IF(Baux!$L$15="Semestrielle",2,1))))</f>
        <v/>
      </c>
      <c r="S161" s="27">
        <f>IF(AD161=0,"",IF(Baux!$J$15="",0,Baux!$J$15)/IF(Baux!$L$15="Mensuelle",12,IF(Baux!$L$15="Trimestrielle",4,IF(Baux!$L$15="Semestrielle",2,1))))</f>
        <v/>
      </c>
      <c r="T161" s="27">
        <f>IF(R161="","",(R161+S161)*Baux!$K$15/100)</f>
        <v/>
      </c>
      <c r="U161" s="27">
        <f>IF(R161="","",R161+S161+T161)</f>
        <v/>
      </c>
      <c r="V161" s="17">
        <f>IF(AD161=0,"",IF(LEFT(K161,5)="Geler","❄ Gelée",IF(G161="",IF(D161&lt;=TODAY(),"⚠ Indice attendu","À venir"),IF(D161&lt;=TODAY(),"✔ Calculable","Indice connu – à venir"))))</f>
        <v/>
      </c>
      <c r="W161" s="29" t="n"/>
      <c r="X161" s="13" t="n"/>
      <c r="Y161" s="14" t="n"/>
      <c r="Z161" s="14" t="n"/>
      <c r="AA161" s="13" t="n"/>
      <c r="AB161" s="17">
        <f>IF(A161="","",A161&amp;"#"&amp;C161)</f>
        <v/>
      </c>
      <c r="AC161" s="17">
        <f>IF(AND(AD161=1,D161&lt;=TODAY(),N161&lt;&gt;""),1,0)</f>
        <v/>
      </c>
      <c r="AD161" s="17">
        <f>IF(OR(A161="",D161=""),0,IF(AND(ISNUMBER(Baux!$H$15),D161&gt;Baux!$H$15),0,1))</f>
        <v/>
      </c>
    </row>
    <row r="162">
      <c r="A162" s="17">
        <f>IF(Baux!$A$15="","",Baux!$A$15)</f>
        <v/>
      </c>
      <c r="B162" s="17">
        <f>IF(A162="","",Baux!$B$15)</f>
        <v/>
      </c>
      <c r="C162" s="17" t="n">
        <v>5</v>
      </c>
      <c r="D162" s="15">
        <f>IF(OR(A162="",Baux!$F$15="",Baux!$O$15=""),"",EDATE(Baux!$F$15,12*Baux!$O$15*C162))</f>
        <v/>
      </c>
      <c r="E162" s="17">
        <f>IF(AD162=0,"",Baux!$M$15)</f>
        <v/>
      </c>
      <c r="F162" s="17">
        <f>IF(AD162=0,"",IFERROR(TEXT(VALUE(LEFT(Baux!$N$15,4))+C162*Baux!$O$15,"0")&amp;RIGHT(Baux!$N$15,3),""))</f>
        <v/>
      </c>
      <c r="G162" s="25">
        <f>IF(AD162=0,"",IF(F162="","",IF(SUMIFS(Indices_long!$C:$C,Indices_long!$A:$A,E162,Indices_long!$B:$B,F162)=0,"",SUMIFS(Indices_long!$C:$C,Indices_long!$A:$A,E162,Indices_long!$B:$B,F162))))</f>
        <v/>
      </c>
      <c r="H162" s="17">
        <f>IF(AD162=0,"",IF(Baux!$P$15="Base fixe",Baux!$N$15,IF(K161="Geler – rattrapage possible",H161,F161)))</f>
        <v/>
      </c>
      <c r="I162" s="25">
        <f>IF(AD162=0,"",IF(H162="","",IF(SUMIFS(Indices_long!$C:$C,Indices_long!$A:$A,E162,Indices_long!$B:$B,H162)=0,"",SUMIFS(Indices_long!$C:$C,Indices_long!$A:$A,E162,Indices_long!$B:$B,H162))))</f>
        <v/>
      </c>
      <c r="J162" s="26">
        <f>IF(OR(G162="",I162=""),"",G162/I162)</f>
        <v/>
      </c>
      <c r="K162" s="13" t="n"/>
      <c r="L162" s="27">
        <f>IF(AD162=0,"",IF(Baux!$P$15="Base fixe",Baux!$I$15,N161))</f>
        <v/>
      </c>
      <c r="M162" s="27">
        <f>IF(OR(J162="",L162=""),"",ROUND(L162*J162,2))</f>
        <v/>
      </c>
      <c r="N162" s="27">
        <f>IF(AD162=0,"",IF(LEFT(K162,5)="Geler",O162,IF(M162="","",IF(Baux!$Q$15="",M162,MIN(M162,ROUND(L162*(1+Baux!$Q$15/100)^IF(Baux!$P$15="Base fixe",C162*Baux!$O$15,VALUE(LEFT(F162,4))-VALUE(LEFT(H162,4))),2))))))</f>
        <v/>
      </c>
      <c r="O162" s="27">
        <f>IF(AD162=0,"",N161)</f>
        <v/>
      </c>
      <c r="P162" s="28">
        <f>IF(OR(N162="",O162=""),"",N162/O162-1)</f>
        <v/>
      </c>
      <c r="Q162" s="27">
        <f>IF(N162="","",N162/12)</f>
        <v/>
      </c>
      <c r="R162" s="27">
        <f>IF(N162="","",N162/IF(Baux!$L$15="Mensuelle",12,IF(Baux!$L$15="Trimestrielle",4,IF(Baux!$L$15="Semestrielle",2,1))))</f>
        <v/>
      </c>
      <c r="S162" s="27">
        <f>IF(AD162=0,"",IF(Baux!$J$15="",0,Baux!$J$15)/IF(Baux!$L$15="Mensuelle",12,IF(Baux!$L$15="Trimestrielle",4,IF(Baux!$L$15="Semestrielle",2,1))))</f>
        <v/>
      </c>
      <c r="T162" s="27">
        <f>IF(R162="","",(R162+S162)*Baux!$K$15/100)</f>
        <v/>
      </c>
      <c r="U162" s="27">
        <f>IF(R162="","",R162+S162+T162)</f>
        <v/>
      </c>
      <c r="V162" s="17">
        <f>IF(AD162=0,"",IF(LEFT(K162,5)="Geler","❄ Gelée",IF(G162="",IF(D162&lt;=TODAY(),"⚠ Indice attendu","À venir"),IF(D162&lt;=TODAY(),"✔ Calculable","Indice connu – à venir"))))</f>
        <v/>
      </c>
      <c r="W162" s="29" t="n"/>
      <c r="X162" s="13" t="n"/>
      <c r="Y162" s="14" t="n"/>
      <c r="Z162" s="14" t="n"/>
      <c r="AA162" s="13" t="n"/>
      <c r="AB162" s="17">
        <f>IF(A162="","",A162&amp;"#"&amp;C162)</f>
        <v/>
      </c>
      <c r="AC162" s="17">
        <f>IF(AND(AD162=1,D162&lt;=TODAY(),N162&lt;&gt;""),1,0)</f>
        <v/>
      </c>
      <c r="AD162" s="17">
        <f>IF(OR(A162="",D162=""),0,IF(AND(ISNUMBER(Baux!$H$15),D162&gt;Baux!$H$15),0,1))</f>
        <v/>
      </c>
    </row>
    <row r="163">
      <c r="A163" s="17">
        <f>IF(Baux!$A$15="","",Baux!$A$15)</f>
        <v/>
      </c>
      <c r="B163" s="17">
        <f>IF(A163="","",Baux!$B$15)</f>
        <v/>
      </c>
      <c r="C163" s="17" t="n">
        <v>6</v>
      </c>
      <c r="D163" s="15">
        <f>IF(OR(A163="",Baux!$F$15="",Baux!$O$15=""),"",EDATE(Baux!$F$15,12*Baux!$O$15*C163))</f>
        <v/>
      </c>
      <c r="E163" s="17">
        <f>IF(AD163=0,"",Baux!$M$15)</f>
        <v/>
      </c>
      <c r="F163" s="17">
        <f>IF(AD163=0,"",IFERROR(TEXT(VALUE(LEFT(Baux!$N$15,4))+C163*Baux!$O$15,"0")&amp;RIGHT(Baux!$N$15,3),""))</f>
        <v/>
      </c>
      <c r="G163" s="25">
        <f>IF(AD163=0,"",IF(F163="","",IF(SUMIFS(Indices_long!$C:$C,Indices_long!$A:$A,E163,Indices_long!$B:$B,F163)=0,"",SUMIFS(Indices_long!$C:$C,Indices_long!$A:$A,E163,Indices_long!$B:$B,F163))))</f>
        <v/>
      </c>
      <c r="H163" s="17">
        <f>IF(AD163=0,"",IF(Baux!$P$15="Base fixe",Baux!$N$15,IF(K162="Geler – rattrapage possible",H162,F162)))</f>
        <v/>
      </c>
      <c r="I163" s="25">
        <f>IF(AD163=0,"",IF(H163="","",IF(SUMIFS(Indices_long!$C:$C,Indices_long!$A:$A,E163,Indices_long!$B:$B,H163)=0,"",SUMIFS(Indices_long!$C:$C,Indices_long!$A:$A,E163,Indices_long!$B:$B,H163))))</f>
        <v/>
      </c>
      <c r="J163" s="26">
        <f>IF(OR(G163="",I163=""),"",G163/I163)</f>
        <v/>
      </c>
      <c r="K163" s="13" t="n"/>
      <c r="L163" s="27">
        <f>IF(AD163=0,"",IF(Baux!$P$15="Base fixe",Baux!$I$15,N162))</f>
        <v/>
      </c>
      <c r="M163" s="27">
        <f>IF(OR(J163="",L163=""),"",ROUND(L163*J163,2))</f>
        <v/>
      </c>
      <c r="N163" s="27">
        <f>IF(AD163=0,"",IF(LEFT(K163,5)="Geler",O163,IF(M163="","",IF(Baux!$Q$15="",M163,MIN(M163,ROUND(L163*(1+Baux!$Q$15/100)^IF(Baux!$P$15="Base fixe",C163*Baux!$O$15,VALUE(LEFT(F163,4))-VALUE(LEFT(H163,4))),2))))))</f>
        <v/>
      </c>
      <c r="O163" s="27">
        <f>IF(AD163=0,"",N162)</f>
        <v/>
      </c>
      <c r="P163" s="28">
        <f>IF(OR(N163="",O163=""),"",N163/O163-1)</f>
        <v/>
      </c>
      <c r="Q163" s="27">
        <f>IF(N163="","",N163/12)</f>
        <v/>
      </c>
      <c r="R163" s="27">
        <f>IF(N163="","",N163/IF(Baux!$L$15="Mensuelle",12,IF(Baux!$L$15="Trimestrielle",4,IF(Baux!$L$15="Semestrielle",2,1))))</f>
        <v/>
      </c>
      <c r="S163" s="27">
        <f>IF(AD163=0,"",IF(Baux!$J$15="",0,Baux!$J$15)/IF(Baux!$L$15="Mensuelle",12,IF(Baux!$L$15="Trimestrielle",4,IF(Baux!$L$15="Semestrielle",2,1))))</f>
        <v/>
      </c>
      <c r="T163" s="27">
        <f>IF(R163="","",(R163+S163)*Baux!$K$15/100)</f>
        <v/>
      </c>
      <c r="U163" s="27">
        <f>IF(R163="","",R163+S163+T163)</f>
        <v/>
      </c>
      <c r="V163" s="17">
        <f>IF(AD163=0,"",IF(LEFT(K163,5)="Geler","❄ Gelée",IF(G163="",IF(D163&lt;=TODAY(),"⚠ Indice attendu","À venir"),IF(D163&lt;=TODAY(),"✔ Calculable","Indice connu – à venir"))))</f>
        <v/>
      </c>
      <c r="W163" s="29" t="n"/>
      <c r="X163" s="13" t="n"/>
      <c r="Y163" s="14" t="n"/>
      <c r="Z163" s="14" t="n"/>
      <c r="AA163" s="13" t="n"/>
      <c r="AB163" s="17">
        <f>IF(A163="","",A163&amp;"#"&amp;C163)</f>
        <v/>
      </c>
      <c r="AC163" s="17">
        <f>IF(AND(AD163=1,D163&lt;=TODAY(),N163&lt;&gt;""),1,0)</f>
        <v/>
      </c>
      <c r="AD163" s="17">
        <f>IF(OR(A163="",D163=""),0,IF(AND(ISNUMBER(Baux!$H$15),D163&gt;Baux!$H$15),0,1))</f>
        <v/>
      </c>
    </row>
    <row r="164">
      <c r="A164" s="17">
        <f>IF(Baux!$A$15="","",Baux!$A$15)</f>
        <v/>
      </c>
      <c r="B164" s="17">
        <f>IF(A164="","",Baux!$B$15)</f>
        <v/>
      </c>
      <c r="C164" s="17" t="n">
        <v>7</v>
      </c>
      <c r="D164" s="15">
        <f>IF(OR(A164="",Baux!$F$15="",Baux!$O$15=""),"",EDATE(Baux!$F$15,12*Baux!$O$15*C164))</f>
        <v/>
      </c>
      <c r="E164" s="17">
        <f>IF(AD164=0,"",Baux!$M$15)</f>
        <v/>
      </c>
      <c r="F164" s="17">
        <f>IF(AD164=0,"",IFERROR(TEXT(VALUE(LEFT(Baux!$N$15,4))+C164*Baux!$O$15,"0")&amp;RIGHT(Baux!$N$15,3),""))</f>
        <v/>
      </c>
      <c r="G164" s="25">
        <f>IF(AD164=0,"",IF(F164="","",IF(SUMIFS(Indices_long!$C:$C,Indices_long!$A:$A,E164,Indices_long!$B:$B,F164)=0,"",SUMIFS(Indices_long!$C:$C,Indices_long!$A:$A,E164,Indices_long!$B:$B,F164))))</f>
        <v/>
      </c>
      <c r="H164" s="17">
        <f>IF(AD164=0,"",IF(Baux!$P$15="Base fixe",Baux!$N$15,IF(K163="Geler – rattrapage possible",H163,F163)))</f>
        <v/>
      </c>
      <c r="I164" s="25">
        <f>IF(AD164=0,"",IF(H164="","",IF(SUMIFS(Indices_long!$C:$C,Indices_long!$A:$A,E164,Indices_long!$B:$B,H164)=0,"",SUMIFS(Indices_long!$C:$C,Indices_long!$A:$A,E164,Indices_long!$B:$B,H164))))</f>
        <v/>
      </c>
      <c r="J164" s="26">
        <f>IF(OR(G164="",I164=""),"",G164/I164)</f>
        <v/>
      </c>
      <c r="K164" s="13" t="n"/>
      <c r="L164" s="27">
        <f>IF(AD164=0,"",IF(Baux!$P$15="Base fixe",Baux!$I$15,N163))</f>
        <v/>
      </c>
      <c r="M164" s="27">
        <f>IF(OR(J164="",L164=""),"",ROUND(L164*J164,2))</f>
        <v/>
      </c>
      <c r="N164" s="27">
        <f>IF(AD164=0,"",IF(LEFT(K164,5)="Geler",O164,IF(M164="","",IF(Baux!$Q$15="",M164,MIN(M164,ROUND(L164*(1+Baux!$Q$15/100)^IF(Baux!$P$15="Base fixe",C164*Baux!$O$15,VALUE(LEFT(F164,4))-VALUE(LEFT(H164,4))),2))))))</f>
        <v/>
      </c>
      <c r="O164" s="27">
        <f>IF(AD164=0,"",N163)</f>
        <v/>
      </c>
      <c r="P164" s="28">
        <f>IF(OR(N164="",O164=""),"",N164/O164-1)</f>
        <v/>
      </c>
      <c r="Q164" s="27">
        <f>IF(N164="","",N164/12)</f>
        <v/>
      </c>
      <c r="R164" s="27">
        <f>IF(N164="","",N164/IF(Baux!$L$15="Mensuelle",12,IF(Baux!$L$15="Trimestrielle",4,IF(Baux!$L$15="Semestrielle",2,1))))</f>
        <v/>
      </c>
      <c r="S164" s="27">
        <f>IF(AD164=0,"",IF(Baux!$J$15="",0,Baux!$J$15)/IF(Baux!$L$15="Mensuelle",12,IF(Baux!$L$15="Trimestrielle",4,IF(Baux!$L$15="Semestrielle",2,1))))</f>
        <v/>
      </c>
      <c r="T164" s="27">
        <f>IF(R164="","",(R164+S164)*Baux!$K$15/100)</f>
        <v/>
      </c>
      <c r="U164" s="27">
        <f>IF(R164="","",R164+S164+T164)</f>
        <v/>
      </c>
      <c r="V164" s="17">
        <f>IF(AD164=0,"",IF(LEFT(K164,5)="Geler","❄ Gelée",IF(G164="",IF(D164&lt;=TODAY(),"⚠ Indice attendu","À venir"),IF(D164&lt;=TODAY(),"✔ Calculable","Indice connu – à venir"))))</f>
        <v/>
      </c>
      <c r="W164" s="29" t="n"/>
      <c r="X164" s="13" t="n"/>
      <c r="Y164" s="14" t="n"/>
      <c r="Z164" s="14" t="n"/>
      <c r="AA164" s="13" t="n"/>
      <c r="AB164" s="17">
        <f>IF(A164="","",A164&amp;"#"&amp;C164)</f>
        <v/>
      </c>
      <c r="AC164" s="17">
        <f>IF(AND(AD164=1,D164&lt;=TODAY(),N164&lt;&gt;""),1,0)</f>
        <v/>
      </c>
      <c r="AD164" s="17">
        <f>IF(OR(A164="",D164=""),0,IF(AND(ISNUMBER(Baux!$H$15),D164&gt;Baux!$H$15),0,1))</f>
        <v/>
      </c>
    </row>
    <row r="165">
      <c r="A165" s="17">
        <f>IF(Baux!$A$15="","",Baux!$A$15)</f>
        <v/>
      </c>
      <c r="B165" s="17">
        <f>IF(A165="","",Baux!$B$15)</f>
        <v/>
      </c>
      <c r="C165" s="17" t="n">
        <v>8</v>
      </c>
      <c r="D165" s="15">
        <f>IF(OR(A165="",Baux!$F$15="",Baux!$O$15=""),"",EDATE(Baux!$F$15,12*Baux!$O$15*C165))</f>
        <v/>
      </c>
      <c r="E165" s="17">
        <f>IF(AD165=0,"",Baux!$M$15)</f>
        <v/>
      </c>
      <c r="F165" s="17">
        <f>IF(AD165=0,"",IFERROR(TEXT(VALUE(LEFT(Baux!$N$15,4))+C165*Baux!$O$15,"0")&amp;RIGHT(Baux!$N$15,3),""))</f>
        <v/>
      </c>
      <c r="G165" s="25">
        <f>IF(AD165=0,"",IF(F165="","",IF(SUMIFS(Indices_long!$C:$C,Indices_long!$A:$A,E165,Indices_long!$B:$B,F165)=0,"",SUMIFS(Indices_long!$C:$C,Indices_long!$A:$A,E165,Indices_long!$B:$B,F165))))</f>
        <v/>
      </c>
      <c r="H165" s="17">
        <f>IF(AD165=0,"",IF(Baux!$P$15="Base fixe",Baux!$N$15,IF(K164="Geler – rattrapage possible",H164,F164)))</f>
        <v/>
      </c>
      <c r="I165" s="25">
        <f>IF(AD165=0,"",IF(H165="","",IF(SUMIFS(Indices_long!$C:$C,Indices_long!$A:$A,E165,Indices_long!$B:$B,H165)=0,"",SUMIFS(Indices_long!$C:$C,Indices_long!$A:$A,E165,Indices_long!$B:$B,H165))))</f>
        <v/>
      </c>
      <c r="J165" s="26">
        <f>IF(OR(G165="",I165=""),"",G165/I165)</f>
        <v/>
      </c>
      <c r="K165" s="13" t="n"/>
      <c r="L165" s="27">
        <f>IF(AD165=0,"",IF(Baux!$P$15="Base fixe",Baux!$I$15,N164))</f>
        <v/>
      </c>
      <c r="M165" s="27">
        <f>IF(OR(J165="",L165=""),"",ROUND(L165*J165,2))</f>
        <v/>
      </c>
      <c r="N165" s="27">
        <f>IF(AD165=0,"",IF(LEFT(K165,5)="Geler",O165,IF(M165="","",IF(Baux!$Q$15="",M165,MIN(M165,ROUND(L165*(1+Baux!$Q$15/100)^IF(Baux!$P$15="Base fixe",C165*Baux!$O$15,VALUE(LEFT(F165,4))-VALUE(LEFT(H165,4))),2))))))</f>
        <v/>
      </c>
      <c r="O165" s="27">
        <f>IF(AD165=0,"",N164)</f>
        <v/>
      </c>
      <c r="P165" s="28">
        <f>IF(OR(N165="",O165=""),"",N165/O165-1)</f>
        <v/>
      </c>
      <c r="Q165" s="27">
        <f>IF(N165="","",N165/12)</f>
        <v/>
      </c>
      <c r="R165" s="27">
        <f>IF(N165="","",N165/IF(Baux!$L$15="Mensuelle",12,IF(Baux!$L$15="Trimestrielle",4,IF(Baux!$L$15="Semestrielle",2,1))))</f>
        <v/>
      </c>
      <c r="S165" s="27">
        <f>IF(AD165=0,"",IF(Baux!$J$15="",0,Baux!$J$15)/IF(Baux!$L$15="Mensuelle",12,IF(Baux!$L$15="Trimestrielle",4,IF(Baux!$L$15="Semestrielle",2,1))))</f>
        <v/>
      </c>
      <c r="T165" s="27">
        <f>IF(R165="","",(R165+S165)*Baux!$K$15/100)</f>
        <v/>
      </c>
      <c r="U165" s="27">
        <f>IF(R165="","",R165+S165+T165)</f>
        <v/>
      </c>
      <c r="V165" s="17">
        <f>IF(AD165=0,"",IF(LEFT(K165,5)="Geler","❄ Gelée",IF(G165="",IF(D165&lt;=TODAY(),"⚠ Indice attendu","À venir"),IF(D165&lt;=TODAY(),"✔ Calculable","Indice connu – à venir"))))</f>
        <v/>
      </c>
      <c r="W165" s="29" t="n"/>
      <c r="X165" s="13" t="n"/>
      <c r="Y165" s="14" t="n"/>
      <c r="Z165" s="14" t="n"/>
      <c r="AA165" s="13" t="n"/>
      <c r="AB165" s="17">
        <f>IF(A165="","",A165&amp;"#"&amp;C165)</f>
        <v/>
      </c>
      <c r="AC165" s="17">
        <f>IF(AND(AD165=1,D165&lt;=TODAY(),N165&lt;&gt;""),1,0)</f>
        <v/>
      </c>
      <c r="AD165" s="17">
        <f>IF(OR(A165="",D165=""),0,IF(AND(ISNUMBER(Baux!$H$15),D165&gt;Baux!$H$15),0,1))</f>
        <v/>
      </c>
    </row>
    <row r="166">
      <c r="A166" s="17">
        <f>IF(Baux!$A$15="","",Baux!$A$15)</f>
        <v/>
      </c>
      <c r="B166" s="17">
        <f>IF(A166="","",Baux!$B$15)</f>
        <v/>
      </c>
      <c r="C166" s="17" t="n">
        <v>9</v>
      </c>
      <c r="D166" s="15">
        <f>IF(OR(A166="",Baux!$F$15="",Baux!$O$15=""),"",EDATE(Baux!$F$15,12*Baux!$O$15*C166))</f>
        <v/>
      </c>
      <c r="E166" s="17">
        <f>IF(AD166=0,"",Baux!$M$15)</f>
        <v/>
      </c>
      <c r="F166" s="17">
        <f>IF(AD166=0,"",IFERROR(TEXT(VALUE(LEFT(Baux!$N$15,4))+C166*Baux!$O$15,"0")&amp;RIGHT(Baux!$N$15,3),""))</f>
        <v/>
      </c>
      <c r="G166" s="25">
        <f>IF(AD166=0,"",IF(F166="","",IF(SUMIFS(Indices_long!$C:$C,Indices_long!$A:$A,E166,Indices_long!$B:$B,F166)=0,"",SUMIFS(Indices_long!$C:$C,Indices_long!$A:$A,E166,Indices_long!$B:$B,F166))))</f>
        <v/>
      </c>
      <c r="H166" s="17">
        <f>IF(AD166=0,"",IF(Baux!$P$15="Base fixe",Baux!$N$15,IF(K165="Geler – rattrapage possible",H165,F165)))</f>
        <v/>
      </c>
      <c r="I166" s="25">
        <f>IF(AD166=0,"",IF(H166="","",IF(SUMIFS(Indices_long!$C:$C,Indices_long!$A:$A,E166,Indices_long!$B:$B,H166)=0,"",SUMIFS(Indices_long!$C:$C,Indices_long!$A:$A,E166,Indices_long!$B:$B,H166))))</f>
        <v/>
      </c>
      <c r="J166" s="26">
        <f>IF(OR(G166="",I166=""),"",G166/I166)</f>
        <v/>
      </c>
      <c r="K166" s="13" t="n"/>
      <c r="L166" s="27">
        <f>IF(AD166=0,"",IF(Baux!$P$15="Base fixe",Baux!$I$15,N165))</f>
        <v/>
      </c>
      <c r="M166" s="27">
        <f>IF(OR(J166="",L166=""),"",ROUND(L166*J166,2))</f>
        <v/>
      </c>
      <c r="N166" s="27">
        <f>IF(AD166=0,"",IF(LEFT(K166,5)="Geler",O166,IF(M166="","",IF(Baux!$Q$15="",M166,MIN(M166,ROUND(L166*(1+Baux!$Q$15/100)^IF(Baux!$P$15="Base fixe",C166*Baux!$O$15,VALUE(LEFT(F166,4))-VALUE(LEFT(H166,4))),2))))))</f>
        <v/>
      </c>
      <c r="O166" s="27">
        <f>IF(AD166=0,"",N165)</f>
        <v/>
      </c>
      <c r="P166" s="28">
        <f>IF(OR(N166="",O166=""),"",N166/O166-1)</f>
        <v/>
      </c>
      <c r="Q166" s="27">
        <f>IF(N166="","",N166/12)</f>
        <v/>
      </c>
      <c r="R166" s="27">
        <f>IF(N166="","",N166/IF(Baux!$L$15="Mensuelle",12,IF(Baux!$L$15="Trimestrielle",4,IF(Baux!$L$15="Semestrielle",2,1))))</f>
        <v/>
      </c>
      <c r="S166" s="27">
        <f>IF(AD166=0,"",IF(Baux!$J$15="",0,Baux!$J$15)/IF(Baux!$L$15="Mensuelle",12,IF(Baux!$L$15="Trimestrielle",4,IF(Baux!$L$15="Semestrielle",2,1))))</f>
        <v/>
      </c>
      <c r="T166" s="27">
        <f>IF(R166="","",(R166+S166)*Baux!$K$15/100)</f>
        <v/>
      </c>
      <c r="U166" s="27">
        <f>IF(R166="","",R166+S166+T166)</f>
        <v/>
      </c>
      <c r="V166" s="17">
        <f>IF(AD166=0,"",IF(LEFT(K166,5)="Geler","❄ Gelée",IF(G166="",IF(D166&lt;=TODAY(),"⚠ Indice attendu","À venir"),IF(D166&lt;=TODAY(),"✔ Calculable","Indice connu – à venir"))))</f>
        <v/>
      </c>
      <c r="W166" s="29" t="n"/>
      <c r="X166" s="13" t="n"/>
      <c r="Y166" s="14" t="n"/>
      <c r="Z166" s="14" t="n"/>
      <c r="AA166" s="13" t="n"/>
      <c r="AB166" s="17">
        <f>IF(A166="","",A166&amp;"#"&amp;C166)</f>
        <v/>
      </c>
      <c r="AC166" s="17">
        <f>IF(AND(AD166=1,D166&lt;=TODAY(),N166&lt;&gt;""),1,0)</f>
        <v/>
      </c>
      <c r="AD166" s="17">
        <f>IF(OR(A166="",D166=""),0,IF(AND(ISNUMBER(Baux!$H$15),D166&gt;Baux!$H$15),0,1))</f>
        <v/>
      </c>
    </row>
    <row r="167">
      <c r="A167" s="17">
        <f>IF(Baux!$A$15="","",Baux!$A$15)</f>
        <v/>
      </c>
      <c r="B167" s="17">
        <f>IF(A167="","",Baux!$B$15)</f>
        <v/>
      </c>
      <c r="C167" s="17" t="n">
        <v>10</v>
      </c>
      <c r="D167" s="15">
        <f>IF(OR(A167="",Baux!$F$15="",Baux!$O$15=""),"",EDATE(Baux!$F$15,12*Baux!$O$15*C167))</f>
        <v/>
      </c>
      <c r="E167" s="17">
        <f>IF(AD167=0,"",Baux!$M$15)</f>
        <v/>
      </c>
      <c r="F167" s="17">
        <f>IF(AD167=0,"",IFERROR(TEXT(VALUE(LEFT(Baux!$N$15,4))+C167*Baux!$O$15,"0")&amp;RIGHT(Baux!$N$15,3),""))</f>
        <v/>
      </c>
      <c r="G167" s="25">
        <f>IF(AD167=0,"",IF(F167="","",IF(SUMIFS(Indices_long!$C:$C,Indices_long!$A:$A,E167,Indices_long!$B:$B,F167)=0,"",SUMIFS(Indices_long!$C:$C,Indices_long!$A:$A,E167,Indices_long!$B:$B,F167))))</f>
        <v/>
      </c>
      <c r="H167" s="17">
        <f>IF(AD167=0,"",IF(Baux!$P$15="Base fixe",Baux!$N$15,IF(K166="Geler – rattrapage possible",H166,F166)))</f>
        <v/>
      </c>
      <c r="I167" s="25">
        <f>IF(AD167=0,"",IF(H167="","",IF(SUMIFS(Indices_long!$C:$C,Indices_long!$A:$A,E167,Indices_long!$B:$B,H167)=0,"",SUMIFS(Indices_long!$C:$C,Indices_long!$A:$A,E167,Indices_long!$B:$B,H167))))</f>
        <v/>
      </c>
      <c r="J167" s="26">
        <f>IF(OR(G167="",I167=""),"",G167/I167)</f>
        <v/>
      </c>
      <c r="K167" s="13" t="n"/>
      <c r="L167" s="27">
        <f>IF(AD167=0,"",IF(Baux!$P$15="Base fixe",Baux!$I$15,N166))</f>
        <v/>
      </c>
      <c r="M167" s="27">
        <f>IF(OR(J167="",L167=""),"",ROUND(L167*J167,2))</f>
        <v/>
      </c>
      <c r="N167" s="27">
        <f>IF(AD167=0,"",IF(LEFT(K167,5)="Geler",O167,IF(M167="","",IF(Baux!$Q$15="",M167,MIN(M167,ROUND(L167*(1+Baux!$Q$15/100)^IF(Baux!$P$15="Base fixe",C167*Baux!$O$15,VALUE(LEFT(F167,4))-VALUE(LEFT(H167,4))),2))))))</f>
        <v/>
      </c>
      <c r="O167" s="27">
        <f>IF(AD167=0,"",N166)</f>
        <v/>
      </c>
      <c r="P167" s="28">
        <f>IF(OR(N167="",O167=""),"",N167/O167-1)</f>
        <v/>
      </c>
      <c r="Q167" s="27">
        <f>IF(N167="","",N167/12)</f>
        <v/>
      </c>
      <c r="R167" s="27">
        <f>IF(N167="","",N167/IF(Baux!$L$15="Mensuelle",12,IF(Baux!$L$15="Trimestrielle",4,IF(Baux!$L$15="Semestrielle",2,1))))</f>
        <v/>
      </c>
      <c r="S167" s="27">
        <f>IF(AD167=0,"",IF(Baux!$J$15="",0,Baux!$J$15)/IF(Baux!$L$15="Mensuelle",12,IF(Baux!$L$15="Trimestrielle",4,IF(Baux!$L$15="Semestrielle",2,1))))</f>
        <v/>
      </c>
      <c r="T167" s="27">
        <f>IF(R167="","",(R167+S167)*Baux!$K$15/100)</f>
        <v/>
      </c>
      <c r="U167" s="27">
        <f>IF(R167="","",R167+S167+T167)</f>
        <v/>
      </c>
      <c r="V167" s="17">
        <f>IF(AD167=0,"",IF(LEFT(K167,5)="Geler","❄ Gelée",IF(G167="",IF(D167&lt;=TODAY(),"⚠ Indice attendu","À venir"),IF(D167&lt;=TODAY(),"✔ Calculable","Indice connu – à venir"))))</f>
        <v/>
      </c>
      <c r="W167" s="29" t="n"/>
      <c r="X167" s="13" t="n"/>
      <c r="Y167" s="14" t="n"/>
      <c r="Z167" s="14" t="n"/>
      <c r="AA167" s="13" t="n"/>
      <c r="AB167" s="17">
        <f>IF(A167="","",A167&amp;"#"&amp;C167)</f>
        <v/>
      </c>
      <c r="AC167" s="17">
        <f>IF(AND(AD167=1,D167&lt;=TODAY(),N167&lt;&gt;""),1,0)</f>
        <v/>
      </c>
      <c r="AD167" s="17">
        <f>IF(OR(A167="",D167=""),0,IF(AND(ISNUMBER(Baux!$H$15),D167&gt;Baux!$H$15),0,1))</f>
        <v/>
      </c>
    </row>
    <row r="168">
      <c r="A168" s="17">
        <f>IF(Baux!$A$15="","",Baux!$A$15)</f>
        <v/>
      </c>
      <c r="B168" s="17">
        <f>IF(A168="","",Baux!$B$15)</f>
        <v/>
      </c>
      <c r="C168" s="17" t="n">
        <v>11</v>
      </c>
      <c r="D168" s="15">
        <f>IF(OR(A168="",Baux!$F$15="",Baux!$O$15=""),"",EDATE(Baux!$F$15,12*Baux!$O$15*C168))</f>
        <v/>
      </c>
      <c r="E168" s="17">
        <f>IF(AD168=0,"",Baux!$M$15)</f>
        <v/>
      </c>
      <c r="F168" s="17">
        <f>IF(AD168=0,"",IFERROR(TEXT(VALUE(LEFT(Baux!$N$15,4))+C168*Baux!$O$15,"0")&amp;RIGHT(Baux!$N$15,3),""))</f>
        <v/>
      </c>
      <c r="G168" s="25">
        <f>IF(AD168=0,"",IF(F168="","",IF(SUMIFS(Indices_long!$C:$C,Indices_long!$A:$A,E168,Indices_long!$B:$B,F168)=0,"",SUMIFS(Indices_long!$C:$C,Indices_long!$A:$A,E168,Indices_long!$B:$B,F168))))</f>
        <v/>
      </c>
      <c r="H168" s="17">
        <f>IF(AD168=0,"",IF(Baux!$P$15="Base fixe",Baux!$N$15,IF(K167="Geler – rattrapage possible",H167,F167)))</f>
        <v/>
      </c>
      <c r="I168" s="25">
        <f>IF(AD168=0,"",IF(H168="","",IF(SUMIFS(Indices_long!$C:$C,Indices_long!$A:$A,E168,Indices_long!$B:$B,H168)=0,"",SUMIFS(Indices_long!$C:$C,Indices_long!$A:$A,E168,Indices_long!$B:$B,H168))))</f>
        <v/>
      </c>
      <c r="J168" s="26">
        <f>IF(OR(G168="",I168=""),"",G168/I168)</f>
        <v/>
      </c>
      <c r="K168" s="13" t="n"/>
      <c r="L168" s="27">
        <f>IF(AD168=0,"",IF(Baux!$P$15="Base fixe",Baux!$I$15,N167))</f>
        <v/>
      </c>
      <c r="M168" s="27">
        <f>IF(OR(J168="",L168=""),"",ROUND(L168*J168,2))</f>
        <v/>
      </c>
      <c r="N168" s="27">
        <f>IF(AD168=0,"",IF(LEFT(K168,5)="Geler",O168,IF(M168="","",IF(Baux!$Q$15="",M168,MIN(M168,ROUND(L168*(1+Baux!$Q$15/100)^IF(Baux!$P$15="Base fixe",C168*Baux!$O$15,VALUE(LEFT(F168,4))-VALUE(LEFT(H168,4))),2))))))</f>
        <v/>
      </c>
      <c r="O168" s="27">
        <f>IF(AD168=0,"",N167)</f>
        <v/>
      </c>
      <c r="P168" s="28">
        <f>IF(OR(N168="",O168=""),"",N168/O168-1)</f>
        <v/>
      </c>
      <c r="Q168" s="27">
        <f>IF(N168="","",N168/12)</f>
        <v/>
      </c>
      <c r="R168" s="27">
        <f>IF(N168="","",N168/IF(Baux!$L$15="Mensuelle",12,IF(Baux!$L$15="Trimestrielle",4,IF(Baux!$L$15="Semestrielle",2,1))))</f>
        <v/>
      </c>
      <c r="S168" s="27">
        <f>IF(AD168=0,"",IF(Baux!$J$15="",0,Baux!$J$15)/IF(Baux!$L$15="Mensuelle",12,IF(Baux!$L$15="Trimestrielle",4,IF(Baux!$L$15="Semestrielle",2,1))))</f>
        <v/>
      </c>
      <c r="T168" s="27">
        <f>IF(R168="","",(R168+S168)*Baux!$K$15/100)</f>
        <v/>
      </c>
      <c r="U168" s="27">
        <f>IF(R168="","",R168+S168+T168)</f>
        <v/>
      </c>
      <c r="V168" s="17">
        <f>IF(AD168=0,"",IF(LEFT(K168,5)="Geler","❄ Gelée",IF(G168="",IF(D168&lt;=TODAY(),"⚠ Indice attendu","À venir"),IF(D168&lt;=TODAY(),"✔ Calculable","Indice connu – à venir"))))</f>
        <v/>
      </c>
      <c r="W168" s="29" t="n"/>
      <c r="X168" s="13" t="n"/>
      <c r="Y168" s="14" t="n"/>
      <c r="Z168" s="14" t="n"/>
      <c r="AA168" s="13" t="n"/>
      <c r="AB168" s="17">
        <f>IF(A168="","",A168&amp;"#"&amp;C168)</f>
        <v/>
      </c>
      <c r="AC168" s="17">
        <f>IF(AND(AD168=1,D168&lt;=TODAY(),N168&lt;&gt;""),1,0)</f>
        <v/>
      </c>
      <c r="AD168" s="17">
        <f>IF(OR(A168="",D168=""),0,IF(AND(ISNUMBER(Baux!$H$15),D168&gt;Baux!$H$15),0,1))</f>
        <v/>
      </c>
    </row>
    <row r="169">
      <c r="A169" s="17">
        <f>IF(Baux!$A$15="","",Baux!$A$15)</f>
        <v/>
      </c>
      <c r="B169" s="17">
        <f>IF(A169="","",Baux!$B$15)</f>
        <v/>
      </c>
      <c r="C169" s="17" t="n">
        <v>12</v>
      </c>
      <c r="D169" s="15">
        <f>IF(OR(A169="",Baux!$F$15="",Baux!$O$15=""),"",EDATE(Baux!$F$15,12*Baux!$O$15*C169))</f>
        <v/>
      </c>
      <c r="E169" s="17">
        <f>IF(AD169=0,"",Baux!$M$15)</f>
        <v/>
      </c>
      <c r="F169" s="17">
        <f>IF(AD169=0,"",IFERROR(TEXT(VALUE(LEFT(Baux!$N$15,4))+C169*Baux!$O$15,"0")&amp;RIGHT(Baux!$N$15,3),""))</f>
        <v/>
      </c>
      <c r="G169" s="25">
        <f>IF(AD169=0,"",IF(F169="","",IF(SUMIFS(Indices_long!$C:$C,Indices_long!$A:$A,E169,Indices_long!$B:$B,F169)=0,"",SUMIFS(Indices_long!$C:$C,Indices_long!$A:$A,E169,Indices_long!$B:$B,F169))))</f>
        <v/>
      </c>
      <c r="H169" s="17">
        <f>IF(AD169=0,"",IF(Baux!$P$15="Base fixe",Baux!$N$15,IF(K168="Geler – rattrapage possible",H168,F168)))</f>
        <v/>
      </c>
      <c r="I169" s="25">
        <f>IF(AD169=0,"",IF(H169="","",IF(SUMIFS(Indices_long!$C:$C,Indices_long!$A:$A,E169,Indices_long!$B:$B,H169)=0,"",SUMIFS(Indices_long!$C:$C,Indices_long!$A:$A,E169,Indices_long!$B:$B,H169))))</f>
        <v/>
      </c>
      <c r="J169" s="26">
        <f>IF(OR(G169="",I169=""),"",G169/I169)</f>
        <v/>
      </c>
      <c r="K169" s="13" t="n"/>
      <c r="L169" s="27">
        <f>IF(AD169=0,"",IF(Baux!$P$15="Base fixe",Baux!$I$15,N168))</f>
        <v/>
      </c>
      <c r="M169" s="27">
        <f>IF(OR(J169="",L169=""),"",ROUND(L169*J169,2))</f>
        <v/>
      </c>
      <c r="N169" s="27">
        <f>IF(AD169=0,"",IF(LEFT(K169,5)="Geler",O169,IF(M169="","",IF(Baux!$Q$15="",M169,MIN(M169,ROUND(L169*(1+Baux!$Q$15/100)^IF(Baux!$P$15="Base fixe",C169*Baux!$O$15,VALUE(LEFT(F169,4))-VALUE(LEFT(H169,4))),2))))))</f>
        <v/>
      </c>
      <c r="O169" s="27">
        <f>IF(AD169=0,"",N168)</f>
        <v/>
      </c>
      <c r="P169" s="28">
        <f>IF(OR(N169="",O169=""),"",N169/O169-1)</f>
        <v/>
      </c>
      <c r="Q169" s="27">
        <f>IF(N169="","",N169/12)</f>
        <v/>
      </c>
      <c r="R169" s="27">
        <f>IF(N169="","",N169/IF(Baux!$L$15="Mensuelle",12,IF(Baux!$L$15="Trimestrielle",4,IF(Baux!$L$15="Semestrielle",2,1))))</f>
        <v/>
      </c>
      <c r="S169" s="27">
        <f>IF(AD169=0,"",IF(Baux!$J$15="",0,Baux!$J$15)/IF(Baux!$L$15="Mensuelle",12,IF(Baux!$L$15="Trimestrielle",4,IF(Baux!$L$15="Semestrielle",2,1))))</f>
        <v/>
      </c>
      <c r="T169" s="27">
        <f>IF(R169="","",(R169+S169)*Baux!$K$15/100)</f>
        <v/>
      </c>
      <c r="U169" s="27">
        <f>IF(R169="","",R169+S169+T169)</f>
        <v/>
      </c>
      <c r="V169" s="17">
        <f>IF(AD169=0,"",IF(LEFT(K169,5)="Geler","❄ Gelée",IF(G169="",IF(D169&lt;=TODAY(),"⚠ Indice attendu","À venir"),IF(D169&lt;=TODAY(),"✔ Calculable","Indice connu – à venir"))))</f>
        <v/>
      </c>
      <c r="W169" s="29" t="n"/>
      <c r="X169" s="13" t="n"/>
      <c r="Y169" s="14" t="n"/>
      <c r="Z169" s="14" t="n"/>
      <c r="AA169" s="13" t="n"/>
      <c r="AB169" s="17">
        <f>IF(A169="","",A169&amp;"#"&amp;C169)</f>
        <v/>
      </c>
      <c r="AC169" s="17">
        <f>IF(AND(AD169=1,D169&lt;=TODAY(),N169&lt;&gt;""),1,0)</f>
        <v/>
      </c>
      <c r="AD169" s="17">
        <f>IF(OR(A169="",D169=""),0,IF(AND(ISNUMBER(Baux!$H$15),D169&gt;Baux!$H$15),0,1))</f>
        <v/>
      </c>
    </row>
    <row r="170">
      <c r="A170" s="17">
        <f>IF(Baux!$A$16="","",Baux!$A$16)</f>
        <v/>
      </c>
      <c r="B170" s="17">
        <f>IF(A170="","",Baux!$B$16)</f>
        <v/>
      </c>
      <c r="C170" s="17" t="n">
        <v>1</v>
      </c>
      <c r="D170" s="15">
        <f>IF(OR(A170="",Baux!$F$16="",Baux!$O$16=""),"",EDATE(Baux!$F$16,12*Baux!$O$16*C170))</f>
        <v/>
      </c>
      <c r="E170" s="17">
        <f>IF(AD170=0,"",Baux!$M$16)</f>
        <v/>
      </c>
      <c r="F170" s="17">
        <f>IF(AD170=0,"",IFERROR(TEXT(VALUE(LEFT(Baux!$N$16,4))+C170*Baux!$O$16,"0")&amp;RIGHT(Baux!$N$16,3),""))</f>
        <v/>
      </c>
      <c r="G170" s="25">
        <f>IF(AD170=0,"",IF(F170="","",IF(SUMIFS(Indices_long!$C:$C,Indices_long!$A:$A,E170,Indices_long!$B:$B,F170)=0,"",SUMIFS(Indices_long!$C:$C,Indices_long!$A:$A,E170,Indices_long!$B:$B,F170))))</f>
        <v/>
      </c>
      <c r="H170" s="17">
        <f>IF(AD170=0,"",Baux!$N$16)</f>
        <v/>
      </c>
      <c r="I170" s="25">
        <f>IF(AD170=0,"",IF(H170="","",IF(SUMIFS(Indices_long!$C:$C,Indices_long!$A:$A,E170,Indices_long!$B:$B,H170)=0,"",SUMIFS(Indices_long!$C:$C,Indices_long!$A:$A,E170,Indices_long!$B:$B,H170))))</f>
        <v/>
      </c>
      <c r="J170" s="26">
        <f>IF(OR(G170="",I170=""),"",G170/I170)</f>
        <v/>
      </c>
      <c r="K170" s="13" t="n"/>
      <c r="L170" s="27">
        <f>IF(AD170=0,"",Baux!$I$16)</f>
        <v/>
      </c>
      <c r="M170" s="27">
        <f>IF(OR(J170="",L170=""),"",ROUND(L170*J170,2))</f>
        <v/>
      </c>
      <c r="N170" s="27">
        <f>IF(AD170=0,"",IF(LEFT(K170,5)="Geler",O170,IF(M170="","",IF(Baux!$Q$16="",M170,MIN(M170,ROUND(L170*(1+Baux!$Q$16/100)^IF(Baux!$P$16="Base fixe",C170*Baux!$O$16,VALUE(LEFT(F170,4))-VALUE(LEFT(H170,4))),2))))))</f>
        <v/>
      </c>
      <c r="O170" s="27">
        <f>IF(AD170=0,"",Baux!$I$16)</f>
        <v/>
      </c>
      <c r="P170" s="28">
        <f>IF(OR(N170="",O170=""),"",N170/O170-1)</f>
        <v/>
      </c>
      <c r="Q170" s="27">
        <f>IF(N170="","",N170/12)</f>
        <v/>
      </c>
      <c r="R170" s="27">
        <f>IF(N170="","",N170/IF(Baux!$L$16="Mensuelle",12,IF(Baux!$L$16="Trimestrielle",4,IF(Baux!$L$16="Semestrielle",2,1))))</f>
        <v/>
      </c>
      <c r="S170" s="27">
        <f>IF(AD170=0,"",IF(Baux!$J$16="",0,Baux!$J$16)/IF(Baux!$L$16="Mensuelle",12,IF(Baux!$L$16="Trimestrielle",4,IF(Baux!$L$16="Semestrielle",2,1))))</f>
        <v/>
      </c>
      <c r="T170" s="27">
        <f>IF(R170="","",(R170+S170)*Baux!$K$16/100)</f>
        <v/>
      </c>
      <c r="U170" s="27">
        <f>IF(R170="","",R170+S170+T170)</f>
        <v/>
      </c>
      <c r="V170" s="17">
        <f>IF(AD170=0,"",IF(LEFT(K170,5)="Geler","❄ Gelée",IF(G170="",IF(D170&lt;=TODAY(),"⚠ Indice attendu","À venir"),IF(D170&lt;=TODAY(),"✔ Calculable","Indice connu – à venir"))))</f>
        <v/>
      </c>
      <c r="W170" s="29" t="n"/>
      <c r="X170" s="13" t="n"/>
      <c r="Y170" s="14" t="n"/>
      <c r="Z170" s="14" t="n"/>
      <c r="AA170" s="13" t="n"/>
      <c r="AB170" s="17">
        <f>IF(A170="","",A170&amp;"#"&amp;C170)</f>
        <v/>
      </c>
      <c r="AC170" s="17">
        <f>IF(AND(AD170=1,D170&lt;=TODAY(),N170&lt;&gt;""),1,0)</f>
        <v/>
      </c>
      <c r="AD170" s="17">
        <f>IF(OR(A170="",D170=""),0,IF(AND(ISNUMBER(Baux!$H$16),D170&gt;Baux!$H$16),0,1))</f>
        <v/>
      </c>
    </row>
    <row r="171">
      <c r="A171" s="17">
        <f>IF(Baux!$A$16="","",Baux!$A$16)</f>
        <v/>
      </c>
      <c r="B171" s="17">
        <f>IF(A171="","",Baux!$B$16)</f>
        <v/>
      </c>
      <c r="C171" s="17" t="n">
        <v>2</v>
      </c>
      <c r="D171" s="15">
        <f>IF(OR(A171="",Baux!$F$16="",Baux!$O$16=""),"",EDATE(Baux!$F$16,12*Baux!$O$16*C171))</f>
        <v/>
      </c>
      <c r="E171" s="17">
        <f>IF(AD171=0,"",Baux!$M$16)</f>
        <v/>
      </c>
      <c r="F171" s="17">
        <f>IF(AD171=0,"",IFERROR(TEXT(VALUE(LEFT(Baux!$N$16,4))+C171*Baux!$O$16,"0")&amp;RIGHT(Baux!$N$16,3),""))</f>
        <v/>
      </c>
      <c r="G171" s="25">
        <f>IF(AD171=0,"",IF(F171="","",IF(SUMIFS(Indices_long!$C:$C,Indices_long!$A:$A,E171,Indices_long!$B:$B,F171)=0,"",SUMIFS(Indices_long!$C:$C,Indices_long!$A:$A,E171,Indices_long!$B:$B,F171))))</f>
        <v/>
      </c>
      <c r="H171" s="17">
        <f>IF(AD171=0,"",IF(Baux!$P$16="Base fixe",Baux!$N$16,IF(K170="Geler – rattrapage possible",H170,F170)))</f>
        <v/>
      </c>
      <c r="I171" s="25">
        <f>IF(AD171=0,"",IF(H171="","",IF(SUMIFS(Indices_long!$C:$C,Indices_long!$A:$A,E171,Indices_long!$B:$B,H171)=0,"",SUMIFS(Indices_long!$C:$C,Indices_long!$A:$A,E171,Indices_long!$B:$B,H171))))</f>
        <v/>
      </c>
      <c r="J171" s="26">
        <f>IF(OR(G171="",I171=""),"",G171/I171)</f>
        <v/>
      </c>
      <c r="K171" s="13" t="n"/>
      <c r="L171" s="27">
        <f>IF(AD171=0,"",IF(Baux!$P$16="Base fixe",Baux!$I$16,N170))</f>
        <v/>
      </c>
      <c r="M171" s="27">
        <f>IF(OR(J171="",L171=""),"",ROUND(L171*J171,2))</f>
        <v/>
      </c>
      <c r="N171" s="27">
        <f>IF(AD171=0,"",IF(LEFT(K171,5)="Geler",O171,IF(M171="","",IF(Baux!$Q$16="",M171,MIN(M171,ROUND(L171*(1+Baux!$Q$16/100)^IF(Baux!$P$16="Base fixe",C171*Baux!$O$16,VALUE(LEFT(F171,4))-VALUE(LEFT(H171,4))),2))))))</f>
        <v/>
      </c>
      <c r="O171" s="27">
        <f>IF(AD171=0,"",N170)</f>
        <v/>
      </c>
      <c r="P171" s="28">
        <f>IF(OR(N171="",O171=""),"",N171/O171-1)</f>
        <v/>
      </c>
      <c r="Q171" s="27">
        <f>IF(N171="","",N171/12)</f>
        <v/>
      </c>
      <c r="R171" s="27">
        <f>IF(N171="","",N171/IF(Baux!$L$16="Mensuelle",12,IF(Baux!$L$16="Trimestrielle",4,IF(Baux!$L$16="Semestrielle",2,1))))</f>
        <v/>
      </c>
      <c r="S171" s="27">
        <f>IF(AD171=0,"",IF(Baux!$J$16="",0,Baux!$J$16)/IF(Baux!$L$16="Mensuelle",12,IF(Baux!$L$16="Trimestrielle",4,IF(Baux!$L$16="Semestrielle",2,1))))</f>
        <v/>
      </c>
      <c r="T171" s="27">
        <f>IF(R171="","",(R171+S171)*Baux!$K$16/100)</f>
        <v/>
      </c>
      <c r="U171" s="27">
        <f>IF(R171="","",R171+S171+T171)</f>
        <v/>
      </c>
      <c r="V171" s="17">
        <f>IF(AD171=0,"",IF(LEFT(K171,5)="Geler","❄ Gelée",IF(G171="",IF(D171&lt;=TODAY(),"⚠ Indice attendu","À venir"),IF(D171&lt;=TODAY(),"✔ Calculable","Indice connu – à venir"))))</f>
        <v/>
      </c>
      <c r="W171" s="29" t="n"/>
      <c r="X171" s="13" t="n"/>
      <c r="Y171" s="14" t="n"/>
      <c r="Z171" s="14" t="n"/>
      <c r="AA171" s="13" t="n"/>
      <c r="AB171" s="17">
        <f>IF(A171="","",A171&amp;"#"&amp;C171)</f>
        <v/>
      </c>
      <c r="AC171" s="17">
        <f>IF(AND(AD171=1,D171&lt;=TODAY(),N171&lt;&gt;""),1,0)</f>
        <v/>
      </c>
      <c r="AD171" s="17">
        <f>IF(OR(A171="",D171=""),0,IF(AND(ISNUMBER(Baux!$H$16),D171&gt;Baux!$H$16),0,1))</f>
        <v/>
      </c>
    </row>
    <row r="172">
      <c r="A172" s="17">
        <f>IF(Baux!$A$16="","",Baux!$A$16)</f>
        <v/>
      </c>
      <c r="B172" s="17">
        <f>IF(A172="","",Baux!$B$16)</f>
        <v/>
      </c>
      <c r="C172" s="17" t="n">
        <v>3</v>
      </c>
      <c r="D172" s="15">
        <f>IF(OR(A172="",Baux!$F$16="",Baux!$O$16=""),"",EDATE(Baux!$F$16,12*Baux!$O$16*C172))</f>
        <v/>
      </c>
      <c r="E172" s="17">
        <f>IF(AD172=0,"",Baux!$M$16)</f>
        <v/>
      </c>
      <c r="F172" s="17">
        <f>IF(AD172=0,"",IFERROR(TEXT(VALUE(LEFT(Baux!$N$16,4))+C172*Baux!$O$16,"0")&amp;RIGHT(Baux!$N$16,3),""))</f>
        <v/>
      </c>
      <c r="G172" s="25">
        <f>IF(AD172=0,"",IF(F172="","",IF(SUMIFS(Indices_long!$C:$C,Indices_long!$A:$A,E172,Indices_long!$B:$B,F172)=0,"",SUMIFS(Indices_long!$C:$C,Indices_long!$A:$A,E172,Indices_long!$B:$B,F172))))</f>
        <v/>
      </c>
      <c r="H172" s="17">
        <f>IF(AD172=0,"",IF(Baux!$P$16="Base fixe",Baux!$N$16,IF(K171="Geler – rattrapage possible",H171,F171)))</f>
        <v/>
      </c>
      <c r="I172" s="25">
        <f>IF(AD172=0,"",IF(H172="","",IF(SUMIFS(Indices_long!$C:$C,Indices_long!$A:$A,E172,Indices_long!$B:$B,H172)=0,"",SUMIFS(Indices_long!$C:$C,Indices_long!$A:$A,E172,Indices_long!$B:$B,H172))))</f>
        <v/>
      </c>
      <c r="J172" s="26">
        <f>IF(OR(G172="",I172=""),"",G172/I172)</f>
        <v/>
      </c>
      <c r="K172" s="13" t="n"/>
      <c r="L172" s="27">
        <f>IF(AD172=0,"",IF(Baux!$P$16="Base fixe",Baux!$I$16,N171))</f>
        <v/>
      </c>
      <c r="M172" s="27">
        <f>IF(OR(J172="",L172=""),"",ROUND(L172*J172,2))</f>
        <v/>
      </c>
      <c r="N172" s="27">
        <f>IF(AD172=0,"",IF(LEFT(K172,5)="Geler",O172,IF(M172="","",IF(Baux!$Q$16="",M172,MIN(M172,ROUND(L172*(1+Baux!$Q$16/100)^IF(Baux!$P$16="Base fixe",C172*Baux!$O$16,VALUE(LEFT(F172,4))-VALUE(LEFT(H172,4))),2))))))</f>
        <v/>
      </c>
      <c r="O172" s="27">
        <f>IF(AD172=0,"",N171)</f>
        <v/>
      </c>
      <c r="P172" s="28">
        <f>IF(OR(N172="",O172=""),"",N172/O172-1)</f>
        <v/>
      </c>
      <c r="Q172" s="27">
        <f>IF(N172="","",N172/12)</f>
        <v/>
      </c>
      <c r="R172" s="27">
        <f>IF(N172="","",N172/IF(Baux!$L$16="Mensuelle",12,IF(Baux!$L$16="Trimestrielle",4,IF(Baux!$L$16="Semestrielle",2,1))))</f>
        <v/>
      </c>
      <c r="S172" s="27">
        <f>IF(AD172=0,"",IF(Baux!$J$16="",0,Baux!$J$16)/IF(Baux!$L$16="Mensuelle",12,IF(Baux!$L$16="Trimestrielle",4,IF(Baux!$L$16="Semestrielle",2,1))))</f>
        <v/>
      </c>
      <c r="T172" s="27">
        <f>IF(R172="","",(R172+S172)*Baux!$K$16/100)</f>
        <v/>
      </c>
      <c r="U172" s="27">
        <f>IF(R172="","",R172+S172+T172)</f>
        <v/>
      </c>
      <c r="V172" s="17">
        <f>IF(AD172=0,"",IF(LEFT(K172,5)="Geler","❄ Gelée",IF(G172="",IF(D172&lt;=TODAY(),"⚠ Indice attendu","À venir"),IF(D172&lt;=TODAY(),"✔ Calculable","Indice connu – à venir"))))</f>
        <v/>
      </c>
      <c r="W172" s="29" t="n"/>
      <c r="X172" s="13" t="n"/>
      <c r="Y172" s="14" t="n"/>
      <c r="Z172" s="14" t="n"/>
      <c r="AA172" s="13" t="n"/>
      <c r="AB172" s="17">
        <f>IF(A172="","",A172&amp;"#"&amp;C172)</f>
        <v/>
      </c>
      <c r="AC172" s="17">
        <f>IF(AND(AD172=1,D172&lt;=TODAY(),N172&lt;&gt;""),1,0)</f>
        <v/>
      </c>
      <c r="AD172" s="17">
        <f>IF(OR(A172="",D172=""),0,IF(AND(ISNUMBER(Baux!$H$16),D172&gt;Baux!$H$16),0,1))</f>
        <v/>
      </c>
    </row>
    <row r="173">
      <c r="A173" s="17">
        <f>IF(Baux!$A$16="","",Baux!$A$16)</f>
        <v/>
      </c>
      <c r="B173" s="17">
        <f>IF(A173="","",Baux!$B$16)</f>
        <v/>
      </c>
      <c r="C173" s="17" t="n">
        <v>4</v>
      </c>
      <c r="D173" s="15">
        <f>IF(OR(A173="",Baux!$F$16="",Baux!$O$16=""),"",EDATE(Baux!$F$16,12*Baux!$O$16*C173))</f>
        <v/>
      </c>
      <c r="E173" s="17">
        <f>IF(AD173=0,"",Baux!$M$16)</f>
        <v/>
      </c>
      <c r="F173" s="17">
        <f>IF(AD173=0,"",IFERROR(TEXT(VALUE(LEFT(Baux!$N$16,4))+C173*Baux!$O$16,"0")&amp;RIGHT(Baux!$N$16,3),""))</f>
        <v/>
      </c>
      <c r="G173" s="25">
        <f>IF(AD173=0,"",IF(F173="","",IF(SUMIFS(Indices_long!$C:$C,Indices_long!$A:$A,E173,Indices_long!$B:$B,F173)=0,"",SUMIFS(Indices_long!$C:$C,Indices_long!$A:$A,E173,Indices_long!$B:$B,F173))))</f>
        <v/>
      </c>
      <c r="H173" s="17">
        <f>IF(AD173=0,"",IF(Baux!$P$16="Base fixe",Baux!$N$16,IF(K172="Geler – rattrapage possible",H172,F172)))</f>
        <v/>
      </c>
      <c r="I173" s="25">
        <f>IF(AD173=0,"",IF(H173="","",IF(SUMIFS(Indices_long!$C:$C,Indices_long!$A:$A,E173,Indices_long!$B:$B,H173)=0,"",SUMIFS(Indices_long!$C:$C,Indices_long!$A:$A,E173,Indices_long!$B:$B,H173))))</f>
        <v/>
      </c>
      <c r="J173" s="26">
        <f>IF(OR(G173="",I173=""),"",G173/I173)</f>
        <v/>
      </c>
      <c r="K173" s="13" t="n"/>
      <c r="L173" s="27">
        <f>IF(AD173=0,"",IF(Baux!$P$16="Base fixe",Baux!$I$16,N172))</f>
        <v/>
      </c>
      <c r="M173" s="27">
        <f>IF(OR(J173="",L173=""),"",ROUND(L173*J173,2))</f>
        <v/>
      </c>
      <c r="N173" s="27">
        <f>IF(AD173=0,"",IF(LEFT(K173,5)="Geler",O173,IF(M173="","",IF(Baux!$Q$16="",M173,MIN(M173,ROUND(L173*(1+Baux!$Q$16/100)^IF(Baux!$P$16="Base fixe",C173*Baux!$O$16,VALUE(LEFT(F173,4))-VALUE(LEFT(H173,4))),2))))))</f>
        <v/>
      </c>
      <c r="O173" s="27">
        <f>IF(AD173=0,"",N172)</f>
        <v/>
      </c>
      <c r="P173" s="28">
        <f>IF(OR(N173="",O173=""),"",N173/O173-1)</f>
        <v/>
      </c>
      <c r="Q173" s="27">
        <f>IF(N173="","",N173/12)</f>
        <v/>
      </c>
      <c r="R173" s="27">
        <f>IF(N173="","",N173/IF(Baux!$L$16="Mensuelle",12,IF(Baux!$L$16="Trimestrielle",4,IF(Baux!$L$16="Semestrielle",2,1))))</f>
        <v/>
      </c>
      <c r="S173" s="27">
        <f>IF(AD173=0,"",IF(Baux!$J$16="",0,Baux!$J$16)/IF(Baux!$L$16="Mensuelle",12,IF(Baux!$L$16="Trimestrielle",4,IF(Baux!$L$16="Semestrielle",2,1))))</f>
        <v/>
      </c>
      <c r="T173" s="27">
        <f>IF(R173="","",(R173+S173)*Baux!$K$16/100)</f>
        <v/>
      </c>
      <c r="U173" s="27">
        <f>IF(R173="","",R173+S173+T173)</f>
        <v/>
      </c>
      <c r="V173" s="17">
        <f>IF(AD173=0,"",IF(LEFT(K173,5)="Geler","❄ Gelée",IF(G173="",IF(D173&lt;=TODAY(),"⚠ Indice attendu","À venir"),IF(D173&lt;=TODAY(),"✔ Calculable","Indice connu – à venir"))))</f>
        <v/>
      </c>
      <c r="W173" s="29" t="n"/>
      <c r="X173" s="13" t="n"/>
      <c r="Y173" s="14" t="n"/>
      <c r="Z173" s="14" t="n"/>
      <c r="AA173" s="13" t="n"/>
      <c r="AB173" s="17">
        <f>IF(A173="","",A173&amp;"#"&amp;C173)</f>
        <v/>
      </c>
      <c r="AC173" s="17">
        <f>IF(AND(AD173=1,D173&lt;=TODAY(),N173&lt;&gt;""),1,0)</f>
        <v/>
      </c>
      <c r="AD173" s="17">
        <f>IF(OR(A173="",D173=""),0,IF(AND(ISNUMBER(Baux!$H$16),D173&gt;Baux!$H$16),0,1))</f>
        <v/>
      </c>
    </row>
    <row r="174">
      <c r="A174" s="17">
        <f>IF(Baux!$A$16="","",Baux!$A$16)</f>
        <v/>
      </c>
      <c r="B174" s="17">
        <f>IF(A174="","",Baux!$B$16)</f>
        <v/>
      </c>
      <c r="C174" s="17" t="n">
        <v>5</v>
      </c>
      <c r="D174" s="15">
        <f>IF(OR(A174="",Baux!$F$16="",Baux!$O$16=""),"",EDATE(Baux!$F$16,12*Baux!$O$16*C174))</f>
        <v/>
      </c>
      <c r="E174" s="17">
        <f>IF(AD174=0,"",Baux!$M$16)</f>
        <v/>
      </c>
      <c r="F174" s="17">
        <f>IF(AD174=0,"",IFERROR(TEXT(VALUE(LEFT(Baux!$N$16,4))+C174*Baux!$O$16,"0")&amp;RIGHT(Baux!$N$16,3),""))</f>
        <v/>
      </c>
      <c r="G174" s="25">
        <f>IF(AD174=0,"",IF(F174="","",IF(SUMIFS(Indices_long!$C:$C,Indices_long!$A:$A,E174,Indices_long!$B:$B,F174)=0,"",SUMIFS(Indices_long!$C:$C,Indices_long!$A:$A,E174,Indices_long!$B:$B,F174))))</f>
        <v/>
      </c>
      <c r="H174" s="17">
        <f>IF(AD174=0,"",IF(Baux!$P$16="Base fixe",Baux!$N$16,IF(K173="Geler – rattrapage possible",H173,F173)))</f>
        <v/>
      </c>
      <c r="I174" s="25">
        <f>IF(AD174=0,"",IF(H174="","",IF(SUMIFS(Indices_long!$C:$C,Indices_long!$A:$A,E174,Indices_long!$B:$B,H174)=0,"",SUMIFS(Indices_long!$C:$C,Indices_long!$A:$A,E174,Indices_long!$B:$B,H174))))</f>
        <v/>
      </c>
      <c r="J174" s="26">
        <f>IF(OR(G174="",I174=""),"",G174/I174)</f>
        <v/>
      </c>
      <c r="K174" s="13" t="n"/>
      <c r="L174" s="27">
        <f>IF(AD174=0,"",IF(Baux!$P$16="Base fixe",Baux!$I$16,N173))</f>
        <v/>
      </c>
      <c r="M174" s="27">
        <f>IF(OR(J174="",L174=""),"",ROUND(L174*J174,2))</f>
        <v/>
      </c>
      <c r="N174" s="27">
        <f>IF(AD174=0,"",IF(LEFT(K174,5)="Geler",O174,IF(M174="","",IF(Baux!$Q$16="",M174,MIN(M174,ROUND(L174*(1+Baux!$Q$16/100)^IF(Baux!$P$16="Base fixe",C174*Baux!$O$16,VALUE(LEFT(F174,4))-VALUE(LEFT(H174,4))),2))))))</f>
        <v/>
      </c>
      <c r="O174" s="27">
        <f>IF(AD174=0,"",N173)</f>
        <v/>
      </c>
      <c r="P174" s="28">
        <f>IF(OR(N174="",O174=""),"",N174/O174-1)</f>
        <v/>
      </c>
      <c r="Q174" s="27">
        <f>IF(N174="","",N174/12)</f>
        <v/>
      </c>
      <c r="R174" s="27">
        <f>IF(N174="","",N174/IF(Baux!$L$16="Mensuelle",12,IF(Baux!$L$16="Trimestrielle",4,IF(Baux!$L$16="Semestrielle",2,1))))</f>
        <v/>
      </c>
      <c r="S174" s="27">
        <f>IF(AD174=0,"",IF(Baux!$J$16="",0,Baux!$J$16)/IF(Baux!$L$16="Mensuelle",12,IF(Baux!$L$16="Trimestrielle",4,IF(Baux!$L$16="Semestrielle",2,1))))</f>
        <v/>
      </c>
      <c r="T174" s="27">
        <f>IF(R174="","",(R174+S174)*Baux!$K$16/100)</f>
        <v/>
      </c>
      <c r="U174" s="27">
        <f>IF(R174="","",R174+S174+T174)</f>
        <v/>
      </c>
      <c r="V174" s="17">
        <f>IF(AD174=0,"",IF(LEFT(K174,5)="Geler","❄ Gelée",IF(G174="",IF(D174&lt;=TODAY(),"⚠ Indice attendu","À venir"),IF(D174&lt;=TODAY(),"✔ Calculable","Indice connu – à venir"))))</f>
        <v/>
      </c>
      <c r="W174" s="29" t="n"/>
      <c r="X174" s="13" t="n"/>
      <c r="Y174" s="14" t="n"/>
      <c r="Z174" s="14" t="n"/>
      <c r="AA174" s="13" t="n"/>
      <c r="AB174" s="17">
        <f>IF(A174="","",A174&amp;"#"&amp;C174)</f>
        <v/>
      </c>
      <c r="AC174" s="17">
        <f>IF(AND(AD174=1,D174&lt;=TODAY(),N174&lt;&gt;""),1,0)</f>
        <v/>
      </c>
      <c r="AD174" s="17">
        <f>IF(OR(A174="",D174=""),0,IF(AND(ISNUMBER(Baux!$H$16),D174&gt;Baux!$H$16),0,1))</f>
        <v/>
      </c>
    </row>
    <row r="175">
      <c r="A175" s="17">
        <f>IF(Baux!$A$16="","",Baux!$A$16)</f>
        <v/>
      </c>
      <c r="B175" s="17">
        <f>IF(A175="","",Baux!$B$16)</f>
        <v/>
      </c>
      <c r="C175" s="17" t="n">
        <v>6</v>
      </c>
      <c r="D175" s="15">
        <f>IF(OR(A175="",Baux!$F$16="",Baux!$O$16=""),"",EDATE(Baux!$F$16,12*Baux!$O$16*C175))</f>
        <v/>
      </c>
      <c r="E175" s="17">
        <f>IF(AD175=0,"",Baux!$M$16)</f>
        <v/>
      </c>
      <c r="F175" s="17">
        <f>IF(AD175=0,"",IFERROR(TEXT(VALUE(LEFT(Baux!$N$16,4))+C175*Baux!$O$16,"0")&amp;RIGHT(Baux!$N$16,3),""))</f>
        <v/>
      </c>
      <c r="G175" s="25">
        <f>IF(AD175=0,"",IF(F175="","",IF(SUMIFS(Indices_long!$C:$C,Indices_long!$A:$A,E175,Indices_long!$B:$B,F175)=0,"",SUMIFS(Indices_long!$C:$C,Indices_long!$A:$A,E175,Indices_long!$B:$B,F175))))</f>
        <v/>
      </c>
      <c r="H175" s="17">
        <f>IF(AD175=0,"",IF(Baux!$P$16="Base fixe",Baux!$N$16,IF(K174="Geler – rattrapage possible",H174,F174)))</f>
        <v/>
      </c>
      <c r="I175" s="25">
        <f>IF(AD175=0,"",IF(H175="","",IF(SUMIFS(Indices_long!$C:$C,Indices_long!$A:$A,E175,Indices_long!$B:$B,H175)=0,"",SUMIFS(Indices_long!$C:$C,Indices_long!$A:$A,E175,Indices_long!$B:$B,H175))))</f>
        <v/>
      </c>
      <c r="J175" s="26">
        <f>IF(OR(G175="",I175=""),"",G175/I175)</f>
        <v/>
      </c>
      <c r="K175" s="13" t="n"/>
      <c r="L175" s="27">
        <f>IF(AD175=0,"",IF(Baux!$P$16="Base fixe",Baux!$I$16,N174))</f>
        <v/>
      </c>
      <c r="M175" s="27">
        <f>IF(OR(J175="",L175=""),"",ROUND(L175*J175,2))</f>
        <v/>
      </c>
      <c r="N175" s="27">
        <f>IF(AD175=0,"",IF(LEFT(K175,5)="Geler",O175,IF(M175="","",IF(Baux!$Q$16="",M175,MIN(M175,ROUND(L175*(1+Baux!$Q$16/100)^IF(Baux!$P$16="Base fixe",C175*Baux!$O$16,VALUE(LEFT(F175,4))-VALUE(LEFT(H175,4))),2))))))</f>
        <v/>
      </c>
      <c r="O175" s="27">
        <f>IF(AD175=0,"",N174)</f>
        <v/>
      </c>
      <c r="P175" s="28">
        <f>IF(OR(N175="",O175=""),"",N175/O175-1)</f>
        <v/>
      </c>
      <c r="Q175" s="27">
        <f>IF(N175="","",N175/12)</f>
        <v/>
      </c>
      <c r="R175" s="27">
        <f>IF(N175="","",N175/IF(Baux!$L$16="Mensuelle",12,IF(Baux!$L$16="Trimestrielle",4,IF(Baux!$L$16="Semestrielle",2,1))))</f>
        <v/>
      </c>
      <c r="S175" s="27">
        <f>IF(AD175=0,"",IF(Baux!$J$16="",0,Baux!$J$16)/IF(Baux!$L$16="Mensuelle",12,IF(Baux!$L$16="Trimestrielle",4,IF(Baux!$L$16="Semestrielle",2,1))))</f>
        <v/>
      </c>
      <c r="T175" s="27">
        <f>IF(R175="","",(R175+S175)*Baux!$K$16/100)</f>
        <v/>
      </c>
      <c r="U175" s="27">
        <f>IF(R175="","",R175+S175+T175)</f>
        <v/>
      </c>
      <c r="V175" s="17">
        <f>IF(AD175=0,"",IF(LEFT(K175,5)="Geler","❄ Gelée",IF(G175="",IF(D175&lt;=TODAY(),"⚠ Indice attendu","À venir"),IF(D175&lt;=TODAY(),"✔ Calculable","Indice connu – à venir"))))</f>
        <v/>
      </c>
      <c r="W175" s="29" t="n"/>
      <c r="X175" s="13" t="n"/>
      <c r="Y175" s="14" t="n"/>
      <c r="Z175" s="14" t="n"/>
      <c r="AA175" s="13" t="n"/>
      <c r="AB175" s="17">
        <f>IF(A175="","",A175&amp;"#"&amp;C175)</f>
        <v/>
      </c>
      <c r="AC175" s="17">
        <f>IF(AND(AD175=1,D175&lt;=TODAY(),N175&lt;&gt;""),1,0)</f>
        <v/>
      </c>
      <c r="AD175" s="17">
        <f>IF(OR(A175="",D175=""),0,IF(AND(ISNUMBER(Baux!$H$16),D175&gt;Baux!$H$16),0,1))</f>
        <v/>
      </c>
    </row>
    <row r="176">
      <c r="A176" s="17">
        <f>IF(Baux!$A$16="","",Baux!$A$16)</f>
        <v/>
      </c>
      <c r="B176" s="17">
        <f>IF(A176="","",Baux!$B$16)</f>
        <v/>
      </c>
      <c r="C176" s="17" t="n">
        <v>7</v>
      </c>
      <c r="D176" s="15">
        <f>IF(OR(A176="",Baux!$F$16="",Baux!$O$16=""),"",EDATE(Baux!$F$16,12*Baux!$O$16*C176))</f>
        <v/>
      </c>
      <c r="E176" s="17">
        <f>IF(AD176=0,"",Baux!$M$16)</f>
        <v/>
      </c>
      <c r="F176" s="17">
        <f>IF(AD176=0,"",IFERROR(TEXT(VALUE(LEFT(Baux!$N$16,4))+C176*Baux!$O$16,"0")&amp;RIGHT(Baux!$N$16,3),""))</f>
        <v/>
      </c>
      <c r="G176" s="25">
        <f>IF(AD176=0,"",IF(F176="","",IF(SUMIFS(Indices_long!$C:$C,Indices_long!$A:$A,E176,Indices_long!$B:$B,F176)=0,"",SUMIFS(Indices_long!$C:$C,Indices_long!$A:$A,E176,Indices_long!$B:$B,F176))))</f>
        <v/>
      </c>
      <c r="H176" s="17">
        <f>IF(AD176=0,"",IF(Baux!$P$16="Base fixe",Baux!$N$16,IF(K175="Geler – rattrapage possible",H175,F175)))</f>
        <v/>
      </c>
      <c r="I176" s="25">
        <f>IF(AD176=0,"",IF(H176="","",IF(SUMIFS(Indices_long!$C:$C,Indices_long!$A:$A,E176,Indices_long!$B:$B,H176)=0,"",SUMIFS(Indices_long!$C:$C,Indices_long!$A:$A,E176,Indices_long!$B:$B,H176))))</f>
        <v/>
      </c>
      <c r="J176" s="26">
        <f>IF(OR(G176="",I176=""),"",G176/I176)</f>
        <v/>
      </c>
      <c r="K176" s="13" t="n"/>
      <c r="L176" s="27">
        <f>IF(AD176=0,"",IF(Baux!$P$16="Base fixe",Baux!$I$16,N175))</f>
        <v/>
      </c>
      <c r="M176" s="27">
        <f>IF(OR(J176="",L176=""),"",ROUND(L176*J176,2))</f>
        <v/>
      </c>
      <c r="N176" s="27">
        <f>IF(AD176=0,"",IF(LEFT(K176,5)="Geler",O176,IF(M176="","",IF(Baux!$Q$16="",M176,MIN(M176,ROUND(L176*(1+Baux!$Q$16/100)^IF(Baux!$P$16="Base fixe",C176*Baux!$O$16,VALUE(LEFT(F176,4))-VALUE(LEFT(H176,4))),2))))))</f>
        <v/>
      </c>
      <c r="O176" s="27">
        <f>IF(AD176=0,"",N175)</f>
        <v/>
      </c>
      <c r="P176" s="28">
        <f>IF(OR(N176="",O176=""),"",N176/O176-1)</f>
        <v/>
      </c>
      <c r="Q176" s="27">
        <f>IF(N176="","",N176/12)</f>
        <v/>
      </c>
      <c r="R176" s="27">
        <f>IF(N176="","",N176/IF(Baux!$L$16="Mensuelle",12,IF(Baux!$L$16="Trimestrielle",4,IF(Baux!$L$16="Semestrielle",2,1))))</f>
        <v/>
      </c>
      <c r="S176" s="27">
        <f>IF(AD176=0,"",IF(Baux!$J$16="",0,Baux!$J$16)/IF(Baux!$L$16="Mensuelle",12,IF(Baux!$L$16="Trimestrielle",4,IF(Baux!$L$16="Semestrielle",2,1))))</f>
        <v/>
      </c>
      <c r="T176" s="27">
        <f>IF(R176="","",(R176+S176)*Baux!$K$16/100)</f>
        <v/>
      </c>
      <c r="U176" s="27">
        <f>IF(R176="","",R176+S176+T176)</f>
        <v/>
      </c>
      <c r="V176" s="17">
        <f>IF(AD176=0,"",IF(LEFT(K176,5)="Geler","❄ Gelée",IF(G176="",IF(D176&lt;=TODAY(),"⚠ Indice attendu","À venir"),IF(D176&lt;=TODAY(),"✔ Calculable","Indice connu – à venir"))))</f>
        <v/>
      </c>
      <c r="W176" s="29" t="n"/>
      <c r="X176" s="13" t="n"/>
      <c r="Y176" s="14" t="n"/>
      <c r="Z176" s="14" t="n"/>
      <c r="AA176" s="13" t="n"/>
      <c r="AB176" s="17">
        <f>IF(A176="","",A176&amp;"#"&amp;C176)</f>
        <v/>
      </c>
      <c r="AC176" s="17">
        <f>IF(AND(AD176=1,D176&lt;=TODAY(),N176&lt;&gt;""),1,0)</f>
        <v/>
      </c>
      <c r="AD176" s="17">
        <f>IF(OR(A176="",D176=""),0,IF(AND(ISNUMBER(Baux!$H$16),D176&gt;Baux!$H$16),0,1))</f>
        <v/>
      </c>
    </row>
    <row r="177">
      <c r="A177" s="17">
        <f>IF(Baux!$A$16="","",Baux!$A$16)</f>
        <v/>
      </c>
      <c r="B177" s="17">
        <f>IF(A177="","",Baux!$B$16)</f>
        <v/>
      </c>
      <c r="C177" s="17" t="n">
        <v>8</v>
      </c>
      <c r="D177" s="15">
        <f>IF(OR(A177="",Baux!$F$16="",Baux!$O$16=""),"",EDATE(Baux!$F$16,12*Baux!$O$16*C177))</f>
        <v/>
      </c>
      <c r="E177" s="17">
        <f>IF(AD177=0,"",Baux!$M$16)</f>
        <v/>
      </c>
      <c r="F177" s="17">
        <f>IF(AD177=0,"",IFERROR(TEXT(VALUE(LEFT(Baux!$N$16,4))+C177*Baux!$O$16,"0")&amp;RIGHT(Baux!$N$16,3),""))</f>
        <v/>
      </c>
      <c r="G177" s="25">
        <f>IF(AD177=0,"",IF(F177="","",IF(SUMIFS(Indices_long!$C:$C,Indices_long!$A:$A,E177,Indices_long!$B:$B,F177)=0,"",SUMIFS(Indices_long!$C:$C,Indices_long!$A:$A,E177,Indices_long!$B:$B,F177))))</f>
        <v/>
      </c>
      <c r="H177" s="17">
        <f>IF(AD177=0,"",IF(Baux!$P$16="Base fixe",Baux!$N$16,IF(K176="Geler – rattrapage possible",H176,F176)))</f>
        <v/>
      </c>
      <c r="I177" s="25">
        <f>IF(AD177=0,"",IF(H177="","",IF(SUMIFS(Indices_long!$C:$C,Indices_long!$A:$A,E177,Indices_long!$B:$B,H177)=0,"",SUMIFS(Indices_long!$C:$C,Indices_long!$A:$A,E177,Indices_long!$B:$B,H177))))</f>
        <v/>
      </c>
      <c r="J177" s="26">
        <f>IF(OR(G177="",I177=""),"",G177/I177)</f>
        <v/>
      </c>
      <c r="K177" s="13" t="n"/>
      <c r="L177" s="27">
        <f>IF(AD177=0,"",IF(Baux!$P$16="Base fixe",Baux!$I$16,N176))</f>
        <v/>
      </c>
      <c r="M177" s="27">
        <f>IF(OR(J177="",L177=""),"",ROUND(L177*J177,2))</f>
        <v/>
      </c>
      <c r="N177" s="27">
        <f>IF(AD177=0,"",IF(LEFT(K177,5)="Geler",O177,IF(M177="","",IF(Baux!$Q$16="",M177,MIN(M177,ROUND(L177*(1+Baux!$Q$16/100)^IF(Baux!$P$16="Base fixe",C177*Baux!$O$16,VALUE(LEFT(F177,4))-VALUE(LEFT(H177,4))),2))))))</f>
        <v/>
      </c>
      <c r="O177" s="27">
        <f>IF(AD177=0,"",N176)</f>
        <v/>
      </c>
      <c r="P177" s="28">
        <f>IF(OR(N177="",O177=""),"",N177/O177-1)</f>
        <v/>
      </c>
      <c r="Q177" s="27">
        <f>IF(N177="","",N177/12)</f>
        <v/>
      </c>
      <c r="R177" s="27">
        <f>IF(N177="","",N177/IF(Baux!$L$16="Mensuelle",12,IF(Baux!$L$16="Trimestrielle",4,IF(Baux!$L$16="Semestrielle",2,1))))</f>
        <v/>
      </c>
      <c r="S177" s="27">
        <f>IF(AD177=0,"",IF(Baux!$J$16="",0,Baux!$J$16)/IF(Baux!$L$16="Mensuelle",12,IF(Baux!$L$16="Trimestrielle",4,IF(Baux!$L$16="Semestrielle",2,1))))</f>
        <v/>
      </c>
      <c r="T177" s="27">
        <f>IF(R177="","",(R177+S177)*Baux!$K$16/100)</f>
        <v/>
      </c>
      <c r="U177" s="27">
        <f>IF(R177="","",R177+S177+T177)</f>
        <v/>
      </c>
      <c r="V177" s="17">
        <f>IF(AD177=0,"",IF(LEFT(K177,5)="Geler","❄ Gelée",IF(G177="",IF(D177&lt;=TODAY(),"⚠ Indice attendu","À venir"),IF(D177&lt;=TODAY(),"✔ Calculable","Indice connu – à venir"))))</f>
        <v/>
      </c>
      <c r="W177" s="29" t="n"/>
      <c r="X177" s="13" t="n"/>
      <c r="Y177" s="14" t="n"/>
      <c r="Z177" s="14" t="n"/>
      <c r="AA177" s="13" t="n"/>
      <c r="AB177" s="17">
        <f>IF(A177="","",A177&amp;"#"&amp;C177)</f>
        <v/>
      </c>
      <c r="AC177" s="17">
        <f>IF(AND(AD177=1,D177&lt;=TODAY(),N177&lt;&gt;""),1,0)</f>
        <v/>
      </c>
      <c r="AD177" s="17">
        <f>IF(OR(A177="",D177=""),0,IF(AND(ISNUMBER(Baux!$H$16),D177&gt;Baux!$H$16),0,1))</f>
        <v/>
      </c>
    </row>
    <row r="178">
      <c r="A178" s="17">
        <f>IF(Baux!$A$16="","",Baux!$A$16)</f>
        <v/>
      </c>
      <c r="B178" s="17">
        <f>IF(A178="","",Baux!$B$16)</f>
        <v/>
      </c>
      <c r="C178" s="17" t="n">
        <v>9</v>
      </c>
      <c r="D178" s="15">
        <f>IF(OR(A178="",Baux!$F$16="",Baux!$O$16=""),"",EDATE(Baux!$F$16,12*Baux!$O$16*C178))</f>
        <v/>
      </c>
      <c r="E178" s="17">
        <f>IF(AD178=0,"",Baux!$M$16)</f>
        <v/>
      </c>
      <c r="F178" s="17">
        <f>IF(AD178=0,"",IFERROR(TEXT(VALUE(LEFT(Baux!$N$16,4))+C178*Baux!$O$16,"0")&amp;RIGHT(Baux!$N$16,3),""))</f>
        <v/>
      </c>
      <c r="G178" s="25">
        <f>IF(AD178=0,"",IF(F178="","",IF(SUMIFS(Indices_long!$C:$C,Indices_long!$A:$A,E178,Indices_long!$B:$B,F178)=0,"",SUMIFS(Indices_long!$C:$C,Indices_long!$A:$A,E178,Indices_long!$B:$B,F178))))</f>
        <v/>
      </c>
      <c r="H178" s="17">
        <f>IF(AD178=0,"",IF(Baux!$P$16="Base fixe",Baux!$N$16,IF(K177="Geler – rattrapage possible",H177,F177)))</f>
        <v/>
      </c>
      <c r="I178" s="25">
        <f>IF(AD178=0,"",IF(H178="","",IF(SUMIFS(Indices_long!$C:$C,Indices_long!$A:$A,E178,Indices_long!$B:$B,H178)=0,"",SUMIFS(Indices_long!$C:$C,Indices_long!$A:$A,E178,Indices_long!$B:$B,H178))))</f>
        <v/>
      </c>
      <c r="J178" s="26">
        <f>IF(OR(G178="",I178=""),"",G178/I178)</f>
        <v/>
      </c>
      <c r="K178" s="13" t="n"/>
      <c r="L178" s="27">
        <f>IF(AD178=0,"",IF(Baux!$P$16="Base fixe",Baux!$I$16,N177))</f>
        <v/>
      </c>
      <c r="M178" s="27">
        <f>IF(OR(J178="",L178=""),"",ROUND(L178*J178,2))</f>
        <v/>
      </c>
      <c r="N178" s="27">
        <f>IF(AD178=0,"",IF(LEFT(K178,5)="Geler",O178,IF(M178="","",IF(Baux!$Q$16="",M178,MIN(M178,ROUND(L178*(1+Baux!$Q$16/100)^IF(Baux!$P$16="Base fixe",C178*Baux!$O$16,VALUE(LEFT(F178,4))-VALUE(LEFT(H178,4))),2))))))</f>
        <v/>
      </c>
      <c r="O178" s="27">
        <f>IF(AD178=0,"",N177)</f>
        <v/>
      </c>
      <c r="P178" s="28">
        <f>IF(OR(N178="",O178=""),"",N178/O178-1)</f>
        <v/>
      </c>
      <c r="Q178" s="27">
        <f>IF(N178="","",N178/12)</f>
        <v/>
      </c>
      <c r="R178" s="27">
        <f>IF(N178="","",N178/IF(Baux!$L$16="Mensuelle",12,IF(Baux!$L$16="Trimestrielle",4,IF(Baux!$L$16="Semestrielle",2,1))))</f>
        <v/>
      </c>
      <c r="S178" s="27">
        <f>IF(AD178=0,"",IF(Baux!$J$16="",0,Baux!$J$16)/IF(Baux!$L$16="Mensuelle",12,IF(Baux!$L$16="Trimestrielle",4,IF(Baux!$L$16="Semestrielle",2,1))))</f>
        <v/>
      </c>
      <c r="T178" s="27">
        <f>IF(R178="","",(R178+S178)*Baux!$K$16/100)</f>
        <v/>
      </c>
      <c r="U178" s="27">
        <f>IF(R178="","",R178+S178+T178)</f>
        <v/>
      </c>
      <c r="V178" s="17">
        <f>IF(AD178=0,"",IF(LEFT(K178,5)="Geler","❄ Gelée",IF(G178="",IF(D178&lt;=TODAY(),"⚠ Indice attendu","À venir"),IF(D178&lt;=TODAY(),"✔ Calculable","Indice connu – à venir"))))</f>
        <v/>
      </c>
      <c r="W178" s="29" t="n"/>
      <c r="X178" s="13" t="n"/>
      <c r="Y178" s="14" t="n"/>
      <c r="Z178" s="14" t="n"/>
      <c r="AA178" s="13" t="n"/>
      <c r="AB178" s="17">
        <f>IF(A178="","",A178&amp;"#"&amp;C178)</f>
        <v/>
      </c>
      <c r="AC178" s="17">
        <f>IF(AND(AD178=1,D178&lt;=TODAY(),N178&lt;&gt;""),1,0)</f>
        <v/>
      </c>
      <c r="AD178" s="17">
        <f>IF(OR(A178="",D178=""),0,IF(AND(ISNUMBER(Baux!$H$16),D178&gt;Baux!$H$16),0,1))</f>
        <v/>
      </c>
    </row>
    <row r="179">
      <c r="A179" s="17">
        <f>IF(Baux!$A$16="","",Baux!$A$16)</f>
        <v/>
      </c>
      <c r="B179" s="17">
        <f>IF(A179="","",Baux!$B$16)</f>
        <v/>
      </c>
      <c r="C179" s="17" t="n">
        <v>10</v>
      </c>
      <c r="D179" s="15">
        <f>IF(OR(A179="",Baux!$F$16="",Baux!$O$16=""),"",EDATE(Baux!$F$16,12*Baux!$O$16*C179))</f>
        <v/>
      </c>
      <c r="E179" s="17">
        <f>IF(AD179=0,"",Baux!$M$16)</f>
        <v/>
      </c>
      <c r="F179" s="17">
        <f>IF(AD179=0,"",IFERROR(TEXT(VALUE(LEFT(Baux!$N$16,4))+C179*Baux!$O$16,"0")&amp;RIGHT(Baux!$N$16,3),""))</f>
        <v/>
      </c>
      <c r="G179" s="25">
        <f>IF(AD179=0,"",IF(F179="","",IF(SUMIFS(Indices_long!$C:$C,Indices_long!$A:$A,E179,Indices_long!$B:$B,F179)=0,"",SUMIFS(Indices_long!$C:$C,Indices_long!$A:$A,E179,Indices_long!$B:$B,F179))))</f>
        <v/>
      </c>
      <c r="H179" s="17">
        <f>IF(AD179=0,"",IF(Baux!$P$16="Base fixe",Baux!$N$16,IF(K178="Geler – rattrapage possible",H178,F178)))</f>
        <v/>
      </c>
      <c r="I179" s="25">
        <f>IF(AD179=0,"",IF(H179="","",IF(SUMIFS(Indices_long!$C:$C,Indices_long!$A:$A,E179,Indices_long!$B:$B,H179)=0,"",SUMIFS(Indices_long!$C:$C,Indices_long!$A:$A,E179,Indices_long!$B:$B,H179))))</f>
        <v/>
      </c>
      <c r="J179" s="26">
        <f>IF(OR(G179="",I179=""),"",G179/I179)</f>
        <v/>
      </c>
      <c r="K179" s="13" t="n"/>
      <c r="L179" s="27">
        <f>IF(AD179=0,"",IF(Baux!$P$16="Base fixe",Baux!$I$16,N178))</f>
        <v/>
      </c>
      <c r="M179" s="27">
        <f>IF(OR(J179="",L179=""),"",ROUND(L179*J179,2))</f>
        <v/>
      </c>
      <c r="N179" s="27">
        <f>IF(AD179=0,"",IF(LEFT(K179,5)="Geler",O179,IF(M179="","",IF(Baux!$Q$16="",M179,MIN(M179,ROUND(L179*(1+Baux!$Q$16/100)^IF(Baux!$P$16="Base fixe",C179*Baux!$O$16,VALUE(LEFT(F179,4))-VALUE(LEFT(H179,4))),2))))))</f>
        <v/>
      </c>
      <c r="O179" s="27">
        <f>IF(AD179=0,"",N178)</f>
        <v/>
      </c>
      <c r="P179" s="28">
        <f>IF(OR(N179="",O179=""),"",N179/O179-1)</f>
        <v/>
      </c>
      <c r="Q179" s="27">
        <f>IF(N179="","",N179/12)</f>
        <v/>
      </c>
      <c r="R179" s="27">
        <f>IF(N179="","",N179/IF(Baux!$L$16="Mensuelle",12,IF(Baux!$L$16="Trimestrielle",4,IF(Baux!$L$16="Semestrielle",2,1))))</f>
        <v/>
      </c>
      <c r="S179" s="27">
        <f>IF(AD179=0,"",IF(Baux!$J$16="",0,Baux!$J$16)/IF(Baux!$L$16="Mensuelle",12,IF(Baux!$L$16="Trimestrielle",4,IF(Baux!$L$16="Semestrielle",2,1))))</f>
        <v/>
      </c>
      <c r="T179" s="27">
        <f>IF(R179="","",(R179+S179)*Baux!$K$16/100)</f>
        <v/>
      </c>
      <c r="U179" s="27">
        <f>IF(R179="","",R179+S179+T179)</f>
        <v/>
      </c>
      <c r="V179" s="17">
        <f>IF(AD179=0,"",IF(LEFT(K179,5)="Geler","❄ Gelée",IF(G179="",IF(D179&lt;=TODAY(),"⚠ Indice attendu","À venir"),IF(D179&lt;=TODAY(),"✔ Calculable","Indice connu – à venir"))))</f>
        <v/>
      </c>
      <c r="W179" s="29" t="n"/>
      <c r="X179" s="13" t="n"/>
      <c r="Y179" s="14" t="n"/>
      <c r="Z179" s="14" t="n"/>
      <c r="AA179" s="13" t="n"/>
      <c r="AB179" s="17">
        <f>IF(A179="","",A179&amp;"#"&amp;C179)</f>
        <v/>
      </c>
      <c r="AC179" s="17">
        <f>IF(AND(AD179=1,D179&lt;=TODAY(),N179&lt;&gt;""),1,0)</f>
        <v/>
      </c>
      <c r="AD179" s="17">
        <f>IF(OR(A179="",D179=""),0,IF(AND(ISNUMBER(Baux!$H$16),D179&gt;Baux!$H$16),0,1))</f>
        <v/>
      </c>
    </row>
    <row r="180">
      <c r="A180" s="17">
        <f>IF(Baux!$A$16="","",Baux!$A$16)</f>
        <v/>
      </c>
      <c r="B180" s="17">
        <f>IF(A180="","",Baux!$B$16)</f>
        <v/>
      </c>
      <c r="C180" s="17" t="n">
        <v>11</v>
      </c>
      <c r="D180" s="15">
        <f>IF(OR(A180="",Baux!$F$16="",Baux!$O$16=""),"",EDATE(Baux!$F$16,12*Baux!$O$16*C180))</f>
        <v/>
      </c>
      <c r="E180" s="17">
        <f>IF(AD180=0,"",Baux!$M$16)</f>
        <v/>
      </c>
      <c r="F180" s="17">
        <f>IF(AD180=0,"",IFERROR(TEXT(VALUE(LEFT(Baux!$N$16,4))+C180*Baux!$O$16,"0")&amp;RIGHT(Baux!$N$16,3),""))</f>
        <v/>
      </c>
      <c r="G180" s="25">
        <f>IF(AD180=0,"",IF(F180="","",IF(SUMIFS(Indices_long!$C:$C,Indices_long!$A:$A,E180,Indices_long!$B:$B,F180)=0,"",SUMIFS(Indices_long!$C:$C,Indices_long!$A:$A,E180,Indices_long!$B:$B,F180))))</f>
        <v/>
      </c>
      <c r="H180" s="17">
        <f>IF(AD180=0,"",IF(Baux!$P$16="Base fixe",Baux!$N$16,IF(K179="Geler – rattrapage possible",H179,F179)))</f>
        <v/>
      </c>
      <c r="I180" s="25">
        <f>IF(AD180=0,"",IF(H180="","",IF(SUMIFS(Indices_long!$C:$C,Indices_long!$A:$A,E180,Indices_long!$B:$B,H180)=0,"",SUMIFS(Indices_long!$C:$C,Indices_long!$A:$A,E180,Indices_long!$B:$B,H180))))</f>
        <v/>
      </c>
      <c r="J180" s="26">
        <f>IF(OR(G180="",I180=""),"",G180/I180)</f>
        <v/>
      </c>
      <c r="K180" s="13" t="n"/>
      <c r="L180" s="27">
        <f>IF(AD180=0,"",IF(Baux!$P$16="Base fixe",Baux!$I$16,N179))</f>
        <v/>
      </c>
      <c r="M180" s="27">
        <f>IF(OR(J180="",L180=""),"",ROUND(L180*J180,2))</f>
        <v/>
      </c>
      <c r="N180" s="27">
        <f>IF(AD180=0,"",IF(LEFT(K180,5)="Geler",O180,IF(M180="","",IF(Baux!$Q$16="",M180,MIN(M180,ROUND(L180*(1+Baux!$Q$16/100)^IF(Baux!$P$16="Base fixe",C180*Baux!$O$16,VALUE(LEFT(F180,4))-VALUE(LEFT(H180,4))),2))))))</f>
        <v/>
      </c>
      <c r="O180" s="27">
        <f>IF(AD180=0,"",N179)</f>
        <v/>
      </c>
      <c r="P180" s="28">
        <f>IF(OR(N180="",O180=""),"",N180/O180-1)</f>
        <v/>
      </c>
      <c r="Q180" s="27">
        <f>IF(N180="","",N180/12)</f>
        <v/>
      </c>
      <c r="R180" s="27">
        <f>IF(N180="","",N180/IF(Baux!$L$16="Mensuelle",12,IF(Baux!$L$16="Trimestrielle",4,IF(Baux!$L$16="Semestrielle",2,1))))</f>
        <v/>
      </c>
      <c r="S180" s="27">
        <f>IF(AD180=0,"",IF(Baux!$J$16="",0,Baux!$J$16)/IF(Baux!$L$16="Mensuelle",12,IF(Baux!$L$16="Trimestrielle",4,IF(Baux!$L$16="Semestrielle",2,1))))</f>
        <v/>
      </c>
      <c r="T180" s="27">
        <f>IF(R180="","",(R180+S180)*Baux!$K$16/100)</f>
        <v/>
      </c>
      <c r="U180" s="27">
        <f>IF(R180="","",R180+S180+T180)</f>
        <v/>
      </c>
      <c r="V180" s="17">
        <f>IF(AD180=0,"",IF(LEFT(K180,5)="Geler","❄ Gelée",IF(G180="",IF(D180&lt;=TODAY(),"⚠ Indice attendu","À venir"),IF(D180&lt;=TODAY(),"✔ Calculable","Indice connu – à venir"))))</f>
        <v/>
      </c>
      <c r="W180" s="29" t="n"/>
      <c r="X180" s="13" t="n"/>
      <c r="Y180" s="14" t="n"/>
      <c r="Z180" s="14" t="n"/>
      <c r="AA180" s="13" t="n"/>
      <c r="AB180" s="17">
        <f>IF(A180="","",A180&amp;"#"&amp;C180)</f>
        <v/>
      </c>
      <c r="AC180" s="17">
        <f>IF(AND(AD180=1,D180&lt;=TODAY(),N180&lt;&gt;""),1,0)</f>
        <v/>
      </c>
      <c r="AD180" s="17">
        <f>IF(OR(A180="",D180=""),0,IF(AND(ISNUMBER(Baux!$H$16),D180&gt;Baux!$H$16),0,1))</f>
        <v/>
      </c>
    </row>
    <row r="181">
      <c r="A181" s="17">
        <f>IF(Baux!$A$16="","",Baux!$A$16)</f>
        <v/>
      </c>
      <c r="B181" s="17">
        <f>IF(A181="","",Baux!$B$16)</f>
        <v/>
      </c>
      <c r="C181" s="17" t="n">
        <v>12</v>
      </c>
      <c r="D181" s="15">
        <f>IF(OR(A181="",Baux!$F$16="",Baux!$O$16=""),"",EDATE(Baux!$F$16,12*Baux!$O$16*C181))</f>
        <v/>
      </c>
      <c r="E181" s="17">
        <f>IF(AD181=0,"",Baux!$M$16)</f>
        <v/>
      </c>
      <c r="F181" s="17">
        <f>IF(AD181=0,"",IFERROR(TEXT(VALUE(LEFT(Baux!$N$16,4))+C181*Baux!$O$16,"0")&amp;RIGHT(Baux!$N$16,3),""))</f>
        <v/>
      </c>
      <c r="G181" s="25">
        <f>IF(AD181=0,"",IF(F181="","",IF(SUMIFS(Indices_long!$C:$C,Indices_long!$A:$A,E181,Indices_long!$B:$B,F181)=0,"",SUMIFS(Indices_long!$C:$C,Indices_long!$A:$A,E181,Indices_long!$B:$B,F181))))</f>
        <v/>
      </c>
      <c r="H181" s="17">
        <f>IF(AD181=0,"",IF(Baux!$P$16="Base fixe",Baux!$N$16,IF(K180="Geler – rattrapage possible",H180,F180)))</f>
        <v/>
      </c>
      <c r="I181" s="25">
        <f>IF(AD181=0,"",IF(H181="","",IF(SUMIFS(Indices_long!$C:$C,Indices_long!$A:$A,E181,Indices_long!$B:$B,H181)=0,"",SUMIFS(Indices_long!$C:$C,Indices_long!$A:$A,E181,Indices_long!$B:$B,H181))))</f>
        <v/>
      </c>
      <c r="J181" s="26">
        <f>IF(OR(G181="",I181=""),"",G181/I181)</f>
        <v/>
      </c>
      <c r="K181" s="13" t="n"/>
      <c r="L181" s="27">
        <f>IF(AD181=0,"",IF(Baux!$P$16="Base fixe",Baux!$I$16,N180))</f>
        <v/>
      </c>
      <c r="M181" s="27">
        <f>IF(OR(J181="",L181=""),"",ROUND(L181*J181,2))</f>
        <v/>
      </c>
      <c r="N181" s="27">
        <f>IF(AD181=0,"",IF(LEFT(K181,5)="Geler",O181,IF(M181="","",IF(Baux!$Q$16="",M181,MIN(M181,ROUND(L181*(1+Baux!$Q$16/100)^IF(Baux!$P$16="Base fixe",C181*Baux!$O$16,VALUE(LEFT(F181,4))-VALUE(LEFT(H181,4))),2))))))</f>
        <v/>
      </c>
      <c r="O181" s="27">
        <f>IF(AD181=0,"",N180)</f>
        <v/>
      </c>
      <c r="P181" s="28">
        <f>IF(OR(N181="",O181=""),"",N181/O181-1)</f>
        <v/>
      </c>
      <c r="Q181" s="27">
        <f>IF(N181="","",N181/12)</f>
        <v/>
      </c>
      <c r="R181" s="27">
        <f>IF(N181="","",N181/IF(Baux!$L$16="Mensuelle",12,IF(Baux!$L$16="Trimestrielle",4,IF(Baux!$L$16="Semestrielle",2,1))))</f>
        <v/>
      </c>
      <c r="S181" s="27">
        <f>IF(AD181=0,"",IF(Baux!$J$16="",0,Baux!$J$16)/IF(Baux!$L$16="Mensuelle",12,IF(Baux!$L$16="Trimestrielle",4,IF(Baux!$L$16="Semestrielle",2,1))))</f>
        <v/>
      </c>
      <c r="T181" s="27">
        <f>IF(R181="","",(R181+S181)*Baux!$K$16/100)</f>
        <v/>
      </c>
      <c r="U181" s="27">
        <f>IF(R181="","",R181+S181+T181)</f>
        <v/>
      </c>
      <c r="V181" s="17">
        <f>IF(AD181=0,"",IF(LEFT(K181,5)="Geler","❄ Gelée",IF(G181="",IF(D181&lt;=TODAY(),"⚠ Indice attendu","À venir"),IF(D181&lt;=TODAY(),"✔ Calculable","Indice connu – à venir"))))</f>
        <v/>
      </c>
      <c r="W181" s="29" t="n"/>
      <c r="X181" s="13" t="n"/>
      <c r="Y181" s="14" t="n"/>
      <c r="Z181" s="14" t="n"/>
      <c r="AA181" s="13" t="n"/>
      <c r="AB181" s="17">
        <f>IF(A181="","",A181&amp;"#"&amp;C181)</f>
        <v/>
      </c>
      <c r="AC181" s="17">
        <f>IF(AND(AD181=1,D181&lt;=TODAY(),N181&lt;&gt;""),1,0)</f>
        <v/>
      </c>
      <c r="AD181" s="17">
        <f>IF(OR(A181="",D181=""),0,IF(AND(ISNUMBER(Baux!$H$16),D181&gt;Baux!$H$16),0,1))</f>
        <v/>
      </c>
    </row>
    <row r="182">
      <c r="A182" s="17">
        <f>IF(Baux!$A$17="","",Baux!$A$17)</f>
        <v/>
      </c>
      <c r="B182" s="17">
        <f>IF(A182="","",Baux!$B$17)</f>
        <v/>
      </c>
      <c r="C182" s="17" t="n">
        <v>1</v>
      </c>
      <c r="D182" s="15">
        <f>IF(OR(A182="",Baux!$F$17="",Baux!$O$17=""),"",EDATE(Baux!$F$17,12*Baux!$O$17*C182))</f>
        <v/>
      </c>
      <c r="E182" s="17">
        <f>IF(AD182=0,"",Baux!$M$17)</f>
        <v/>
      </c>
      <c r="F182" s="17">
        <f>IF(AD182=0,"",IFERROR(TEXT(VALUE(LEFT(Baux!$N$17,4))+C182*Baux!$O$17,"0")&amp;RIGHT(Baux!$N$17,3),""))</f>
        <v/>
      </c>
      <c r="G182" s="25">
        <f>IF(AD182=0,"",IF(F182="","",IF(SUMIFS(Indices_long!$C:$C,Indices_long!$A:$A,E182,Indices_long!$B:$B,F182)=0,"",SUMIFS(Indices_long!$C:$C,Indices_long!$A:$A,E182,Indices_long!$B:$B,F182))))</f>
        <v/>
      </c>
      <c r="H182" s="17">
        <f>IF(AD182=0,"",Baux!$N$17)</f>
        <v/>
      </c>
      <c r="I182" s="25">
        <f>IF(AD182=0,"",IF(H182="","",IF(SUMIFS(Indices_long!$C:$C,Indices_long!$A:$A,E182,Indices_long!$B:$B,H182)=0,"",SUMIFS(Indices_long!$C:$C,Indices_long!$A:$A,E182,Indices_long!$B:$B,H182))))</f>
        <v/>
      </c>
      <c r="J182" s="26">
        <f>IF(OR(G182="",I182=""),"",G182/I182)</f>
        <v/>
      </c>
      <c r="K182" s="13" t="n"/>
      <c r="L182" s="27">
        <f>IF(AD182=0,"",Baux!$I$17)</f>
        <v/>
      </c>
      <c r="M182" s="27">
        <f>IF(OR(J182="",L182=""),"",ROUND(L182*J182,2))</f>
        <v/>
      </c>
      <c r="N182" s="27">
        <f>IF(AD182=0,"",IF(LEFT(K182,5)="Geler",O182,IF(M182="","",IF(Baux!$Q$17="",M182,MIN(M182,ROUND(L182*(1+Baux!$Q$17/100)^IF(Baux!$P$17="Base fixe",C182*Baux!$O$17,VALUE(LEFT(F182,4))-VALUE(LEFT(H182,4))),2))))))</f>
        <v/>
      </c>
      <c r="O182" s="27">
        <f>IF(AD182=0,"",Baux!$I$17)</f>
        <v/>
      </c>
      <c r="P182" s="28">
        <f>IF(OR(N182="",O182=""),"",N182/O182-1)</f>
        <v/>
      </c>
      <c r="Q182" s="27">
        <f>IF(N182="","",N182/12)</f>
        <v/>
      </c>
      <c r="R182" s="27">
        <f>IF(N182="","",N182/IF(Baux!$L$17="Mensuelle",12,IF(Baux!$L$17="Trimestrielle",4,IF(Baux!$L$17="Semestrielle",2,1))))</f>
        <v/>
      </c>
      <c r="S182" s="27">
        <f>IF(AD182=0,"",IF(Baux!$J$17="",0,Baux!$J$17)/IF(Baux!$L$17="Mensuelle",12,IF(Baux!$L$17="Trimestrielle",4,IF(Baux!$L$17="Semestrielle",2,1))))</f>
        <v/>
      </c>
      <c r="T182" s="27">
        <f>IF(R182="","",(R182+S182)*Baux!$K$17/100)</f>
        <v/>
      </c>
      <c r="U182" s="27">
        <f>IF(R182="","",R182+S182+T182)</f>
        <v/>
      </c>
      <c r="V182" s="17">
        <f>IF(AD182=0,"",IF(LEFT(K182,5)="Geler","❄ Gelée",IF(G182="",IF(D182&lt;=TODAY(),"⚠ Indice attendu","À venir"),IF(D182&lt;=TODAY(),"✔ Calculable","Indice connu – à venir"))))</f>
        <v/>
      </c>
      <c r="W182" s="29" t="n"/>
      <c r="X182" s="13" t="n"/>
      <c r="Y182" s="14" t="n"/>
      <c r="Z182" s="14" t="n"/>
      <c r="AA182" s="13" t="n"/>
      <c r="AB182" s="17">
        <f>IF(A182="","",A182&amp;"#"&amp;C182)</f>
        <v/>
      </c>
      <c r="AC182" s="17">
        <f>IF(AND(AD182=1,D182&lt;=TODAY(),N182&lt;&gt;""),1,0)</f>
        <v/>
      </c>
      <c r="AD182" s="17">
        <f>IF(OR(A182="",D182=""),0,IF(AND(ISNUMBER(Baux!$H$17),D182&gt;Baux!$H$17),0,1))</f>
        <v/>
      </c>
    </row>
    <row r="183">
      <c r="A183" s="17">
        <f>IF(Baux!$A$17="","",Baux!$A$17)</f>
        <v/>
      </c>
      <c r="B183" s="17">
        <f>IF(A183="","",Baux!$B$17)</f>
        <v/>
      </c>
      <c r="C183" s="17" t="n">
        <v>2</v>
      </c>
      <c r="D183" s="15">
        <f>IF(OR(A183="",Baux!$F$17="",Baux!$O$17=""),"",EDATE(Baux!$F$17,12*Baux!$O$17*C183))</f>
        <v/>
      </c>
      <c r="E183" s="17">
        <f>IF(AD183=0,"",Baux!$M$17)</f>
        <v/>
      </c>
      <c r="F183" s="17">
        <f>IF(AD183=0,"",IFERROR(TEXT(VALUE(LEFT(Baux!$N$17,4))+C183*Baux!$O$17,"0")&amp;RIGHT(Baux!$N$17,3),""))</f>
        <v/>
      </c>
      <c r="G183" s="25">
        <f>IF(AD183=0,"",IF(F183="","",IF(SUMIFS(Indices_long!$C:$C,Indices_long!$A:$A,E183,Indices_long!$B:$B,F183)=0,"",SUMIFS(Indices_long!$C:$C,Indices_long!$A:$A,E183,Indices_long!$B:$B,F183))))</f>
        <v/>
      </c>
      <c r="H183" s="17">
        <f>IF(AD183=0,"",IF(Baux!$P$17="Base fixe",Baux!$N$17,IF(K182="Geler – rattrapage possible",H182,F182)))</f>
        <v/>
      </c>
      <c r="I183" s="25">
        <f>IF(AD183=0,"",IF(H183="","",IF(SUMIFS(Indices_long!$C:$C,Indices_long!$A:$A,E183,Indices_long!$B:$B,H183)=0,"",SUMIFS(Indices_long!$C:$C,Indices_long!$A:$A,E183,Indices_long!$B:$B,H183))))</f>
        <v/>
      </c>
      <c r="J183" s="26">
        <f>IF(OR(G183="",I183=""),"",G183/I183)</f>
        <v/>
      </c>
      <c r="K183" s="13" t="n"/>
      <c r="L183" s="27">
        <f>IF(AD183=0,"",IF(Baux!$P$17="Base fixe",Baux!$I$17,N182))</f>
        <v/>
      </c>
      <c r="M183" s="27">
        <f>IF(OR(J183="",L183=""),"",ROUND(L183*J183,2))</f>
        <v/>
      </c>
      <c r="N183" s="27">
        <f>IF(AD183=0,"",IF(LEFT(K183,5)="Geler",O183,IF(M183="","",IF(Baux!$Q$17="",M183,MIN(M183,ROUND(L183*(1+Baux!$Q$17/100)^IF(Baux!$P$17="Base fixe",C183*Baux!$O$17,VALUE(LEFT(F183,4))-VALUE(LEFT(H183,4))),2))))))</f>
        <v/>
      </c>
      <c r="O183" s="27">
        <f>IF(AD183=0,"",N182)</f>
        <v/>
      </c>
      <c r="P183" s="28">
        <f>IF(OR(N183="",O183=""),"",N183/O183-1)</f>
        <v/>
      </c>
      <c r="Q183" s="27">
        <f>IF(N183="","",N183/12)</f>
        <v/>
      </c>
      <c r="R183" s="27">
        <f>IF(N183="","",N183/IF(Baux!$L$17="Mensuelle",12,IF(Baux!$L$17="Trimestrielle",4,IF(Baux!$L$17="Semestrielle",2,1))))</f>
        <v/>
      </c>
      <c r="S183" s="27">
        <f>IF(AD183=0,"",IF(Baux!$J$17="",0,Baux!$J$17)/IF(Baux!$L$17="Mensuelle",12,IF(Baux!$L$17="Trimestrielle",4,IF(Baux!$L$17="Semestrielle",2,1))))</f>
        <v/>
      </c>
      <c r="T183" s="27">
        <f>IF(R183="","",(R183+S183)*Baux!$K$17/100)</f>
        <v/>
      </c>
      <c r="U183" s="27">
        <f>IF(R183="","",R183+S183+T183)</f>
        <v/>
      </c>
      <c r="V183" s="17">
        <f>IF(AD183=0,"",IF(LEFT(K183,5)="Geler","❄ Gelée",IF(G183="",IF(D183&lt;=TODAY(),"⚠ Indice attendu","À venir"),IF(D183&lt;=TODAY(),"✔ Calculable","Indice connu – à venir"))))</f>
        <v/>
      </c>
      <c r="W183" s="29" t="n"/>
      <c r="X183" s="13" t="n"/>
      <c r="Y183" s="14" t="n"/>
      <c r="Z183" s="14" t="n"/>
      <c r="AA183" s="13" t="n"/>
      <c r="AB183" s="17">
        <f>IF(A183="","",A183&amp;"#"&amp;C183)</f>
        <v/>
      </c>
      <c r="AC183" s="17">
        <f>IF(AND(AD183=1,D183&lt;=TODAY(),N183&lt;&gt;""),1,0)</f>
        <v/>
      </c>
      <c r="AD183" s="17">
        <f>IF(OR(A183="",D183=""),0,IF(AND(ISNUMBER(Baux!$H$17),D183&gt;Baux!$H$17),0,1))</f>
        <v/>
      </c>
    </row>
    <row r="184">
      <c r="A184" s="17">
        <f>IF(Baux!$A$17="","",Baux!$A$17)</f>
        <v/>
      </c>
      <c r="B184" s="17">
        <f>IF(A184="","",Baux!$B$17)</f>
        <v/>
      </c>
      <c r="C184" s="17" t="n">
        <v>3</v>
      </c>
      <c r="D184" s="15">
        <f>IF(OR(A184="",Baux!$F$17="",Baux!$O$17=""),"",EDATE(Baux!$F$17,12*Baux!$O$17*C184))</f>
        <v/>
      </c>
      <c r="E184" s="17">
        <f>IF(AD184=0,"",Baux!$M$17)</f>
        <v/>
      </c>
      <c r="F184" s="17">
        <f>IF(AD184=0,"",IFERROR(TEXT(VALUE(LEFT(Baux!$N$17,4))+C184*Baux!$O$17,"0")&amp;RIGHT(Baux!$N$17,3),""))</f>
        <v/>
      </c>
      <c r="G184" s="25">
        <f>IF(AD184=0,"",IF(F184="","",IF(SUMIFS(Indices_long!$C:$C,Indices_long!$A:$A,E184,Indices_long!$B:$B,F184)=0,"",SUMIFS(Indices_long!$C:$C,Indices_long!$A:$A,E184,Indices_long!$B:$B,F184))))</f>
        <v/>
      </c>
      <c r="H184" s="17">
        <f>IF(AD184=0,"",IF(Baux!$P$17="Base fixe",Baux!$N$17,IF(K183="Geler – rattrapage possible",H183,F183)))</f>
        <v/>
      </c>
      <c r="I184" s="25">
        <f>IF(AD184=0,"",IF(H184="","",IF(SUMIFS(Indices_long!$C:$C,Indices_long!$A:$A,E184,Indices_long!$B:$B,H184)=0,"",SUMIFS(Indices_long!$C:$C,Indices_long!$A:$A,E184,Indices_long!$B:$B,H184))))</f>
        <v/>
      </c>
      <c r="J184" s="26">
        <f>IF(OR(G184="",I184=""),"",G184/I184)</f>
        <v/>
      </c>
      <c r="K184" s="13" t="n"/>
      <c r="L184" s="27">
        <f>IF(AD184=0,"",IF(Baux!$P$17="Base fixe",Baux!$I$17,N183))</f>
        <v/>
      </c>
      <c r="M184" s="27">
        <f>IF(OR(J184="",L184=""),"",ROUND(L184*J184,2))</f>
        <v/>
      </c>
      <c r="N184" s="27">
        <f>IF(AD184=0,"",IF(LEFT(K184,5)="Geler",O184,IF(M184="","",IF(Baux!$Q$17="",M184,MIN(M184,ROUND(L184*(1+Baux!$Q$17/100)^IF(Baux!$P$17="Base fixe",C184*Baux!$O$17,VALUE(LEFT(F184,4))-VALUE(LEFT(H184,4))),2))))))</f>
        <v/>
      </c>
      <c r="O184" s="27">
        <f>IF(AD184=0,"",N183)</f>
        <v/>
      </c>
      <c r="P184" s="28">
        <f>IF(OR(N184="",O184=""),"",N184/O184-1)</f>
        <v/>
      </c>
      <c r="Q184" s="27">
        <f>IF(N184="","",N184/12)</f>
        <v/>
      </c>
      <c r="R184" s="27">
        <f>IF(N184="","",N184/IF(Baux!$L$17="Mensuelle",12,IF(Baux!$L$17="Trimestrielle",4,IF(Baux!$L$17="Semestrielle",2,1))))</f>
        <v/>
      </c>
      <c r="S184" s="27">
        <f>IF(AD184=0,"",IF(Baux!$J$17="",0,Baux!$J$17)/IF(Baux!$L$17="Mensuelle",12,IF(Baux!$L$17="Trimestrielle",4,IF(Baux!$L$17="Semestrielle",2,1))))</f>
        <v/>
      </c>
      <c r="T184" s="27">
        <f>IF(R184="","",(R184+S184)*Baux!$K$17/100)</f>
        <v/>
      </c>
      <c r="U184" s="27">
        <f>IF(R184="","",R184+S184+T184)</f>
        <v/>
      </c>
      <c r="V184" s="17">
        <f>IF(AD184=0,"",IF(LEFT(K184,5)="Geler","❄ Gelée",IF(G184="",IF(D184&lt;=TODAY(),"⚠ Indice attendu","À venir"),IF(D184&lt;=TODAY(),"✔ Calculable","Indice connu – à venir"))))</f>
        <v/>
      </c>
      <c r="W184" s="29" t="n"/>
      <c r="X184" s="13" t="n"/>
      <c r="Y184" s="14" t="n"/>
      <c r="Z184" s="14" t="n"/>
      <c r="AA184" s="13" t="n"/>
      <c r="AB184" s="17">
        <f>IF(A184="","",A184&amp;"#"&amp;C184)</f>
        <v/>
      </c>
      <c r="AC184" s="17">
        <f>IF(AND(AD184=1,D184&lt;=TODAY(),N184&lt;&gt;""),1,0)</f>
        <v/>
      </c>
      <c r="AD184" s="17">
        <f>IF(OR(A184="",D184=""),0,IF(AND(ISNUMBER(Baux!$H$17),D184&gt;Baux!$H$17),0,1))</f>
        <v/>
      </c>
    </row>
    <row r="185">
      <c r="A185" s="17">
        <f>IF(Baux!$A$17="","",Baux!$A$17)</f>
        <v/>
      </c>
      <c r="B185" s="17">
        <f>IF(A185="","",Baux!$B$17)</f>
        <v/>
      </c>
      <c r="C185" s="17" t="n">
        <v>4</v>
      </c>
      <c r="D185" s="15">
        <f>IF(OR(A185="",Baux!$F$17="",Baux!$O$17=""),"",EDATE(Baux!$F$17,12*Baux!$O$17*C185))</f>
        <v/>
      </c>
      <c r="E185" s="17">
        <f>IF(AD185=0,"",Baux!$M$17)</f>
        <v/>
      </c>
      <c r="F185" s="17">
        <f>IF(AD185=0,"",IFERROR(TEXT(VALUE(LEFT(Baux!$N$17,4))+C185*Baux!$O$17,"0")&amp;RIGHT(Baux!$N$17,3),""))</f>
        <v/>
      </c>
      <c r="G185" s="25">
        <f>IF(AD185=0,"",IF(F185="","",IF(SUMIFS(Indices_long!$C:$C,Indices_long!$A:$A,E185,Indices_long!$B:$B,F185)=0,"",SUMIFS(Indices_long!$C:$C,Indices_long!$A:$A,E185,Indices_long!$B:$B,F185))))</f>
        <v/>
      </c>
      <c r="H185" s="17">
        <f>IF(AD185=0,"",IF(Baux!$P$17="Base fixe",Baux!$N$17,IF(K184="Geler – rattrapage possible",H184,F184)))</f>
        <v/>
      </c>
      <c r="I185" s="25">
        <f>IF(AD185=0,"",IF(H185="","",IF(SUMIFS(Indices_long!$C:$C,Indices_long!$A:$A,E185,Indices_long!$B:$B,H185)=0,"",SUMIFS(Indices_long!$C:$C,Indices_long!$A:$A,E185,Indices_long!$B:$B,H185))))</f>
        <v/>
      </c>
      <c r="J185" s="26">
        <f>IF(OR(G185="",I185=""),"",G185/I185)</f>
        <v/>
      </c>
      <c r="K185" s="13" t="n"/>
      <c r="L185" s="27">
        <f>IF(AD185=0,"",IF(Baux!$P$17="Base fixe",Baux!$I$17,N184))</f>
        <v/>
      </c>
      <c r="M185" s="27">
        <f>IF(OR(J185="",L185=""),"",ROUND(L185*J185,2))</f>
        <v/>
      </c>
      <c r="N185" s="27">
        <f>IF(AD185=0,"",IF(LEFT(K185,5)="Geler",O185,IF(M185="","",IF(Baux!$Q$17="",M185,MIN(M185,ROUND(L185*(1+Baux!$Q$17/100)^IF(Baux!$P$17="Base fixe",C185*Baux!$O$17,VALUE(LEFT(F185,4))-VALUE(LEFT(H185,4))),2))))))</f>
        <v/>
      </c>
      <c r="O185" s="27">
        <f>IF(AD185=0,"",N184)</f>
        <v/>
      </c>
      <c r="P185" s="28">
        <f>IF(OR(N185="",O185=""),"",N185/O185-1)</f>
        <v/>
      </c>
      <c r="Q185" s="27">
        <f>IF(N185="","",N185/12)</f>
        <v/>
      </c>
      <c r="R185" s="27">
        <f>IF(N185="","",N185/IF(Baux!$L$17="Mensuelle",12,IF(Baux!$L$17="Trimestrielle",4,IF(Baux!$L$17="Semestrielle",2,1))))</f>
        <v/>
      </c>
      <c r="S185" s="27">
        <f>IF(AD185=0,"",IF(Baux!$J$17="",0,Baux!$J$17)/IF(Baux!$L$17="Mensuelle",12,IF(Baux!$L$17="Trimestrielle",4,IF(Baux!$L$17="Semestrielle",2,1))))</f>
        <v/>
      </c>
      <c r="T185" s="27">
        <f>IF(R185="","",(R185+S185)*Baux!$K$17/100)</f>
        <v/>
      </c>
      <c r="U185" s="27">
        <f>IF(R185="","",R185+S185+T185)</f>
        <v/>
      </c>
      <c r="V185" s="17">
        <f>IF(AD185=0,"",IF(LEFT(K185,5)="Geler","❄ Gelée",IF(G185="",IF(D185&lt;=TODAY(),"⚠ Indice attendu","À venir"),IF(D185&lt;=TODAY(),"✔ Calculable","Indice connu – à venir"))))</f>
        <v/>
      </c>
      <c r="W185" s="29" t="n"/>
      <c r="X185" s="13" t="n"/>
      <c r="Y185" s="14" t="n"/>
      <c r="Z185" s="14" t="n"/>
      <c r="AA185" s="13" t="n"/>
      <c r="AB185" s="17">
        <f>IF(A185="","",A185&amp;"#"&amp;C185)</f>
        <v/>
      </c>
      <c r="AC185" s="17">
        <f>IF(AND(AD185=1,D185&lt;=TODAY(),N185&lt;&gt;""),1,0)</f>
        <v/>
      </c>
      <c r="AD185" s="17">
        <f>IF(OR(A185="",D185=""),0,IF(AND(ISNUMBER(Baux!$H$17),D185&gt;Baux!$H$17),0,1))</f>
        <v/>
      </c>
    </row>
    <row r="186">
      <c r="A186" s="17">
        <f>IF(Baux!$A$17="","",Baux!$A$17)</f>
        <v/>
      </c>
      <c r="B186" s="17">
        <f>IF(A186="","",Baux!$B$17)</f>
        <v/>
      </c>
      <c r="C186" s="17" t="n">
        <v>5</v>
      </c>
      <c r="D186" s="15">
        <f>IF(OR(A186="",Baux!$F$17="",Baux!$O$17=""),"",EDATE(Baux!$F$17,12*Baux!$O$17*C186))</f>
        <v/>
      </c>
      <c r="E186" s="17">
        <f>IF(AD186=0,"",Baux!$M$17)</f>
        <v/>
      </c>
      <c r="F186" s="17">
        <f>IF(AD186=0,"",IFERROR(TEXT(VALUE(LEFT(Baux!$N$17,4))+C186*Baux!$O$17,"0")&amp;RIGHT(Baux!$N$17,3),""))</f>
        <v/>
      </c>
      <c r="G186" s="25">
        <f>IF(AD186=0,"",IF(F186="","",IF(SUMIFS(Indices_long!$C:$C,Indices_long!$A:$A,E186,Indices_long!$B:$B,F186)=0,"",SUMIFS(Indices_long!$C:$C,Indices_long!$A:$A,E186,Indices_long!$B:$B,F186))))</f>
        <v/>
      </c>
      <c r="H186" s="17">
        <f>IF(AD186=0,"",IF(Baux!$P$17="Base fixe",Baux!$N$17,IF(K185="Geler – rattrapage possible",H185,F185)))</f>
        <v/>
      </c>
      <c r="I186" s="25">
        <f>IF(AD186=0,"",IF(H186="","",IF(SUMIFS(Indices_long!$C:$C,Indices_long!$A:$A,E186,Indices_long!$B:$B,H186)=0,"",SUMIFS(Indices_long!$C:$C,Indices_long!$A:$A,E186,Indices_long!$B:$B,H186))))</f>
        <v/>
      </c>
      <c r="J186" s="26">
        <f>IF(OR(G186="",I186=""),"",G186/I186)</f>
        <v/>
      </c>
      <c r="K186" s="13" t="n"/>
      <c r="L186" s="27">
        <f>IF(AD186=0,"",IF(Baux!$P$17="Base fixe",Baux!$I$17,N185))</f>
        <v/>
      </c>
      <c r="M186" s="27">
        <f>IF(OR(J186="",L186=""),"",ROUND(L186*J186,2))</f>
        <v/>
      </c>
      <c r="N186" s="27">
        <f>IF(AD186=0,"",IF(LEFT(K186,5)="Geler",O186,IF(M186="","",IF(Baux!$Q$17="",M186,MIN(M186,ROUND(L186*(1+Baux!$Q$17/100)^IF(Baux!$P$17="Base fixe",C186*Baux!$O$17,VALUE(LEFT(F186,4))-VALUE(LEFT(H186,4))),2))))))</f>
        <v/>
      </c>
      <c r="O186" s="27">
        <f>IF(AD186=0,"",N185)</f>
        <v/>
      </c>
      <c r="P186" s="28">
        <f>IF(OR(N186="",O186=""),"",N186/O186-1)</f>
        <v/>
      </c>
      <c r="Q186" s="27">
        <f>IF(N186="","",N186/12)</f>
        <v/>
      </c>
      <c r="R186" s="27">
        <f>IF(N186="","",N186/IF(Baux!$L$17="Mensuelle",12,IF(Baux!$L$17="Trimestrielle",4,IF(Baux!$L$17="Semestrielle",2,1))))</f>
        <v/>
      </c>
      <c r="S186" s="27">
        <f>IF(AD186=0,"",IF(Baux!$J$17="",0,Baux!$J$17)/IF(Baux!$L$17="Mensuelle",12,IF(Baux!$L$17="Trimestrielle",4,IF(Baux!$L$17="Semestrielle",2,1))))</f>
        <v/>
      </c>
      <c r="T186" s="27">
        <f>IF(R186="","",(R186+S186)*Baux!$K$17/100)</f>
        <v/>
      </c>
      <c r="U186" s="27">
        <f>IF(R186="","",R186+S186+T186)</f>
        <v/>
      </c>
      <c r="V186" s="17">
        <f>IF(AD186=0,"",IF(LEFT(K186,5)="Geler","❄ Gelée",IF(G186="",IF(D186&lt;=TODAY(),"⚠ Indice attendu","À venir"),IF(D186&lt;=TODAY(),"✔ Calculable","Indice connu – à venir"))))</f>
        <v/>
      </c>
      <c r="W186" s="29" t="n"/>
      <c r="X186" s="13" t="n"/>
      <c r="Y186" s="14" t="n"/>
      <c r="Z186" s="14" t="n"/>
      <c r="AA186" s="13" t="n"/>
      <c r="AB186" s="17">
        <f>IF(A186="","",A186&amp;"#"&amp;C186)</f>
        <v/>
      </c>
      <c r="AC186" s="17">
        <f>IF(AND(AD186=1,D186&lt;=TODAY(),N186&lt;&gt;""),1,0)</f>
        <v/>
      </c>
      <c r="AD186" s="17">
        <f>IF(OR(A186="",D186=""),0,IF(AND(ISNUMBER(Baux!$H$17),D186&gt;Baux!$H$17),0,1))</f>
        <v/>
      </c>
    </row>
    <row r="187">
      <c r="A187" s="17">
        <f>IF(Baux!$A$17="","",Baux!$A$17)</f>
        <v/>
      </c>
      <c r="B187" s="17">
        <f>IF(A187="","",Baux!$B$17)</f>
        <v/>
      </c>
      <c r="C187" s="17" t="n">
        <v>6</v>
      </c>
      <c r="D187" s="15">
        <f>IF(OR(A187="",Baux!$F$17="",Baux!$O$17=""),"",EDATE(Baux!$F$17,12*Baux!$O$17*C187))</f>
        <v/>
      </c>
      <c r="E187" s="17">
        <f>IF(AD187=0,"",Baux!$M$17)</f>
        <v/>
      </c>
      <c r="F187" s="17">
        <f>IF(AD187=0,"",IFERROR(TEXT(VALUE(LEFT(Baux!$N$17,4))+C187*Baux!$O$17,"0")&amp;RIGHT(Baux!$N$17,3),""))</f>
        <v/>
      </c>
      <c r="G187" s="25">
        <f>IF(AD187=0,"",IF(F187="","",IF(SUMIFS(Indices_long!$C:$C,Indices_long!$A:$A,E187,Indices_long!$B:$B,F187)=0,"",SUMIFS(Indices_long!$C:$C,Indices_long!$A:$A,E187,Indices_long!$B:$B,F187))))</f>
        <v/>
      </c>
      <c r="H187" s="17">
        <f>IF(AD187=0,"",IF(Baux!$P$17="Base fixe",Baux!$N$17,IF(K186="Geler – rattrapage possible",H186,F186)))</f>
        <v/>
      </c>
      <c r="I187" s="25">
        <f>IF(AD187=0,"",IF(H187="","",IF(SUMIFS(Indices_long!$C:$C,Indices_long!$A:$A,E187,Indices_long!$B:$B,H187)=0,"",SUMIFS(Indices_long!$C:$C,Indices_long!$A:$A,E187,Indices_long!$B:$B,H187))))</f>
        <v/>
      </c>
      <c r="J187" s="26">
        <f>IF(OR(G187="",I187=""),"",G187/I187)</f>
        <v/>
      </c>
      <c r="K187" s="13" t="n"/>
      <c r="L187" s="27">
        <f>IF(AD187=0,"",IF(Baux!$P$17="Base fixe",Baux!$I$17,N186))</f>
        <v/>
      </c>
      <c r="M187" s="27">
        <f>IF(OR(J187="",L187=""),"",ROUND(L187*J187,2))</f>
        <v/>
      </c>
      <c r="N187" s="27">
        <f>IF(AD187=0,"",IF(LEFT(K187,5)="Geler",O187,IF(M187="","",IF(Baux!$Q$17="",M187,MIN(M187,ROUND(L187*(1+Baux!$Q$17/100)^IF(Baux!$P$17="Base fixe",C187*Baux!$O$17,VALUE(LEFT(F187,4))-VALUE(LEFT(H187,4))),2))))))</f>
        <v/>
      </c>
      <c r="O187" s="27">
        <f>IF(AD187=0,"",N186)</f>
        <v/>
      </c>
      <c r="P187" s="28">
        <f>IF(OR(N187="",O187=""),"",N187/O187-1)</f>
        <v/>
      </c>
      <c r="Q187" s="27">
        <f>IF(N187="","",N187/12)</f>
        <v/>
      </c>
      <c r="R187" s="27">
        <f>IF(N187="","",N187/IF(Baux!$L$17="Mensuelle",12,IF(Baux!$L$17="Trimestrielle",4,IF(Baux!$L$17="Semestrielle",2,1))))</f>
        <v/>
      </c>
      <c r="S187" s="27">
        <f>IF(AD187=0,"",IF(Baux!$J$17="",0,Baux!$J$17)/IF(Baux!$L$17="Mensuelle",12,IF(Baux!$L$17="Trimestrielle",4,IF(Baux!$L$17="Semestrielle",2,1))))</f>
        <v/>
      </c>
      <c r="T187" s="27">
        <f>IF(R187="","",(R187+S187)*Baux!$K$17/100)</f>
        <v/>
      </c>
      <c r="U187" s="27">
        <f>IF(R187="","",R187+S187+T187)</f>
        <v/>
      </c>
      <c r="V187" s="17">
        <f>IF(AD187=0,"",IF(LEFT(K187,5)="Geler","❄ Gelée",IF(G187="",IF(D187&lt;=TODAY(),"⚠ Indice attendu","À venir"),IF(D187&lt;=TODAY(),"✔ Calculable","Indice connu – à venir"))))</f>
        <v/>
      </c>
      <c r="W187" s="29" t="n"/>
      <c r="X187" s="13" t="n"/>
      <c r="Y187" s="14" t="n"/>
      <c r="Z187" s="14" t="n"/>
      <c r="AA187" s="13" t="n"/>
      <c r="AB187" s="17">
        <f>IF(A187="","",A187&amp;"#"&amp;C187)</f>
        <v/>
      </c>
      <c r="AC187" s="17">
        <f>IF(AND(AD187=1,D187&lt;=TODAY(),N187&lt;&gt;""),1,0)</f>
        <v/>
      </c>
      <c r="AD187" s="17">
        <f>IF(OR(A187="",D187=""),0,IF(AND(ISNUMBER(Baux!$H$17),D187&gt;Baux!$H$17),0,1))</f>
        <v/>
      </c>
    </row>
    <row r="188">
      <c r="A188" s="17">
        <f>IF(Baux!$A$17="","",Baux!$A$17)</f>
        <v/>
      </c>
      <c r="B188" s="17">
        <f>IF(A188="","",Baux!$B$17)</f>
        <v/>
      </c>
      <c r="C188" s="17" t="n">
        <v>7</v>
      </c>
      <c r="D188" s="15">
        <f>IF(OR(A188="",Baux!$F$17="",Baux!$O$17=""),"",EDATE(Baux!$F$17,12*Baux!$O$17*C188))</f>
        <v/>
      </c>
      <c r="E188" s="17">
        <f>IF(AD188=0,"",Baux!$M$17)</f>
        <v/>
      </c>
      <c r="F188" s="17">
        <f>IF(AD188=0,"",IFERROR(TEXT(VALUE(LEFT(Baux!$N$17,4))+C188*Baux!$O$17,"0")&amp;RIGHT(Baux!$N$17,3),""))</f>
        <v/>
      </c>
      <c r="G188" s="25">
        <f>IF(AD188=0,"",IF(F188="","",IF(SUMIFS(Indices_long!$C:$C,Indices_long!$A:$A,E188,Indices_long!$B:$B,F188)=0,"",SUMIFS(Indices_long!$C:$C,Indices_long!$A:$A,E188,Indices_long!$B:$B,F188))))</f>
        <v/>
      </c>
      <c r="H188" s="17">
        <f>IF(AD188=0,"",IF(Baux!$P$17="Base fixe",Baux!$N$17,IF(K187="Geler – rattrapage possible",H187,F187)))</f>
        <v/>
      </c>
      <c r="I188" s="25">
        <f>IF(AD188=0,"",IF(H188="","",IF(SUMIFS(Indices_long!$C:$C,Indices_long!$A:$A,E188,Indices_long!$B:$B,H188)=0,"",SUMIFS(Indices_long!$C:$C,Indices_long!$A:$A,E188,Indices_long!$B:$B,H188))))</f>
        <v/>
      </c>
      <c r="J188" s="26">
        <f>IF(OR(G188="",I188=""),"",G188/I188)</f>
        <v/>
      </c>
      <c r="K188" s="13" t="n"/>
      <c r="L188" s="27">
        <f>IF(AD188=0,"",IF(Baux!$P$17="Base fixe",Baux!$I$17,N187))</f>
        <v/>
      </c>
      <c r="M188" s="27">
        <f>IF(OR(J188="",L188=""),"",ROUND(L188*J188,2))</f>
        <v/>
      </c>
      <c r="N188" s="27">
        <f>IF(AD188=0,"",IF(LEFT(K188,5)="Geler",O188,IF(M188="","",IF(Baux!$Q$17="",M188,MIN(M188,ROUND(L188*(1+Baux!$Q$17/100)^IF(Baux!$P$17="Base fixe",C188*Baux!$O$17,VALUE(LEFT(F188,4))-VALUE(LEFT(H188,4))),2))))))</f>
        <v/>
      </c>
      <c r="O188" s="27">
        <f>IF(AD188=0,"",N187)</f>
        <v/>
      </c>
      <c r="P188" s="28">
        <f>IF(OR(N188="",O188=""),"",N188/O188-1)</f>
        <v/>
      </c>
      <c r="Q188" s="27">
        <f>IF(N188="","",N188/12)</f>
        <v/>
      </c>
      <c r="R188" s="27">
        <f>IF(N188="","",N188/IF(Baux!$L$17="Mensuelle",12,IF(Baux!$L$17="Trimestrielle",4,IF(Baux!$L$17="Semestrielle",2,1))))</f>
        <v/>
      </c>
      <c r="S188" s="27">
        <f>IF(AD188=0,"",IF(Baux!$J$17="",0,Baux!$J$17)/IF(Baux!$L$17="Mensuelle",12,IF(Baux!$L$17="Trimestrielle",4,IF(Baux!$L$17="Semestrielle",2,1))))</f>
        <v/>
      </c>
      <c r="T188" s="27">
        <f>IF(R188="","",(R188+S188)*Baux!$K$17/100)</f>
        <v/>
      </c>
      <c r="U188" s="27">
        <f>IF(R188="","",R188+S188+T188)</f>
        <v/>
      </c>
      <c r="V188" s="17">
        <f>IF(AD188=0,"",IF(LEFT(K188,5)="Geler","❄ Gelée",IF(G188="",IF(D188&lt;=TODAY(),"⚠ Indice attendu","À venir"),IF(D188&lt;=TODAY(),"✔ Calculable","Indice connu – à venir"))))</f>
        <v/>
      </c>
      <c r="W188" s="29" t="n"/>
      <c r="X188" s="13" t="n"/>
      <c r="Y188" s="14" t="n"/>
      <c r="Z188" s="14" t="n"/>
      <c r="AA188" s="13" t="n"/>
      <c r="AB188" s="17">
        <f>IF(A188="","",A188&amp;"#"&amp;C188)</f>
        <v/>
      </c>
      <c r="AC188" s="17">
        <f>IF(AND(AD188=1,D188&lt;=TODAY(),N188&lt;&gt;""),1,0)</f>
        <v/>
      </c>
      <c r="AD188" s="17">
        <f>IF(OR(A188="",D188=""),0,IF(AND(ISNUMBER(Baux!$H$17),D188&gt;Baux!$H$17),0,1))</f>
        <v/>
      </c>
    </row>
    <row r="189">
      <c r="A189" s="17">
        <f>IF(Baux!$A$17="","",Baux!$A$17)</f>
        <v/>
      </c>
      <c r="B189" s="17">
        <f>IF(A189="","",Baux!$B$17)</f>
        <v/>
      </c>
      <c r="C189" s="17" t="n">
        <v>8</v>
      </c>
      <c r="D189" s="15">
        <f>IF(OR(A189="",Baux!$F$17="",Baux!$O$17=""),"",EDATE(Baux!$F$17,12*Baux!$O$17*C189))</f>
        <v/>
      </c>
      <c r="E189" s="17">
        <f>IF(AD189=0,"",Baux!$M$17)</f>
        <v/>
      </c>
      <c r="F189" s="17">
        <f>IF(AD189=0,"",IFERROR(TEXT(VALUE(LEFT(Baux!$N$17,4))+C189*Baux!$O$17,"0")&amp;RIGHT(Baux!$N$17,3),""))</f>
        <v/>
      </c>
      <c r="G189" s="25">
        <f>IF(AD189=0,"",IF(F189="","",IF(SUMIFS(Indices_long!$C:$C,Indices_long!$A:$A,E189,Indices_long!$B:$B,F189)=0,"",SUMIFS(Indices_long!$C:$C,Indices_long!$A:$A,E189,Indices_long!$B:$B,F189))))</f>
        <v/>
      </c>
      <c r="H189" s="17">
        <f>IF(AD189=0,"",IF(Baux!$P$17="Base fixe",Baux!$N$17,IF(K188="Geler – rattrapage possible",H188,F188)))</f>
        <v/>
      </c>
      <c r="I189" s="25">
        <f>IF(AD189=0,"",IF(H189="","",IF(SUMIFS(Indices_long!$C:$C,Indices_long!$A:$A,E189,Indices_long!$B:$B,H189)=0,"",SUMIFS(Indices_long!$C:$C,Indices_long!$A:$A,E189,Indices_long!$B:$B,H189))))</f>
        <v/>
      </c>
      <c r="J189" s="26">
        <f>IF(OR(G189="",I189=""),"",G189/I189)</f>
        <v/>
      </c>
      <c r="K189" s="13" t="n"/>
      <c r="L189" s="27">
        <f>IF(AD189=0,"",IF(Baux!$P$17="Base fixe",Baux!$I$17,N188))</f>
        <v/>
      </c>
      <c r="M189" s="27">
        <f>IF(OR(J189="",L189=""),"",ROUND(L189*J189,2))</f>
        <v/>
      </c>
      <c r="N189" s="27">
        <f>IF(AD189=0,"",IF(LEFT(K189,5)="Geler",O189,IF(M189="","",IF(Baux!$Q$17="",M189,MIN(M189,ROUND(L189*(1+Baux!$Q$17/100)^IF(Baux!$P$17="Base fixe",C189*Baux!$O$17,VALUE(LEFT(F189,4))-VALUE(LEFT(H189,4))),2))))))</f>
        <v/>
      </c>
      <c r="O189" s="27">
        <f>IF(AD189=0,"",N188)</f>
        <v/>
      </c>
      <c r="P189" s="28">
        <f>IF(OR(N189="",O189=""),"",N189/O189-1)</f>
        <v/>
      </c>
      <c r="Q189" s="27">
        <f>IF(N189="","",N189/12)</f>
        <v/>
      </c>
      <c r="R189" s="27">
        <f>IF(N189="","",N189/IF(Baux!$L$17="Mensuelle",12,IF(Baux!$L$17="Trimestrielle",4,IF(Baux!$L$17="Semestrielle",2,1))))</f>
        <v/>
      </c>
      <c r="S189" s="27">
        <f>IF(AD189=0,"",IF(Baux!$J$17="",0,Baux!$J$17)/IF(Baux!$L$17="Mensuelle",12,IF(Baux!$L$17="Trimestrielle",4,IF(Baux!$L$17="Semestrielle",2,1))))</f>
        <v/>
      </c>
      <c r="T189" s="27">
        <f>IF(R189="","",(R189+S189)*Baux!$K$17/100)</f>
        <v/>
      </c>
      <c r="U189" s="27">
        <f>IF(R189="","",R189+S189+T189)</f>
        <v/>
      </c>
      <c r="V189" s="17">
        <f>IF(AD189=0,"",IF(LEFT(K189,5)="Geler","❄ Gelée",IF(G189="",IF(D189&lt;=TODAY(),"⚠ Indice attendu","À venir"),IF(D189&lt;=TODAY(),"✔ Calculable","Indice connu – à venir"))))</f>
        <v/>
      </c>
      <c r="W189" s="29" t="n"/>
      <c r="X189" s="13" t="n"/>
      <c r="Y189" s="14" t="n"/>
      <c r="Z189" s="14" t="n"/>
      <c r="AA189" s="13" t="n"/>
      <c r="AB189" s="17">
        <f>IF(A189="","",A189&amp;"#"&amp;C189)</f>
        <v/>
      </c>
      <c r="AC189" s="17">
        <f>IF(AND(AD189=1,D189&lt;=TODAY(),N189&lt;&gt;""),1,0)</f>
        <v/>
      </c>
      <c r="AD189" s="17">
        <f>IF(OR(A189="",D189=""),0,IF(AND(ISNUMBER(Baux!$H$17),D189&gt;Baux!$H$17),0,1))</f>
        <v/>
      </c>
    </row>
    <row r="190">
      <c r="A190" s="17">
        <f>IF(Baux!$A$17="","",Baux!$A$17)</f>
        <v/>
      </c>
      <c r="B190" s="17">
        <f>IF(A190="","",Baux!$B$17)</f>
        <v/>
      </c>
      <c r="C190" s="17" t="n">
        <v>9</v>
      </c>
      <c r="D190" s="15">
        <f>IF(OR(A190="",Baux!$F$17="",Baux!$O$17=""),"",EDATE(Baux!$F$17,12*Baux!$O$17*C190))</f>
        <v/>
      </c>
      <c r="E190" s="17">
        <f>IF(AD190=0,"",Baux!$M$17)</f>
        <v/>
      </c>
      <c r="F190" s="17">
        <f>IF(AD190=0,"",IFERROR(TEXT(VALUE(LEFT(Baux!$N$17,4))+C190*Baux!$O$17,"0")&amp;RIGHT(Baux!$N$17,3),""))</f>
        <v/>
      </c>
      <c r="G190" s="25">
        <f>IF(AD190=0,"",IF(F190="","",IF(SUMIFS(Indices_long!$C:$C,Indices_long!$A:$A,E190,Indices_long!$B:$B,F190)=0,"",SUMIFS(Indices_long!$C:$C,Indices_long!$A:$A,E190,Indices_long!$B:$B,F190))))</f>
        <v/>
      </c>
      <c r="H190" s="17">
        <f>IF(AD190=0,"",IF(Baux!$P$17="Base fixe",Baux!$N$17,IF(K189="Geler – rattrapage possible",H189,F189)))</f>
        <v/>
      </c>
      <c r="I190" s="25">
        <f>IF(AD190=0,"",IF(H190="","",IF(SUMIFS(Indices_long!$C:$C,Indices_long!$A:$A,E190,Indices_long!$B:$B,H190)=0,"",SUMIFS(Indices_long!$C:$C,Indices_long!$A:$A,E190,Indices_long!$B:$B,H190))))</f>
        <v/>
      </c>
      <c r="J190" s="26">
        <f>IF(OR(G190="",I190=""),"",G190/I190)</f>
        <v/>
      </c>
      <c r="K190" s="13" t="n"/>
      <c r="L190" s="27">
        <f>IF(AD190=0,"",IF(Baux!$P$17="Base fixe",Baux!$I$17,N189))</f>
        <v/>
      </c>
      <c r="M190" s="27">
        <f>IF(OR(J190="",L190=""),"",ROUND(L190*J190,2))</f>
        <v/>
      </c>
      <c r="N190" s="27">
        <f>IF(AD190=0,"",IF(LEFT(K190,5)="Geler",O190,IF(M190="","",IF(Baux!$Q$17="",M190,MIN(M190,ROUND(L190*(1+Baux!$Q$17/100)^IF(Baux!$P$17="Base fixe",C190*Baux!$O$17,VALUE(LEFT(F190,4))-VALUE(LEFT(H190,4))),2))))))</f>
        <v/>
      </c>
      <c r="O190" s="27">
        <f>IF(AD190=0,"",N189)</f>
        <v/>
      </c>
      <c r="P190" s="28">
        <f>IF(OR(N190="",O190=""),"",N190/O190-1)</f>
        <v/>
      </c>
      <c r="Q190" s="27">
        <f>IF(N190="","",N190/12)</f>
        <v/>
      </c>
      <c r="R190" s="27">
        <f>IF(N190="","",N190/IF(Baux!$L$17="Mensuelle",12,IF(Baux!$L$17="Trimestrielle",4,IF(Baux!$L$17="Semestrielle",2,1))))</f>
        <v/>
      </c>
      <c r="S190" s="27">
        <f>IF(AD190=0,"",IF(Baux!$J$17="",0,Baux!$J$17)/IF(Baux!$L$17="Mensuelle",12,IF(Baux!$L$17="Trimestrielle",4,IF(Baux!$L$17="Semestrielle",2,1))))</f>
        <v/>
      </c>
      <c r="T190" s="27">
        <f>IF(R190="","",(R190+S190)*Baux!$K$17/100)</f>
        <v/>
      </c>
      <c r="U190" s="27">
        <f>IF(R190="","",R190+S190+T190)</f>
        <v/>
      </c>
      <c r="V190" s="17">
        <f>IF(AD190=0,"",IF(LEFT(K190,5)="Geler","❄ Gelée",IF(G190="",IF(D190&lt;=TODAY(),"⚠ Indice attendu","À venir"),IF(D190&lt;=TODAY(),"✔ Calculable","Indice connu – à venir"))))</f>
        <v/>
      </c>
      <c r="W190" s="29" t="n"/>
      <c r="X190" s="13" t="n"/>
      <c r="Y190" s="14" t="n"/>
      <c r="Z190" s="14" t="n"/>
      <c r="AA190" s="13" t="n"/>
      <c r="AB190" s="17">
        <f>IF(A190="","",A190&amp;"#"&amp;C190)</f>
        <v/>
      </c>
      <c r="AC190" s="17">
        <f>IF(AND(AD190=1,D190&lt;=TODAY(),N190&lt;&gt;""),1,0)</f>
        <v/>
      </c>
      <c r="AD190" s="17">
        <f>IF(OR(A190="",D190=""),0,IF(AND(ISNUMBER(Baux!$H$17),D190&gt;Baux!$H$17),0,1))</f>
        <v/>
      </c>
    </row>
    <row r="191">
      <c r="A191" s="17">
        <f>IF(Baux!$A$17="","",Baux!$A$17)</f>
        <v/>
      </c>
      <c r="B191" s="17">
        <f>IF(A191="","",Baux!$B$17)</f>
        <v/>
      </c>
      <c r="C191" s="17" t="n">
        <v>10</v>
      </c>
      <c r="D191" s="15">
        <f>IF(OR(A191="",Baux!$F$17="",Baux!$O$17=""),"",EDATE(Baux!$F$17,12*Baux!$O$17*C191))</f>
        <v/>
      </c>
      <c r="E191" s="17">
        <f>IF(AD191=0,"",Baux!$M$17)</f>
        <v/>
      </c>
      <c r="F191" s="17">
        <f>IF(AD191=0,"",IFERROR(TEXT(VALUE(LEFT(Baux!$N$17,4))+C191*Baux!$O$17,"0")&amp;RIGHT(Baux!$N$17,3),""))</f>
        <v/>
      </c>
      <c r="G191" s="25">
        <f>IF(AD191=0,"",IF(F191="","",IF(SUMIFS(Indices_long!$C:$C,Indices_long!$A:$A,E191,Indices_long!$B:$B,F191)=0,"",SUMIFS(Indices_long!$C:$C,Indices_long!$A:$A,E191,Indices_long!$B:$B,F191))))</f>
        <v/>
      </c>
      <c r="H191" s="17">
        <f>IF(AD191=0,"",IF(Baux!$P$17="Base fixe",Baux!$N$17,IF(K190="Geler – rattrapage possible",H190,F190)))</f>
        <v/>
      </c>
      <c r="I191" s="25">
        <f>IF(AD191=0,"",IF(H191="","",IF(SUMIFS(Indices_long!$C:$C,Indices_long!$A:$A,E191,Indices_long!$B:$B,H191)=0,"",SUMIFS(Indices_long!$C:$C,Indices_long!$A:$A,E191,Indices_long!$B:$B,H191))))</f>
        <v/>
      </c>
      <c r="J191" s="26">
        <f>IF(OR(G191="",I191=""),"",G191/I191)</f>
        <v/>
      </c>
      <c r="K191" s="13" t="n"/>
      <c r="L191" s="27">
        <f>IF(AD191=0,"",IF(Baux!$P$17="Base fixe",Baux!$I$17,N190))</f>
        <v/>
      </c>
      <c r="M191" s="27">
        <f>IF(OR(J191="",L191=""),"",ROUND(L191*J191,2))</f>
        <v/>
      </c>
      <c r="N191" s="27">
        <f>IF(AD191=0,"",IF(LEFT(K191,5)="Geler",O191,IF(M191="","",IF(Baux!$Q$17="",M191,MIN(M191,ROUND(L191*(1+Baux!$Q$17/100)^IF(Baux!$P$17="Base fixe",C191*Baux!$O$17,VALUE(LEFT(F191,4))-VALUE(LEFT(H191,4))),2))))))</f>
        <v/>
      </c>
      <c r="O191" s="27">
        <f>IF(AD191=0,"",N190)</f>
        <v/>
      </c>
      <c r="P191" s="28">
        <f>IF(OR(N191="",O191=""),"",N191/O191-1)</f>
        <v/>
      </c>
      <c r="Q191" s="27">
        <f>IF(N191="","",N191/12)</f>
        <v/>
      </c>
      <c r="R191" s="27">
        <f>IF(N191="","",N191/IF(Baux!$L$17="Mensuelle",12,IF(Baux!$L$17="Trimestrielle",4,IF(Baux!$L$17="Semestrielle",2,1))))</f>
        <v/>
      </c>
      <c r="S191" s="27">
        <f>IF(AD191=0,"",IF(Baux!$J$17="",0,Baux!$J$17)/IF(Baux!$L$17="Mensuelle",12,IF(Baux!$L$17="Trimestrielle",4,IF(Baux!$L$17="Semestrielle",2,1))))</f>
        <v/>
      </c>
      <c r="T191" s="27">
        <f>IF(R191="","",(R191+S191)*Baux!$K$17/100)</f>
        <v/>
      </c>
      <c r="U191" s="27">
        <f>IF(R191="","",R191+S191+T191)</f>
        <v/>
      </c>
      <c r="V191" s="17">
        <f>IF(AD191=0,"",IF(LEFT(K191,5)="Geler","❄ Gelée",IF(G191="",IF(D191&lt;=TODAY(),"⚠ Indice attendu","À venir"),IF(D191&lt;=TODAY(),"✔ Calculable","Indice connu – à venir"))))</f>
        <v/>
      </c>
      <c r="W191" s="29" t="n"/>
      <c r="X191" s="13" t="n"/>
      <c r="Y191" s="14" t="n"/>
      <c r="Z191" s="14" t="n"/>
      <c r="AA191" s="13" t="n"/>
      <c r="AB191" s="17">
        <f>IF(A191="","",A191&amp;"#"&amp;C191)</f>
        <v/>
      </c>
      <c r="AC191" s="17">
        <f>IF(AND(AD191=1,D191&lt;=TODAY(),N191&lt;&gt;""),1,0)</f>
        <v/>
      </c>
      <c r="AD191" s="17">
        <f>IF(OR(A191="",D191=""),0,IF(AND(ISNUMBER(Baux!$H$17),D191&gt;Baux!$H$17),0,1))</f>
        <v/>
      </c>
    </row>
    <row r="192">
      <c r="A192" s="17">
        <f>IF(Baux!$A$17="","",Baux!$A$17)</f>
        <v/>
      </c>
      <c r="B192" s="17">
        <f>IF(A192="","",Baux!$B$17)</f>
        <v/>
      </c>
      <c r="C192" s="17" t="n">
        <v>11</v>
      </c>
      <c r="D192" s="15">
        <f>IF(OR(A192="",Baux!$F$17="",Baux!$O$17=""),"",EDATE(Baux!$F$17,12*Baux!$O$17*C192))</f>
        <v/>
      </c>
      <c r="E192" s="17">
        <f>IF(AD192=0,"",Baux!$M$17)</f>
        <v/>
      </c>
      <c r="F192" s="17">
        <f>IF(AD192=0,"",IFERROR(TEXT(VALUE(LEFT(Baux!$N$17,4))+C192*Baux!$O$17,"0")&amp;RIGHT(Baux!$N$17,3),""))</f>
        <v/>
      </c>
      <c r="G192" s="25">
        <f>IF(AD192=0,"",IF(F192="","",IF(SUMIFS(Indices_long!$C:$C,Indices_long!$A:$A,E192,Indices_long!$B:$B,F192)=0,"",SUMIFS(Indices_long!$C:$C,Indices_long!$A:$A,E192,Indices_long!$B:$B,F192))))</f>
        <v/>
      </c>
      <c r="H192" s="17">
        <f>IF(AD192=0,"",IF(Baux!$P$17="Base fixe",Baux!$N$17,IF(K191="Geler – rattrapage possible",H191,F191)))</f>
        <v/>
      </c>
      <c r="I192" s="25">
        <f>IF(AD192=0,"",IF(H192="","",IF(SUMIFS(Indices_long!$C:$C,Indices_long!$A:$A,E192,Indices_long!$B:$B,H192)=0,"",SUMIFS(Indices_long!$C:$C,Indices_long!$A:$A,E192,Indices_long!$B:$B,H192))))</f>
        <v/>
      </c>
      <c r="J192" s="26">
        <f>IF(OR(G192="",I192=""),"",G192/I192)</f>
        <v/>
      </c>
      <c r="K192" s="13" t="n"/>
      <c r="L192" s="27">
        <f>IF(AD192=0,"",IF(Baux!$P$17="Base fixe",Baux!$I$17,N191))</f>
        <v/>
      </c>
      <c r="M192" s="27">
        <f>IF(OR(J192="",L192=""),"",ROUND(L192*J192,2))</f>
        <v/>
      </c>
      <c r="N192" s="27">
        <f>IF(AD192=0,"",IF(LEFT(K192,5)="Geler",O192,IF(M192="","",IF(Baux!$Q$17="",M192,MIN(M192,ROUND(L192*(1+Baux!$Q$17/100)^IF(Baux!$P$17="Base fixe",C192*Baux!$O$17,VALUE(LEFT(F192,4))-VALUE(LEFT(H192,4))),2))))))</f>
        <v/>
      </c>
      <c r="O192" s="27">
        <f>IF(AD192=0,"",N191)</f>
        <v/>
      </c>
      <c r="P192" s="28">
        <f>IF(OR(N192="",O192=""),"",N192/O192-1)</f>
        <v/>
      </c>
      <c r="Q192" s="27">
        <f>IF(N192="","",N192/12)</f>
        <v/>
      </c>
      <c r="R192" s="27">
        <f>IF(N192="","",N192/IF(Baux!$L$17="Mensuelle",12,IF(Baux!$L$17="Trimestrielle",4,IF(Baux!$L$17="Semestrielle",2,1))))</f>
        <v/>
      </c>
      <c r="S192" s="27">
        <f>IF(AD192=0,"",IF(Baux!$J$17="",0,Baux!$J$17)/IF(Baux!$L$17="Mensuelle",12,IF(Baux!$L$17="Trimestrielle",4,IF(Baux!$L$17="Semestrielle",2,1))))</f>
        <v/>
      </c>
      <c r="T192" s="27">
        <f>IF(R192="","",(R192+S192)*Baux!$K$17/100)</f>
        <v/>
      </c>
      <c r="U192" s="27">
        <f>IF(R192="","",R192+S192+T192)</f>
        <v/>
      </c>
      <c r="V192" s="17">
        <f>IF(AD192=0,"",IF(LEFT(K192,5)="Geler","❄ Gelée",IF(G192="",IF(D192&lt;=TODAY(),"⚠ Indice attendu","À venir"),IF(D192&lt;=TODAY(),"✔ Calculable","Indice connu – à venir"))))</f>
        <v/>
      </c>
      <c r="W192" s="29" t="n"/>
      <c r="X192" s="13" t="n"/>
      <c r="Y192" s="14" t="n"/>
      <c r="Z192" s="14" t="n"/>
      <c r="AA192" s="13" t="n"/>
      <c r="AB192" s="17">
        <f>IF(A192="","",A192&amp;"#"&amp;C192)</f>
        <v/>
      </c>
      <c r="AC192" s="17">
        <f>IF(AND(AD192=1,D192&lt;=TODAY(),N192&lt;&gt;""),1,0)</f>
        <v/>
      </c>
      <c r="AD192" s="17">
        <f>IF(OR(A192="",D192=""),0,IF(AND(ISNUMBER(Baux!$H$17),D192&gt;Baux!$H$17),0,1))</f>
        <v/>
      </c>
    </row>
    <row r="193">
      <c r="A193" s="17">
        <f>IF(Baux!$A$17="","",Baux!$A$17)</f>
        <v/>
      </c>
      <c r="B193" s="17">
        <f>IF(A193="","",Baux!$B$17)</f>
        <v/>
      </c>
      <c r="C193" s="17" t="n">
        <v>12</v>
      </c>
      <c r="D193" s="15">
        <f>IF(OR(A193="",Baux!$F$17="",Baux!$O$17=""),"",EDATE(Baux!$F$17,12*Baux!$O$17*C193))</f>
        <v/>
      </c>
      <c r="E193" s="17">
        <f>IF(AD193=0,"",Baux!$M$17)</f>
        <v/>
      </c>
      <c r="F193" s="17">
        <f>IF(AD193=0,"",IFERROR(TEXT(VALUE(LEFT(Baux!$N$17,4))+C193*Baux!$O$17,"0")&amp;RIGHT(Baux!$N$17,3),""))</f>
        <v/>
      </c>
      <c r="G193" s="25">
        <f>IF(AD193=0,"",IF(F193="","",IF(SUMIFS(Indices_long!$C:$C,Indices_long!$A:$A,E193,Indices_long!$B:$B,F193)=0,"",SUMIFS(Indices_long!$C:$C,Indices_long!$A:$A,E193,Indices_long!$B:$B,F193))))</f>
        <v/>
      </c>
      <c r="H193" s="17">
        <f>IF(AD193=0,"",IF(Baux!$P$17="Base fixe",Baux!$N$17,IF(K192="Geler – rattrapage possible",H192,F192)))</f>
        <v/>
      </c>
      <c r="I193" s="25">
        <f>IF(AD193=0,"",IF(H193="","",IF(SUMIFS(Indices_long!$C:$C,Indices_long!$A:$A,E193,Indices_long!$B:$B,H193)=0,"",SUMIFS(Indices_long!$C:$C,Indices_long!$A:$A,E193,Indices_long!$B:$B,H193))))</f>
        <v/>
      </c>
      <c r="J193" s="26">
        <f>IF(OR(G193="",I193=""),"",G193/I193)</f>
        <v/>
      </c>
      <c r="K193" s="13" t="n"/>
      <c r="L193" s="27">
        <f>IF(AD193=0,"",IF(Baux!$P$17="Base fixe",Baux!$I$17,N192))</f>
        <v/>
      </c>
      <c r="M193" s="27">
        <f>IF(OR(J193="",L193=""),"",ROUND(L193*J193,2))</f>
        <v/>
      </c>
      <c r="N193" s="27">
        <f>IF(AD193=0,"",IF(LEFT(K193,5)="Geler",O193,IF(M193="","",IF(Baux!$Q$17="",M193,MIN(M193,ROUND(L193*(1+Baux!$Q$17/100)^IF(Baux!$P$17="Base fixe",C193*Baux!$O$17,VALUE(LEFT(F193,4))-VALUE(LEFT(H193,4))),2))))))</f>
        <v/>
      </c>
      <c r="O193" s="27">
        <f>IF(AD193=0,"",N192)</f>
        <v/>
      </c>
      <c r="P193" s="28">
        <f>IF(OR(N193="",O193=""),"",N193/O193-1)</f>
        <v/>
      </c>
      <c r="Q193" s="27">
        <f>IF(N193="","",N193/12)</f>
        <v/>
      </c>
      <c r="R193" s="27">
        <f>IF(N193="","",N193/IF(Baux!$L$17="Mensuelle",12,IF(Baux!$L$17="Trimestrielle",4,IF(Baux!$L$17="Semestrielle",2,1))))</f>
        <v/>
      </c>
      <c r="S193" s="27">
        <f>IF(AD193=0,"",IF(Baux!$J$17="",0,Baux!$J$17)/IF(Baux!$L$17="Mensuelle",12,IF(Baux!$L$17="Trimestrielle",4,IF(Baux!$L$17="Semestrielle",2,1))))</f>
        <v/>
      </c>
      <c r="T193" s="27">
        <f>IF(R193="","",(R193+S193)*Baux!$K$17/100)</f>
        <v/>
      </c>
      <c r="U193" s="27">
        <f>IF(R193="","",R193+S193+T193)</f>
        <v/>
      </c>
      <c r="V193" s="17">
        <f>IF(AD193=0,"",IF(LEFT(K193,5)="Geler","❄ Gelée",IF(G193="",IF(D193&lt;=TODAY(),"⚠ Indice attendu","À venir"),IF(D193&lt;=TODAY(),"✔ Calculable","Indice connu – à venir"))))</f>
        <v/>
      </c>
      <c r="W193" s="29" t="n"/>
      <c r="X193" s="13" t="n"/>
      <c r="Y193" s="14" t="n"/>
      <c r="Z193" s="14" t="n"/>
      <c r="AA193" s="13" t="n"/>
      <c r="AB193" s="17">
        <f>IF(A193="","",A193&amp;"#"&amp;C193)</f>
        <v/>
      </c>
      <c r="AC193" s="17">
        <f>IF(AND(AD193=1,D193&lt;=TODAY(),N193&lt;&gt;""),1,0)</f>
        <v/>
      </c>
      <c r="AD193" s="17">
        <f>IF(OR(A193="",D193=""),0,IF(AND(ISNUMBER(Baux!$H$17),D193&gt;Baux!$H$17),0,1))</f>
        <v/>
      </c>
    </row>
    <row r="194">
      <c r="A194" s="17">
        <f>IF(Baux!$A$18="","",Baux!$A$18)</f>
        <v/>
      </c>
      <c r="B194" s="17">
        <f>IF(A194="","",Baux!$B$18)</f>
        <v/>
      </c>
      <c r="C194" s="17" t="n">
        <v>1</v>
      </c>
      <c r="D194" s="15">
        <f>IF(OR(A194="",Baux!$F$18="",Baux!$O$18=""),"",EDATE(Baux!$F$18,12*Baux!$O$18*C194))</f>
        <v/>
      </c>
      <c r="E194" s="17">
        <f>IF(AD194=0,"",Baux!$M$18)</f>
        <v/>
      </c>
      <c r="F194" s="17">
        <f>IF(AD194=0,"",IFERROR(TEXT(VALUE(LEFT(Baux!$N$18,4))+C194*Baux!$O$18,"0")&amp;RIGHT(Baux!$N$18,3),""))</f>
        <v/>
      </c>
      <c r="G194" s="25">
        <f>IF(AD194=0,"",IF(F194="","",IF(SUMIFS(Indices_long!$C:$C,Indices_long!$A:$A,E194,Indices_long!$B:$B,F194)=0,"",SUMIFS(Indices_long!$C:$C,Indices_long!$A:$A,E194,Indices_long!$B:$B,F194))))</f>
        <v/>
      </c>
      <c r="H194" s="17">
        <f>IF(AD194=0,"",Baux!$N$18)</f>
        <v/>
      </c>
      <c r="I194" s="25">
        <f>IF(AD194=0,"",IF(H194="","",IF(SUMIFS(Indices_long!$C:$C,Indices_long!$A:$A,E194,Indices_long!$B:$B,H194)=0,"",SUMIFS(Indices_long!$C:$C,Indices_long!$A:$A,E194,Indices_long!$B:$B,H194))))</f>
        <v/>
      </c>
      <c r="J194" s="26">
        <f>IF(OR(G194="",I194=""),"",G194/I194)</f>
        <v/>
      </c>
      <c r="K194" s="13" t="n"/>
      <c r="L194" s="27">
        <f>IF(AD194=0,"",Baux!$I$18)</f>
        <v/>
      </c>
      <c r="M194" s="27">
        <f>IF(OR(J194="",L194=""),"",ROUND(L194*J194,2))</f>
        <v/>
      </c>
      <c r="N194" s="27">
        <f>IF(AD194=0,"",IF(LEFT(K194,5)="Geler",O194,IF(M194="","",IF(Baux!$Q$18="",M194,MIN(M194,ROUND(L194*(1+Baux!$Q$18/100)^IF(Baux!$P$18="Base fixe",C194*Baux!$O$18,VALUE(LEFT(F194,4))-VALUE(LEFT(H194,4))),2))))))</f>
        <v/>
      </c>
      <c r="O194" s="27">
        <f>IF(AD194=0,"",Baux!$I$18)</f>
        <v/>
      </c>
      <c r="P194" s="28">
        <f>IF(OR(N194="",O194=""),"",N194/O194-1)</f>
        <v/>
      </c>
      <c r="Q194" s="27">
        <f>IF(N194="","",N194/12)</f>
        <v/>
      </c>
      <c r="R194" s="27">
        <f>IF(N194="","",N194/IF(Baux!$L$18="Mensuelle",12,IF(Baux!$L$18="Trimestrielle",4,IF(Baux!$L$18="Semestrielle",2,1))))</f>
        <v/>
      </c>
      <c r="S194" s="27">
        <f>IF(AD194=0,"",IF(Baux!$J$18="",0,Baux!$J$18)/IF(Baux!$L$18="Mensuelle",12,IF(Baux!$L$18="Trimestrielle",4,IF(Baux!$L$18="Semestrielle",2,1))))</f>
        <v/>
      </c>
      <c r="T194" s="27">
        <f>IF(R194="","",(R194+S194)*Baux!$K$18/100)</f>
        <v/>
      </c>
      <c r="U194" s="27">
        <f>IF(R194="","",R194+S194+T194)</f>
        <v/>
      </c>
      <c r="V194" s="17">
        <f>IF(AD194=0,"",IF(LEFT(K194,5)="Geler","❄ Gelée",IF(G194="",IF(D194&lt;=TODAY(),"⚠ Indice attendu","À venir"),IF(D194&lt;=TODAY(),"✔ Calculable","Indice connu – à venir"))))</f>
        <v/>
      </c>
      <c r="W194" s="29" t="n"/>
      <c r="X194" s="13" t="n"/>
      <c r="Y194" s="14" t="n"/>
      <c r="Z194" s="14" t="n"/>
      <c r="AA194" s="13" t="n"/>
      <c r="AB194" s="17">
        <f>IF(A194="","",A194&amp;"#"&amp;C194)</f>
        <v/>
      </c>
      <c r="AC194" s="17">
        <f>IF(AND(AD194=1,D194&lt;=TODAY(),N194&lt;&gt;""),1,0)</f>
        <v/>
      </c>
      <c r="AD194" s="17">
        <f>IF(OR(A194="",D194=""),0,IF(AND(ISNUMBER(Baux!$H$18),D194&gt;Baux!$H$18),0,1))</f>
        <v/>
      </c>
    </row>
    <row r="195">
      <c r="A195" s="17">
        <f>IF(Baux!$A$18="","",Baux!$A$18)</f>
        <v/>
      </c>
      <c r="B195" s="17">
        <f>IF(A195="","",Baux!$B$18)</f>
        <v/>
      </c>
      <c r="C195" s="17" t="n">
        <v>2</v>
      </c>
      <c r="D195" s="15">
        <f>IF(OR(A195="",Baux!$F$18="",Baux!$O$18=""),"",EDATE(Baux!$F$18,12*Baux!$O$18*C195))</f>
        <v/>
      </c>
      <c r="E195" s="17">
        <f>IF(AD195=0,"",Baux!$M$18)</f>
        <v/>
      </c>
      <c r="F195" s="17">
        <f>IF(AD195=0,"",IFERROR(TEXT(VALUE(LEFT(Baux!$N$18,4))+C195*Baux!$O$18,"0")&amp;RIGHT(Baux!$N$18,3),""))</f>
        <v/>
      </c>
      <c r="G195" s="25">
        <f>IF(AD195=0,"",IF(F195="","",IF(SUMIFS(Indices_long!$C:$C,Indices_long!$A:$A,E195,Indices_long!$B:$B,F195)=0,"",SUMIFS(Indices_long!$C:$C,Indices_long!$A:$A,E195,Indices_long!$B:$B,F195))))</f>
        <v/>
      </c>
      <c r="H195" s="17">
        <f>IF(AD195=0,"",IF(Baux!$P$18="Base fixe",Baux!$N$18,IF(K194="Geler – rattrapage possible",H194,F194)))</f>
        <v/>
      </c>
      <c r="I195" s="25">
        <f>IF(AD195=0,"",IF(H195="","",IF(SUMIFS(Indices_long!$C:$C,Indices_long!$A:$A,E195,Indices_long!$B:$B,H195)=0,"",SUMIFS(Indices_long!$C:$C,Indices_long!$A:$A,E195,Indices_long!$B:$B,H195))))</f>
        <v/>
      </c>
      <c r="J195" s="26">
        <f>IF(OR(G195="",I195=""),"",G195/I195)</f>
        <v/>
      </c>
      <c r="K195" s="13" t="n"/>
      <c r="L195" s="27">
        <f>IF(AD195=0,"",IF(Baux!$P$18="Base fixe",Baux!$I$18,N194))</f>
        <v/>
      </c>
      <c r="M195" s="27">
        <f>IF(OR(J195="",L195=""),"",ROUND(L195*J195,2))</f>
        <v/>
      </c>
      <c r="N195" s="27">
        <f>IF(AD195=0,"",IF(LEFT(K195,5)="Geler",O195,IF(M195="","",IF(Baux!$Q$18="",M195,MIN(M195,ROUND(L195*(1+Baux!$Q$18/100)^IF(Baux!$P$18="Base fixe",C195*Baux!$O$18,VALUE(LEFT(F195,4))-VALUE(LEFT(H195,4))),2))))))</f>
        <v/>
      </c>
      <c r="O195" s="27">
        <f>IF(AD195=0,"",N194)</f>
        <v/>
      </c>
      <c r="P195" s="28">
        <f>IF(OR(N195="",O195=""),"",N195/O195-1)</f>
        <v/>
      </c>
      <c r="Q195" s="27">
        <f>IF(N195="","",N195/12)</f>
        <v/>
      </c>
      <c r="R195" s="27">
        <f>IF(N195="","",N195/IF(Baux!$L$18="Mensuelle",12,IF(Baux!$L$18="Trimestrielle",4,IF(Baux!$L$18="Semestrielle",2,1))))</f>
        <v/>
      </c>
      <c r="S195" s="27">
        <f>IF(AD195=0,"",IF(Baux!$J$18="",0,Baux!$J$18)/IF(Baux!$L$18="Mensuelle",12,IF(Baux!$L$18="Trimestrielle",4,IF(Baux!$L$18="Semestrielle",2,1))))</f>
        <v/>
      </c>
      <c r="T195" s="27">
        <f>IF(R195="","",(R195+S195)*Baux!$K$18/100)</f>
        <v/>
      </c>
      <c r="U195" s="27">
        <f>IF(R195="","",R195+S195+T195)</f>
        <v/>
      </c>
      <c r="V195" s="17">
        <f>IF(AD195=0,"",IF(LEFT(K195,5)="Geler","❄ Gelée",IF(G195="",IF(D195&lt;=TODAY(),"⚠ Indice attendu","À venir"),IF(D195&lt;=TODAY(),"✔ Calculable","Indice connu – à venir"))))</f>
        <v/>
      </c>
      <c r="W195" s="29" t="n"/>
      <c r="X195" s="13" t="n"/>
      <c r="Y195" s="14" t="n"/>
      <c r="Z195" s="14" t="n"/>
      <c r="AA195" s="13" t="n"/>
      <c r="AB195" s="17">
        <f>IF(A195="","",A195&amp;"#"&amp;C195)</f>
        <v/>
      </c>
      <c r="AC195" s="17">
        <f>IF(AND(AD195=1,D195&lt;=TODAY(),N195&lt;&gt;""),1,0)</f>
        <v/>
      </c>
      <c r="AD195" s="17">
        <f>IF(OR(A195="",D195=""),0,IF(AND(ISNUMBER(Baux!$H$18),D195&gt;Baux!$H$18),0,1))</f>
        <v/>
      </c>
    </row>
    <row r="196">
      <c r="A196" s="17">
        <f>IF(Baux!$A$18="","",Baux!$A$18)</f>
        <v/>
      </c>
      <c r="B196" s="17">
        <f>IF(A196="","",Baux!$B$18)</f>
        <v/>
      </c>
      <c r="C196" s="17" t="n">
        <v>3</v>
      </c>
      <c r="D196" s="15">
        <f>IF(OR(A196="",Baux!$F$18="",Baux!$O$18=""),"",EDATE(Baux!$F$18,12*Baux!$O$18*C196))</f>
        <v/>
      </c>
      <c r="E196" s="17">
        <f>IF(AD196=0,"",Baux!$M$18)</f>
        <v/>
      </c>
      <c r="F196" s="17">
        <f>IF(AD196=0,"",IFERROR(TEXT(VALUE(LEFT(Baux!$N$18,4))+C196*Baux!$O$18,"0")&amp;RIGHT(Baux!$N$18,3),""))</f>
        <v/>
      </c>
      <c r="G196" s="25">
        <f>IF(AD196=0,"",IF(F196="","",IF(SUMIFS(Indices_long!$C:$C,Indices_long!$A:$A,E196,Indices_long!$B:$B,F196)=0,"",SUMIFS(Indices_long!$C:$C,Indices_long!$A:$A,E196,Indices_long!$B:$B,F196))))</f>
        <v/>
      </c>
      <c r="H196" s="17">
        <f>IF(AD196=0,"",IF(Baux!$P$18="Base fixe",Baux!$N$18,IF(K195="Geler – rattrapage possible",H195,F195)))</f>
        <v/>
      </c>
      <c r="I196" s="25">
        <f>IF(AD196=0,"",IF(H196="","",IF(SUMIFS(Indices_long!$C:$C,Indices_long!$A:$A,E196,Indices_long!$B:$B,H196)=0,"",SUMIFS(Indices_long!$C:$C,Indices_long!$A:$A,E196,Indices_long!$B:$B,H196))))</f>
        <v/>
      </c>
      <c r="J196" s="26">
        <f>IF(OR(G196="",I196=""),"",G196/I196)</f>
        <v/>
      </c>
      <c r="K196" s="13" t="n"/>
      <c r="L196" s="27">
        <f>IF(AD196=0,"",IF(Baux!$P$18="Base fixe",Baux!$I$18,N195))</f>
        <v/>
      </c>
      <c r="M196" s="27">
        <f>IF(OR(J196="",L196=""),"",ROUND(L196*J196,2))</f>
        <v/>
      </c>
      <c r="N196" s="27">
        <f>IF(AD196=0,"",IF(LEFT(K196,5)="Geler",O196,IF(M196="","",IF(Baux!$Q$18="",M196,MIN(M196,ROUND(L196*(1+Baux!$Q$18/100)^IF(Baux!$P$18="Base fixe",C196*Baux!$O$18,VALUE(LEFT(F196,4))-VALUE(LEFT(H196,4))),2))))))</f>
        <v/>
      </c>
      <c r="O196" s="27">
        <f>IF(AD196=0,"",N195)</f>
        <v/>
      </c>
      <c r="P196" s="28">
        <f>IF(OR(N196="",O196=""),"",N196/O196-1)</f>
        <v/>
      </c>
      <c r="Q196" s="27">
        <f>IF(N196="","",N196/12)</f>
        <v/>
      </c>
      <c r="R196" s="27">
        <f>IF(N196="","",N196/IF(Baux!$L$18="Mensuelle",12,IF(Baux!$L$18="Trimestrielle",4,IF(Baux!$L$18="Semestrielle",2,1))))</f>
        <v/>
      </c>
      <c r="S196" s="27">
        <f>IF(AD196=0,"",IF(Baux!$J$18="",0,Baux!$J$18)/IF(Baux!$L$18="Mensuelle",12,IF(Baux!$L$18="Trimestrielle",4,IF(Baux!$L$18="Semestrielle",2,1))))</f>
        <v/>
      </c>
      <c r="T196" s="27">
        <f>IF(R196="","",(R196+S196)*Baux!$K$18/100)</f>
        <v/>
      </c>
      <c r="U196" s="27">
        <f>IF(R196="","",R196+S196+T196)</f>
        <v/>
      </c>
      <c r="V196" s="17">
        <f>IF(AD196=0,"",IF(LEFT(K196,5)="Geler","❄ Gelée",IF(G196="",IF(D196&lt;=TODAY(),"⚠ Indice attendu","À venir"),IF(D196&lt;=TODAY(),"✔ Calculable","Indice connu – à venir"))))</f>
        <v/>
      </c>
      <c r="W196" s="29" t="n"/>
      <c r="X196" s="13" t="n"/>
      <c r="Y196" s="14" t="n"/>
      <c r="Z196" s="14" t="n"/>
      <c r="AA196" s="13" t="n"/>
      <c r="AB196" s="17">
        <f>IF(A196="","",A196&amp;"#"&amp;C196)</f>
        <v/>
      </c>
      <c r="AC196" s="17">
        <f>IF(AND(AD196=1,D196&lt;=TODAY(),N196&lt;&gt;""),1,0)</f>
        <v/>
      </c>
      <c r="AD196" s="17">
        <f>IF(OR(A196="",D196=""),0,IF(AND(ISNUMBER(Baux!$H$18),D196&gt;Baux!$H$18),0,1))</f>
        <v/>
      </c>
    </row>
    <row r="197">
      <c r="A197" s="17">
        <f>IF(Baux!$A$18="","",Baux!$A$18)</f>
        <v/>
      </c>
      <c r="B197" s="17">
        <f>IF(A197="","",Baux!$B$18)</f>
        <v/>
      </c>
      <c r="C197" s="17" t="n">
        <v>4</v>
      </c>
      <c r="D197" s="15">
        <f>IF(OR(A197="",Baux!$F$18="",Baux!$O$18=""),"",EDATE(Baux!$F$18,12*Baux!$O$18*C197))</f>
        <v/>
      </c>
      <c r="E197" s="17">
        <f>IF(AD197=0,"",Baux!$M$18)</f>
        <v/>
      </c>
      <c r="F197" s="17">
        <f>IF(AD197=0,"",IFERROR(TEXT(VALUE(LEFT(Baux!$N$18,4))+C197*Baux!$O$18,"0")&amp;RIGHT(Baux!$N$18,3),""))</f>
        <v/>
      </c>
      <c r="G197" s="25">
        <f>IF(AD197=0,"",IF(F197="","",IF(SUMIFS(Indices_long!$C:$C,Indices_long!$A:$A,E197,Indices_long!$B:$B,F197)=0,"",SUMIFS(Indices_long!$C:$C,Indices_long!$A:$A,E197,Indices_long!$B:$B,F197))))</f>
        <v/>
      </c>
      <c r="H197" s="17">
        <f>IF(AD197=0,"",IF(Baux!$P$18="Base fixe",Baux!$N$18,IF(K196="Geler – rattrapage possible",H196,F196)))</f>
        <v/>
      </c>
      <c r="I197" s="25">
        <f>IF(AD197=0,"",IF(H197="","",IF(SUMIFS(Indices_long!$C:$C,Indices_long!$A:$A,E197,Indices_long!$B:$B,H197)=0,"",SUMIFS(Indices_long!$C:$C,Indices_long!$A:$A,E197,Indices_long!$B:$B,H197))))</f>
        <v/>
      </c>
      <c r="J197" s="26">
        <f>IF(OR(G197="",I197=""),"",G197/I197)</f>
        <v/>
      </c>
      <c r="K197" s="13" t="n"/>
      <c r="L197" s="27">
        <f>IF(AD197=0,"",IF(Baux!$P$18="Base fixe",Baux!$I$18,N196))</f>
        <v/>
      </c>
      <c r="M197" s="27">
        <f>IF(OR(J197="",L197=""),"",ROUND(L197*J197,2))</f>
        <v/>
      </c>
      <c r="N197" s="27">
        <f>IF(AD197=0,"",IF(LEFT(K197,5)="Geler",O197,IF(M197="","",IF(Baux!$Q$18="",M197,MIN(M197,ROUND(L197*(1+Baux!$Q$18/100)^IF(Baux!$P$18="Base fixe",C197*Baux!$O$18,VALUE(LEFT(F197,4))-VALUE(LEFT(H197,4))),2))))))</f>
        <v/>
      </c>
      <c r="O197" s="27">
        <f>IF(AD197=0,"",N196)</f>
        <v/>
      </c>
      <c r="P197" s="28">
        <f>IF(OR(N197="",O197=""),"",N197/O197-1)</f>
        <v/>
      </c>
      <c r="Q197" s="27">
        <f>IF(N197="","",N197/12)</f>
        <v/>
      </c>
      <c r="R197" s="27">
        <f>IF(N197="","",N197/IF(Baux!$L$18="Mensuelle",12,IF(Baux!$L$18="Trimestrielle",4,IF(Baux!$L$18="Semestrielle",2,1))))</f>
        <v/>
      </c>
      <c r="S197" s="27">
        <f>IF(AD197=0,"",IF(Baux!$J$18="",0,Baux!$J$18)/IF(Baux!$L$18="Mensuelle",12,IF(Baux!$L$18="Trimestrielle",4,IF(Baux!$L$18="Semestrielle",2,1))))</f>
        <v/>
      </c>
      <c r="T197" s="27">
        <f>IF(R197="","",(R197+S197)*Baux!$K$18/100)</f>
        <v/>
      </c>
      <c r="U197" s="27">
        <f>IF(R197="","",R197+S197+T197)</f>
        <v/>
      </c>
      <c r="V197" s="17">
        <f>IF(AD197=0,"",IF(LEFT(K197,5)="Geler","❄ Gelée",IF(G197="",IF(D197&lt;=TODAY(),"⚠ Indice attendu","À venir"),IF(D197&lt;=TODAY(),"✔ Calculable","Indice connu – à venir"))))</f>
        <v/>
      </c>
      <c r="W197" s="29" t="n"/>
      <c r="X197" s="13" t="n"/>
      <c r="Y197" s="14" t="n"/>
      <c r="Z197" s="14" t="n"/>
      <c r="AA197" s="13" t="n"/>
      <c r="AB197" s="17">
        <f>IF(A197="","",A197&amp;"#"&amp;C197)</f>
        <v/>
      </c>
      <c r="AC197" s="17">
        <f>IF(AND(AD197=1,D197&lt;=TODAY(),N197&lt;&gt;""),1,0)</f>
        <v/>
      </c>
      <c r="AD197" s="17">
        <f>IF(OR(A197="",D197=""),0,IF(AND(ISNUMBER(Baux!$H$18),D197&gt;Baux!$H$18),0,1))</f>
        <v/>
      </c>
    </row>
    <row r="198">
      <c r="A198" s="17">
        <f>IF(Baux!$A$18="","",Baux!$A$18)</f>
        <v/>
      </c>
      <c r="B198" s="17">
        <f>IF(A198="","",Baux!$B$18)</f>
        <v/>
      </c>
      <c r="C198" s="17" t="n">
        <v>5</v>
      </c>
      <c r="D198" s="15">
        <f>IF(OR(A198="",Baux!$F$18="",Baux!$O$18=""),"",EDATE(Baux!$F$18,12*Baux!$O$18*C198))</f>
        <v/>
      </c>
      <c r="E198" s="17">
        <f>IF(AD198=0,"",Baux!$M$18)</f>
        <v/>
      </c>
      <c r="F198" s="17">
        <f>IF(AD198=0,"",IFERROR(TEXT(VALUE(LEFT(Baux!$N$18,4))+C198*Baux!$O$18,"0")&amp;RIGHT(Baux!$N$18,3),""))</f>
        <v/>
      </c>
      <c r="G198" s="25">
        <f>IF(AD198=0,"",IF(F198="","",IF(SUMIFS(Indices_long!$C:$C,Indices_long!$A:$A,E198,Indices_long!$B:$B,F198)=0,"",SUMIFS(Indices_long!$C:$C,Indices_long!$A:$A,E198,Indices_long!$B:$B,F198))))</f>
        <v/>
      </c>
      <c r="H198" s="17">
        <f>IF(AD198=0,"",IF(Baux!$P$18="Base fixe",Baux!$N$18,IF(K197="Geler – rattrapage possible",H197,F197)))</f>
        <v/>
      </c>
      <c r="I198" s="25">
        <f>IF(AD198=0,"",IF(H198="","",IF(SUMIFS(Indices_long!$C:$C,Indices_long!$A:$A,E198,Indices_long!$B:$B,H198)=0,"",SUMIFS(Indices_long!$C:$C,Indices_long!$A:$A,E198,Indices_long!$B:$B,H198))))</f>
        <v/>
      </c>
      <c r="J198" s="26">
        <f>IF(OR(G198="",I198=""),"",G198/I198)</f>
        <v/>
      </c>
      <c r="K198" s="13" t="n"/>
      <c r="L198" s="27">
        <f>IF(AD198=0,"",IF(Baux!$P$18="Base fixe",Baux!$I$18,N197))</f>
        <v/>
      </c>
      <c r="M198" s="27">
        <f>IF(OR(J198="",L198=""),"",ROUND(L198*J198,2))</f>
        <v/>
      </c>
      <c r="N198" s="27">
        <f>IF(AD198=0,"",IF(LEFT(K198,5)="Geler",O198,IF(M198="","",IF(Baux!$Q$18="",M198,MIN(M198,ROUND(L198*(1+Baux!$Q$18/100)^IF(Baux!$P$18="Base fixe",C198*Baux!$O$18,VALUE(LEFT(F198,4))-VALUE(LEFT(H198,4))),2))))))</f>
        <v/>
      </c>
      <c r="O198" s="27">
        <f>IF(AD198=0,"",N197)</f>
        <v/>
      </c>
      <c r="P198" s="28">
        <f>IF(OR(N198="",O198=""),"",N198/O198-1)</f>
        <v/>
      </c>
      <c r="Q198" s="27">
        <f>IF(N198="","",N198/12)</f>
        <v/>
      </c>
      <c r="R198" s="27">
        <f>IF(N198="","",N198/IF(Baux!$L$18="Mensuelle",12,IF(Baux!$L$18="Trimestrielle",4,IF(Baux!$L$18="Semestrielle",2,1))))</f>
        <v/>
      </c>
      <c r="S198" s="27">
        <f>IF(AD198=0,"",IF(Baux!$J$18="",0,Baux!$J$18)/IF(Baux!$L$18="Mensuelle",12,IF(Baux!$L$18="Trimestrielle",4,IF(Baux!$L$18="Semestrielle",2,1))))</f>
        <v/>
      </c>
      <c r="T198" s="27">
        <f>IF(R198="","",(R198+S198)*Baux!$K$18/100)</f>
        <v/>
      </c>
      <c r="U198" s="27">
        <f>IF(R198="","",R198+S198+T198)</f>
        <v/>
      </c>
      <c r="V198" s="17">
        <f>IF(AD198=0,"",IF(LEFT(K198,5)="Geler","❄ Gelée",IF(G198="",IF(D198&lt;=TODAY(),"⚠ Indice attendu","À venir"),IF(D198&lt;=TODAY(),"✔ Calculable","Indice connu – à venir"))))</f>
        <v/>
      </c>
      <c r="W198" s="29" t="n"/>
      <c r="X198" s="13" t="n"/>
      <c r="Y198" s="14" t="n"/>
      <c r="Z198" s="14" t="n"/>
      <c r="AA198" s="13" t="n"/>
      <c r="AB198" s="17">
        <f>IF(A198="","",A198&amp;"#"&amp;C198)</f>
        <v/>
      </c>
      <c r="AC198" s="17">
        <f>IF(AND(AD198=1,D198&lt;=TODAY(),N198&lt;&gt;""),1,0)</f>
        <v/>
      </c>
      <c r="AD198" s="17">
        <f>IF(OR(A198="",D198=""),0,IF(AND(ISNUMBER(Baux!$H$18),D198&gt;Baux!$H$18),0,1))</f>
        <v/>
      </c>
    </row>
    <row r="199">
      <c r="A199" s="17">
        <f>IF(Baux!$A$18="","",Baux!$A$18)</f>
        <v/>
      </c>
      <c r="B199" s="17">
        <f>IF(A199="","",Baux!$B$18)</f>
        <v/>
      </c>
      <c r="C199" s="17" t="n">
        <v>6</v>
      </c>
      <c r="D199" s="15">
        <f>IF(OR(A199="",Baux!$F$18="",Baux!$O$18=""),"",EDATE(Baux!$F$18,12*Baux!$O$18*C199))</f>
        <v/>
      </c>
      <c r="E199" s="17">
        <f>IF(AD199=0,"",Baux!$M$18)</f>
        <v/>
      </c>
      <c r="F199" s="17">
        <f>IF(AD199=0,"",IFERROR(TEXT(VALUE(LEFT(Baux!$N$18,4))+C199*Baux!$O$18,"0")&amp;RIGHT(Baux!$N$18,3),""))</f>
        <v/>
      </c>
      <c r="G199" s="25">
        <f>IF(AD199=0,"",IF(F199="","",IF(SUMIFS(Indices_long!$C:$C,Indices_long!$A:$A,E199,Indices_long!$B:$B,F199)=0,"",SUMIFS(Indices_long!$C:$C,Indices_long!$A:$A,E199,Indices_long!$B:$B,F199))))</f>
        <v/>
      </c>
      <c r="H199" s="17">
        <f>IF(AD199=0,"",IF(Baux!$P$18="Base fixe",Baux!$N$18,IF(K198="Geler – rattrapage possible",H198,F198)))</f>
        <v/>
      </c>
      <c r="I199" s="25">
        <f>IF(AD199=0,"",IF(H199="","",IF(SUMIFS(Indices_long!$C:$C,Indices_long!$A:$A,E199,Indices_long!$B:$B,H199)=0,"",SUMIFS(Indices_long!$C:$C,Indices_long!$A:$A,E199,Indices_long!$B:$B,H199))))</f>
        <v/>
      </c>
      <c r="J199" s="26">
        <f>IF(OR(G199="",I199=""),"",G199/I199)</f>
        <v/>
      </c>
      <c r="K199" s="13" t="n"/>
      <c r="L199" s="27">
        <f>IF(AD199=0,"",IF(Baux!$P$18="Base fixe",Baux!$I$18,N198))</f>
        <v/>
      </c>
      <c r="M199" s="27">
        <f>IF(OR(J199="",L199=""),"",ROUND(L199*J199,2))</f>
        <v/>
      </c>
      <c r="N199" s="27">
        <f>IF(AD199=0,"",IF(LEFT(K199,5)="Geler",O199,IF(M199="","",IF(Baux!$Q$18="",M199,MIN(M199,ROUND(L199*(1+Baux!$Q$18/100)^IF(Baux!$P$18="Base fixe",C199*Baux!$O$18,VALUE(LEFT(F199,4))-VALUE(LEFT(H199,4))),2))))))</f>
        <v/>
      </c>
      <c r="O199" s="27">
        <f>IF(AD199=0,"",N198)</f>
        <v/>
      </c>
      <c r="P199" s="28">
        <f>IF(OR(N199="",O199=""),"",N199/O199-1)</f>
        <v/>
      </c>
      <c r="Q199" s="27">
        <f>IF(N199="","",N199/12)</f>
        <v/>
      </c>
      <c r="R199" s="27">
        <f>IF(N199="","",N199/IF(Baux!$L$18="Mensuelle",12,IF(Baux!$L$18="Trimestrielle",4,IF(Baux!$L$18="Semestrielle",2,1))))</f>
        <v/>
      </c>
      <c r="S199" s="27">
        <f>IF(AD199=0,"",IF(Baux!$J$18="",0,Baux!$J$18)/IF(Baux!$L$18="Mensuelle",12,IF(Baux!$L$18="Trimestrielle",4,IF(Baux!$L$18="Semestrielle",2,1))))</f>
        <v/>
      </c>
      <c r="T199" s="27">
        <f>IF(R199="","",(R199+S199)*Baux!$K$18/100)</f>
        <v/>
      </c>
      <c r="U199" s="27">
        <f>IF(R199="","",R199+S199+T199)</f>
        <v/>
      </c>
      <c r="V199" s="17">
        <f>IF(AD199=0,"",IF(LEFT(K199,5)="Geler","❄ Gelée",IF(G199="",IF(D199&lt;=TODAY(),"⚠ Indice attendu","À venir"),IF(D199&lt;=TODAY(),"✔ Calculable","Indice connu – à venir"))))</f>
        <v/>
      </c>
      <c r="W199" s="29" t="n"/>
      <c r="X199" s="13" t="n"/>
      <c r="Y199" s="14" t="n"/>
      <c r="Z199" s="14" t="n"/>
      <c r="AA199" s="13" t="n"/>
      <c r="AB199" s="17">
        <f>IF(A199="","",A199&amp;"#"&amp;C199)</f>
        <v/>
      </c>
      <c r="AC199" s="17">
        <f>IF(AND(AD199=1,D199&lt;=TODAY(),N199&lt;&gt;""),1,0)</f>
        <v/>
      </c>
      <c r="AD199" s="17">
        <f>IF(OR(A199="",D199=""),0,IF(AND(ISNUMBER(Baux!$H$18),D199&gt;Baux!$H$18),0,1))</f>
        <v/>
      </c>
    </row>
    <row r="200">
      <c r="A200" s="17">
        <f>IF(Baux!$A$18="","",Baux!$A$18)</f>
        <v/>
      </c>
      <c r="B200" s="17">
        <f>IF(A200="","",Baux!$B$18)</f>
        <v/>
      </c>
      <c r="C200" s="17" t="n">
        <v>7</v>
      </c>
      <c r="D200" s="15">
        <f>IF(OR(A200="",Baux!$F$18="",Baux!$O$18=""),"",EDATE(Baux!$F$18,12*Baux!$O$18*C200))</f>
        <v/>
      </c>
      <c r="E200" s="17">
        <f>IF(AD200=0,"",Baux!$M$18)</f>
        <v/>
      </c>
      <c r="F200" s="17">
        <f>IF(AD200=0,"",IFERROR(TEXT(VALUE(LEFT(Baux!$N$18,4))+C200*Baux!$O$18,"0")&amp;RIGHT(Baux!$N$18,3),""))</f>
        <v/>
      </c>
      <c r="G200" s="25">
        <f>IF(AD200=0,"",IF(F200="","",IF(SUMIFS(Indices_long!$C:$C,Indices_long!$A:$A,E200,Indices_long!$B:$B,F200)=0,"",SUMIFS(Indices_long!$C:$C,Indices_long!$A:$A,E200,Indices_long!$B:$B,F200))))</f>
        <v/>
      </c>
      <c r="H200" s="17">
        <f>IF(AD200=0,"",IF(Baux!$P$18="Base fixe",Baux!$N$18,IF(K199="Geler – rattrapage possible",H199,F199)))</f>
        <v/>
      </c>
      <c r="I200" s="25">
        <f>IF(AD200=0,"",IF(H200="","",IF(SUMIFS(Indices_long!$C:$C,Indices_long!$A:$A,E200,Indices_long!$B:$B,H200)=0,"",SUMIFS(Indices_long!$C:$C,Indices_long!$A:$A,E200,Indices_long!$B:$B,H200))))</f>
        <v/>
      </c>
      <c r="J200" s="26">
        <f>IF(OR(G200="",I200=""),"",G200/I200)</f>
        <v/>
      </c>
      <c r="K200" s="13" t="n"/>
      <c r="L200" s="27">
        <f>IF(AD200=0,"",IF(Baux!$P$18="Base fixe",Baux!$I$18,N199))</f>
        <v/>
      </c>
      <c r="M200" s="27">
        <f>IF(OR(J200="",L200=""),"",ROUND(L200*J200,2))</f>
        <v/>
      </c>
      <c r="N200" s="27">
        <f>IF(AD200=0,"",IF(LEFT(K200,5)="Geler",O200,IF(M200="","",IF(Baux!$Q$18="",M200,MIN(M200,ROUND(L200*(1+Baux!$Q$18/100)^IF(Baux!$P$18="Base fixe",C200*Baux!$O$18,VALUE(LEFT(F200,4))-VALUE(LEFT(H200,4))),2))))))</f>
        <v/>
      </c>
      <c r="O200" s="27">
        <f>IF(AD200=0,"",N199)</f>
        <v/>
      </c>
      <c r="P200" s="28">
        <f>IF(OR(N200="",O200=""),"",N200/O200-1)</f>
        <v/>
      </c>
      <c r="Q200" s="27">
        <f>IF(N200="","",N200/12)</f>
        <v/>
      </c>
      <c r="R200" s="27">
        <f>IF(N200="","",N200/IF(Baux!$L$18="Mensuelle",12,IF(Baux!$L$18="Trimestrielle",4,IF(Baux!$L$18="Semestrielle",2,1))))</f>
        <v/>
      </c>
      <c r="S200" s="27">
        <f>IF(AD200=0,"",IF(Baux!$J$18="",0,Baux!$J$18)/IF(Baux!$L$18="Mensuelle",12,IF(Baux!$L$18="Trimestrielle",4,IF(Baux!$L$18="Semestrielle",2,1))))</f>
        <v/>
      </c>
      <c r="T200" s="27">
        <f>IF(R200="","",(R200+S200)*Baux!$K$18/100)</f>
        <v/>
      </c>
      <c r="U200" s="27">
        <f>IF(R200="","",R200+S200+T200)</f>
        <v/>
      </c>
      <c r="V200" s="17">
        <f>IF(AD200=0,"",IF(LEFT(K200,5)="Geler","❄ Gelée",IF(G200="",IF(D200&lt;=TODAY(),"⚠ Indice attendu","À venir"),IF(D200&lt;=TODAY(),"✔ Calculable","Indice connu – à venir"))))</f>
        <v/>
      </c>
      <c r="W200" s="29" t="n"/>
      <c r="X200" s="13" t="n"/>
      <c r="Y200" s="14" t="n"/>
      <c r="Z200" s="14" t="n"/>
      <c r="AA200" s="13" t="n"/>
      <c r="AB200" s="17">
        <f>IF(A200="","",A200&amp;"#"&amp;C200)</f>
        <v/>
      </c>
      <c r="AC200" s="17">
        <f>IF(AND(AD200=1,D200&lt;=TODAY(),N200&lt;&gt;""),1,0)</f>
        <v/>
      </c>
      <c r="AD200" s="17">
        <f>IF(OR(A200="",D200=""),0,IF(AND(ISNUMBER(Baux!$H$18),D200&gt;Baux!$H$18),0,1))</f>
        <v/>
      </c>
    </row>
    <row r="201">
      <c r="A201" s="17">
        <f>IF(Baux!$A$18="","",Baux!$A$18)</f>
        <v/>
      </c>
      <c r="B201" s="17">
        <f>IF(A201="","",Baux!$B$18)</f>
        <v/>
      </c>
      <c r="C201" s="17" t="n">
        <v>8</v>
      </c>
      <c r="D201" s="15">
        <f>IF(OR(A201="",Baux!$F$18="",Baux!$O$18=""),"",EDATE(Baux!$F$18,12*Baux!$O$18*C201))</f>
        <v/>
      </c>
      <c r="E201" s="17">
        <f>IF(AD201=0,"",Baux!$M$18)</f>
        <v/>
      </c>
      <c r="F201" s="17">
        <f>IF(AD201=0,"",IFERROR(TEXT(VALUE(LEFT(Baux!$N$18,4))+C201*Baux!$O$18,"0")&amp;RIGHT(Baux!$N$18,3),""))</f>
        <v/>
      </c>
      <c r="G201" s="25">
        <f>IF(AD201=0,"",IF(F201="","",IF(SUMIFS(Indices_long!$C:$C,Indices_long!$A:$A,E201,Indices_long!$B:$B,F201)=0,"",SUMIFS(Indices_long!$C:$C,Indices_long!$A:$A,E201,Indices_long!$B:$B,F201))))</f>
        <v/>
      </c>
      <c r="H201" s="17">
        <f>IF(AD201=0,"",IF(Baux!$P$18="Base fixe",Baux!$N$18,IF(K200="Geler – rattrapage possible",H200,F200)))</f>
        <v/>
      </c>
      <c r="I201" s="25">
        <f>IF(AD201=0,"",IF(H201="","",IF(SUMIFS(Indices_long!$C:$C,Indices_long!$A:$A,E201,Indices_long!$B:$B,H201)=0,"",SUMIFS(Indices_long!$C:$C,Indices_long!$A:$A,E201,Indices_long!$B:$B,H201))))</f>
        <v/>
      </c>
      <c r="J201" s="26">
        <f>IF(OR(G201="",I201=""),"",G201/I201)</f>
        <v/>
      </c>
      <c r="K201" s="13" t="n"/>
      <c r="L201" s="27">
        <f>IF(AD201=0,"",IF(Baux!$P$18="Base fixe",Baux!$I$18,N200))</f>
        <v/>
      </c>
      <c r="M201" s="27">
        <f>IF(OR(J201="",L201=""),"",ROUND(L201*J201,2))</f>
        <v/>
      </c>
      <c r="N201" s="27">
        <f>IF(AD201=0,"",IF(LEFT(K201,5)="Geler",O201,IF(M201="","",IF(Baux!$Q$18="",M201,MIN(M201,ROUND(L201*(1+Baux!$Q$18/100)^IF(Baux!$P$18="Base fixe",C201*Baux!$O$18,VALUE(LEFT(F201,4))-VALUE(LEFT(H201,4))),2))))))</f>
        <v/>
      </c>
      <c r="O201" s="27">
        <f>IF(AD201=0,"",N200)</f>
        <v/>
      </c>
      <c r="P201" s="28">
        <f>IF(OR(N201="",O201=""),"",N201/O201-1)</f>
        <v/>
      </c>
      <c r="Q201" s="27">
        <f>IF(N201="","",N201/12)</f>
        <v/>
      </c>
      <c r="R201" s="27">
        <f>IF(N201="","",N201/IF(Baux!$L$18="Mensuelle",12,IF(Baux!$L$18="Trimestrielle",4,IF(Baux!$L$18="Semestrielle",2,1))))</f>
        <v/>
      </c>
      <c r="S201" s="27">
        <f>IF(AD201=0,"",IF(Baux!$J$18="",0,Baux!$J$18)/IF(Baux!$L$18="Mensuelle",12,IF(Baux!$L$18="Trimestrielle",4,IF(Baux!$L$18="Semestrielle",2,1))))</f>
        <v/>
      </c>
      <c r="T201" s="27">
        <f>IF(R201="","",(R201+S201)*Baux!$K$18/100)</f>
        <v/>
      </c>
      <c r="U201" s="27">
        <f>IF(R201="","",R201+S201+T201)</f>
        <v/>
      </c>
      <c r="V201" s="17">
        <f>IF(AD201=0,"",IF(LEFT(K201,5)="Geler","❄ Gelée",IF(G201="",IF(D201&lt;=TODAY(),"⚠ Indice attendu","À venir"),IF(D201&lt;=TODAY(),"✔ Calculable","Indice connu – à venir"))))</f>
        <v/>
      </c>
      <c r="W201" s="29" t="n"/>
      <c r="X201" s="13" t="n"/>
      <c r="Y201" s="14" t="n"/>
      <c r="Z201" s="14" t="n"/>
      <c r="AA201" s="13" t="n"/>
      <c r="AB201" s="17">
        <f>IF(A201="","",A201&amp;"#"&amp;C201)</f>
        <v/>
      </c>
      <c r="AC201" s="17">
        <f>IF(AND(AD201=1,D201&lt;=TODAY(),N201&lt;&gt;""),1,0)</f>
        <v/>
      </c>
      <c r="AD201" s="17">
        <f>IF(OR(A201="",D201=""),0,IF(AND(ISNUMBER(Baux!$H$18),D201&gt;Baux!$H$18),0,1))</f>
        <v/>
      </c>
    </row>
    <row r="202">
      <c r="A202" s="17">
        <f>IF(Baux!$A$18="","",Baux!$A$18)</f>
        <v/>
      </c>
      <c r="B202" s="17">
        <f>IF(A202="","",Baux!$B$18)</f>
        <v/>
      </c>
      <c r="C202" s="17" t="n">
        <v>9</v>
      </c>
      <c r="D202" s="15">
        <f>IF(OR(A202="",Baux!$F$18="",Baux!$O$18=""),"",EDATE(Baux!$F$18,12*Baux!$O$18*C202))</f>
        <v/>
      </c>
      <c r="E202" s="17">
        <f>IF(AD202=0,"",Baux!$M$18)</f>
        <v/>
      </c>
      <c r="F202" s="17">
        <f>IF(AD202=0,"",IFERROR(TEXT(VALUE(LEFT(Baux!$N$18,4))+C202*Baux!$O$18,"0")&amp;RIGHT(Baux!$N$18,3),""))</f>
        <v/>
      </c>
      <c r="G202" s="25">
        <f>IF(AD202=0,"",IF(F202="","",IF(SUMIFS(Indices_long!$C:$C,Indices_long!$A:$A,E202,Indices_long!$B:$B,F202)=0,"",SUMIFS(Indices_long!$C:$C,Indices_long!$A:$A,E202,Indices_long!$B:$B,F202))))</f>
        <v/>
      </c>
      <c r="H202" s="17">
        <f>IF(AD202=0,"",IF(Baux!$P$18="Base fixe",Baux!$N$18,IF(K201="Geler – rattrapage possible",H201,F201)))</f>
        <v/>
      </c>
      <c r="I202" s="25">
        <f>IF(AD202=0,"",IF(H202="","",IF(SUMIFS(Indices_long!$C:$C,Indices_long!$A:$A,E202,Indices_long!$B:$B,H202)=0,"",SUMIFS(Indices_long!$C:$C,Indices_long!$A:$A,E202,Indices_long!$B:$B,H202))))</f>
        <v/>
      </c>
      <c r="J202" s="26">
        <f>IF(OR(G202="",I202=""),"",G202/I202)</f>
        <v/>
      </c>
      <c r="K202" s="13" t="n"/>
      <c r="L202" s="27">
        <f>IF(AD202=0,"",IF(Baux!$P$18="Base fixe",Baux!$I$18,N201))</f>
        <v/>
      </c>
      <c r="M202" s="27">
        <f>IF(OR(J202="",L202=""),"",ROUND(L202*J202,2))</f>
        <v/>
      </c>
      <c r="N202" s="27">
        <f>IF(AD202=0,"",IF(LEFT(K202,5)="Geler",O202,IF(M202="","",IF(Baux!$Q$18="",M202,MIN(M202,ROUND(L202*(1+Baux!$Q$18/100)^IF(Baux!$P$18="Base fixe",C202*Baux!$O$18,VALUE(LEFT(F202,4))-VALUE(LEFT(H202,4))),2))))))</f>
        <v/>
      </c>
      <c r="O202" s="27">
        <f>IF(AD202=0,"",N201)</f>
        <v/>
      </c>
      <c r="P202" s="28">
        <f>IF(OR(N202="",O202=""),"",N202/O202-1)</f>
        <v/>
      </c>
      <c r="Q202" s="27">
        <f>IF(N202="","",N202/12)</f>
        <v/>
      </c>
      <c r="R202" s="27">
        <f>IF(N202="","",N202/IF(Baux!$L$18="Mensuelle",12,IF(Baux!$L$18="Trimestrielle",4,IF(Baux!$L$18="Semestrielle",2,1))))</f>
        <v/>
      </c>
      <c r="S202" s="27">
        <f>IF(AD202=0,"",IF(Baux!$J$18="",0,Baux!$J$18)/IF(Baux!$L$18="Mensuelle",12,IF(Baux!$L$18="Trimestrielle",4,IF(Baux!$L$18="Semestrielle",2,1))))</f>
        <v/>
      </c>
      <c r="T202" s="27">
        <f>IF(R202="","",(R202+S202)*Baux!$K$18/100)</f>
        <v/>
      </c>
      <c r="U202" s="27">
        <f>IF(R202="","",R202+S202+T202)</f>
        <v/>
      </c>
      <c r="V202" s="17">
        <f>IF(AD202=0,"",IF(LEFT(K202,5)="Geler","❄ Gelée",IF(G202="",IF(D202&lt;=TODAY(),"⚠ Indice attendu","À venir"),IF(D202&lt;=TODAY(),"✔ Calculable","Indice connu – à venir"))))</f>
        <v/>
      </c>
      <c r="W202" s="29" t="n"/>
      <c r="X202" s="13" t="n"/>
      <c r="Y202" s="14" t="n"/>
      <c r="Z202" s="14" t="n"/>
      <c r="AA202" s="13" t="n"/>
      <c r="AB202" s="17">
        <f>IF(A202="","",A202&amp;"#"&amp;C202)</f>
        <v/>
      </c>
      <c r="AC202" s="17">
        <f>IF(AND(AD202=1,D202&lt;=TODAY(),N202&lt;&gt;""),1,0)</f>
        <v/>
      </c>
      <c r="AD202" s="17">
        <f>IF(OR(A202="",D202=""),0,IF(AND(ISNUMBER(Baux!$H$18),D202&gt;Baux!$H$18),0,1))</f>
        <v/>
      </c>
    </row>
    <row r="203">
      <c r="A203" s="17">
        <f>IF(Baux!$A$18="","",Baux!$A$18)</f>
        <v/>
      </c>
      <c r="B203" s="17">
        <f>IF(A203="","",Baux!$B$18)</f>
        <v/>
      </c>
      <c r="C203" s="17" t="n">
        <v>10</v>
      </c>
      <c r="D203" s="15">
        <f>IF(OR(A203="",Baux!$F$18="",Baux!$O$18=""),"",EDATE(Baux!$F$18,12*Baux!$O$18*C203))</f>
        <v/>
      </c>
      <c r="E203" s="17">
        <f>IF(AD203=0,"",Baux!$M$18)</f>
        <v/>
      </c>
      <c r="F203" s="17">
        <f>IF(AD203=0,"",IFERROR(TEXT(VALUE(LEFT(Baux!$N$18,4))+C203*Baux!$O$18,"0")&amp;RIGHT(Baux!$N$18,3),""))</f>
        <v/>
      </c>
      <c r="G203" s="25">
        <f>IF(AD203=0,"",IF(F203="","",IF(SUMIFS(Indices_long!$C:$C,Indices_long!$A:$A,E203,Indices_long!$B:$B,F203)=0,"",SUMIFS(Indices_long!$C:$C,Indices_long!$A:$A,E203,Indices_long!$B:$B,F203))))</f>
        <v/>
      </c>
      <c r="H203" s="17">
        <f>IF(AD203=0,"",IF(Baux!$P$18="Base fixe",Baux!$N$18,IF(K202="Geler – rattrapage possible",H202,F202)))</f>
        <v/>
      </c>
      <c r="I203" s="25">
        <f>IF(AD203=0,"",IF(H203="","",IF(SUMIFS(Indices_long!$C:$C,Indices_long!$A:$A,E203,Indices_long!$B:$B,H203)=0,"",SUMIFS(Indices_long!$C:$C,Indices_long!$A:$A,E203,Indices_long!$B:$B,H203))))</f>
        <v/>
      </c>
      <c r="J203" s="26">
        <f>IF(OR(G203="",I203=""),"",G203/I203)</f>
        <v/>
      </c>
      <c r="K203" s="13" t="n"/>
      <c r="L203" s="27">
        <f>IF(AD203=0,"",IF(Baux!$P$18="Base fixe",Baux!$I$18,N202))</f>
        <v/>
      </c>
      <c r="M203" s="27">
        <f>IF(OR(J203="",L203=""),"",ROUND(L203*J203,2))</f>
        <v/>
      </c>
      <c r="N203" s="27">
        <f>IF(AD203=0,"",IF(LEFT(K203,5)="Geler",O203,IF(M203="","",IF(Baux!$Q$18="",M203,MIN(M203,ROUND(L203*(1+Baux!$Q$18/100)^IF(Baux!$P$18="Base fixe",C203*Baux!$O$18,VALUE(LEFT(F203,4))-VALUE(LEFT(H203,4))),2))))))</f>
        <v/>
      </c>
      <c r="O203" s="27">
        <f>IF(AD203=0,"",N202)</f>
        <v/>
      </c>
      <c r="P203" s="28">
        <f>IF(OR(N203="",O203=""),"",N203/O203-1)</f>
        <v/>
      </c>
      <c r="Q203" s="27">
        <f>IF(N203="","",N203/12)</f>
        <v/>
      </c>
      <c r="R203" s="27">
        <f>IF(N203="","",N203/IF(Baux!$L$18="Mensuelle",12,IF(Baux!$L$18="Trimestrielle",4,IF(Baux!$L$18="Semestrielle",2,1))))</f>
        <v/>
      </c>
      <c r="S203" s="27">
        <f>IF(AD203=0,"",IF(Baux!$J$18="",0,Baux!$J$18)/IF(Baux!$L$18="Mensuelle",12,IF(Baux!$L$18="Trimestrielle",4,IF(Baux!$L$18="Semestrielle",2,1))))</f>
        <v/>
      </c>
      <c r="T203" s="27">
        <f>IF(R203="","",(R203+S203)*Baux!$K$18/100)</f>
        <v/>
      </c>
      <c r="U203" s="27">
        <f>IF(R203="","",R203+S203+T203)</f>
        <v/>
      </c>
      <c r="V203" s="17">
        <f>IF(AD203=0,"",IF(LEFT(K203,5)="Geler","❄ Gelée",IF(G203="",IF(D203&lt;=TODAY(),"⚠ Indice attendu","À venir"),IF(D203&lt;=TODAY(),"✔ Calculable","Indice connu – à venir"))))</f>
        <v/>
      </c>
      <c r="W203" s="29" t="n"/>
      <c r="X203" s="13" t="n"/>
      <c r="Y203" s="14" t="n"/>
      <c r="Z203" s="14" t="n"/>
      <c r="AA203" s="13" t="n"/>
      <c r="AB203" s="17">
        <f>IF(A203="","",A203&amp;"#"&amp;C203)</f>
        <v/>
      </c>
      <c r="AC203" s="17">
        <f>IF(AND(AD203=1,D203&lt;=TODAY(),N203&lt;&gt;""),1,0)</f>
        <v/>
      </c>
      <c r="AD203" s="17">
        <f>IF(OR(A203="",D203=""),0,IF(AND(ISNUMBER(Baux!$H$18),D203&gt;Baux!$H$18),0,1))</f>
        <v/>
      </c>
    </row>
    <row r="204">
      <c r="A204" s="17">
        <f>IF(Baux!$A$18="","",Baux!$A$18)</f>
        <v/>
      </c>
      <c r="B204" s="17">
        <f>IF(A204="","",Baux!$B$18)</f>
        <v/>
      </c>
      <c r="C204" s="17" t="n">
        <v>11</v>
      </c>
      <c r="D204" s="15">
        <f>IF(OR(A204="",Baux!$F$18="",Baux!$O$18=""),"",EDATE(Baux!$F$18,12*Baux!$O$18*C204))</f>
        <v/>
      </c>
      <c r="E204" s="17">
        <f>IF(AD204=0,"",Baux!$M$18)</f>
        <v/>
      </c>
      <c r="F204" s="17">
        <f>IF(AD204=0,"",IFERROR(TEXT(VALUE(LEFT(Baux!$N$18,4))+C204*Baux!$O$18,"0")&amp;RIGHT(Baux!$N$18,3),""))</f>
        <v/>
      </c>
      <c r="G204" s="25">
        <f>IF(AD204=0,"",IF(F204="","",IF(SUMIFS(Indices_long!$C:$C,Indices_long!$A:$A,E204,Indices_long!$B:$B,F204)=0,"",SUMIFS(Indices_long!$C:$C,Indices_long!$A:$A,E204,Indices_long!$B:$B,F204))))</f>
        <v/>
      </c>
      <c r="H204" s="17">
        <f>IF(AD204=0,"",IF(Baux!$P$18="Base fixe",Baux!$N$18,IF(K203="Geler – rattrapage possible",H203,F203)))</f>
        <v/>
      </c>
      <c r="I204" s="25">
        <f>IF(AD204=0,"",IF(H204="","",IF(SUMIFS(Indices_long!$C:$C,Indices_long!$A:$A,E204,Indices_long!$B:$B,H204)=0,"",SUMIFS(Indices_long!$C:$C,Indices_long!$A:$A,E204,Indices_long!$B:$B,H204))))</f>
        <v/>
      </c>
      <c r="J204" s="26">
        <f>IF(OR(G204="",I204=""),"",G204/I204)</f>
        <v/>
      </c>
      <c r="K204" s="13" t="n"/>
      <c r="L204" s="27">
        <f>IF(AD204=0,"",IF(Baux!$P$18="Base fixe",Baux!$I$18,N203))</f>
        <v/>
      </c>
      <c r="M204" s="27">
        <f>IF(OR(J204="",L204=""),"",ROUND(L204*J204,2))</f>
        <v/>
      </c>
      <c r="N204" s="27">
        <f>IF(AD204=0,"",IF(LEFT(K204,5)="Geler",O204,IF(M204="","",IF(Baux!$Q$18="",M204,MIN(M204,ROUND(L204*(1+Baux!$Q$18/100)^IF(Baux!$P$18="Base fixe",C204*Baux!$O$18,VALUE(LEFT(F204,4))-VALUE(LEFT(H204,4))),2))))))</f>
        <v/>
      </c>
      <c r="O204" s="27">
        <f>IF(AD204=0,"",N203)</f>
        <v/>
      </c>
      <c r="P204" s="28">
        <f>IF(OR(N204="",O204=""),"",N204/O204-1)</f>
        <v/>
      </c>
      <c r="Q204" s="27">
        <f>IF(N204="","",N204/12)</f>
        <v/>
      </c>
      <c r="R204" s="27">
        <f>IF(N204="","",N204/IF(Baux!$L$18="Mensuelle",12,IF(Baux!$L$18="Trimestrielle",4,IF(Baux!$L$18="Semestrielle",2,1))))</f>
        <v/>
      </c>
      <c r="S204" s="27">
        <f>IF(AD204=0,"",IF(Baux!$J$18="",0,Baux!$J$18)/IF(Baux!$L$18="Mensuelle",12,IF(Baux!$L$18="Trimestrielle",4,IF(Baux!$L$18="Semestrielle",2,1))))</f>
        <v/>
      </c>
      <c r="T204" s="27">
        <f>IF(R204="","",(R204+S204)*Baux!$K$18/100)</f>
        <v/>
      </c>
      <c r="U204" s="27">
        <f>IF(R204="","",R204+S204+T204)</f>
        <v/>
      </c>
      <c r="V204" s="17">
        <f>IF(AD204=0,"",IF(LEFT(K204,5)="Geler","❄ Gelée",IF(G204="",IF(D204&lt;=TODAY(),"⚠ Indice attendu","À venir"),IF(D204&lt;=TODAY(),"✔ Calculable","Indice connu – à venir"))))</f>
        <v/>
      </c>
      <c r="W204" s="29" t="n"/>
      <c r="X204" s="13" t="n"/>
      <c r="Y204" s="14" t="n"/>
      <c r="Z204" s="14" t="n"/>
      <c r="AA204" s="13" t="n"/>
      <c r="AB204" s="17">
        <f>IF(A204="","",A204&amp;"#"&amp;C204)</f>
        <v/>
      </c>
      <c r="AC204" s="17">
        <f>IF(AND(AD204=1,D204&lt;=TODAY(),N204&lt;&gt;""),1,0)</f>
        <v/>
      </c>
      <c r="AD204" s="17">
        <f>IF(OR(A204="",D204=""),0,IF(AND(ISNUMBER(Baux!$H$18),D204&gt;Baux!$H$18),0,1))</f>
        <v/>
      </c>
    </row>
    <row r="205">
      <c r="A205" s="17">
        <f>IF(Baux!$A$18="","",Baux!$A$18)</f>
        <v/>
      </c>
      <c r="B205" s="17">
        <f>IF(A205="","",Baux!$B$18)</f>
        <v/>
      </c>
      <c r="C205" s="17" t="n">
        <v>12</v>
      </c>
      <c r="D205" s="15">
        <f>IF(OR(A205="",Baux!$F$18="",Baux!$O$18=""),"",EDATE(Baux!$F$18,12*Baux!$O$18*C205))</f>
        <v/>
      </c>
      <c r="E205" s="17">
        <f>IF(AD205=0,"",Baux!$M$18)</f>
        <v/>
      </c>
      <c r="F205" s="17">
        <f>IF(AD205=0,"",IFERROR(TEXT(VALUE(LEFT(Baux!$N$18,4))+C205*Baux!$O$18,"0")&amp;RIGHT(Baux!$N$18,3),""))</f>
        <v/>
      </c>
      <c r="G205" s="25">
        <f>IF(AD205=0,"",IF(F205="","",IF(SUMIFS(Indices_long!$C:$C,Indices_long!$A:$A,E205,Indices_long!$B:$B,F205)=0,"",SUMIFS(Indices_long!$C:$C,Indices_long!$A:$A,E205,Indices_long!$B:$B,F205))))</f>
        <v/>
      </c>
      <c r="H205" s="17">
        <f>IF(AD205=0,"",IF(Baux!$P$18="Base fixe",Baux!$N$18,IF(K204="Geler – rattrapage possible",H204,F204)))</f>
        <v/>
      </c>
      <c r="I205" s="25">
        <f>IF(AD205=0,"",IF(H205="","",IF(SUMIFS(Indices_long!$C:$C,Indices_long!$A:$A,E205,Indices_long!$B:$B,H205)=0,"",SUMIFS(Indices_long!$C:$C,Indices_long!$A:$A,E205,Indices_long!$B:$B,H205))))</f>
        <v/>
      </c>
      <c r="J205" s="26">
        <f>IF(OR(G205="",I205=""),"",G205/I205)</f>
        <v/>
      </c>
      <c r="K205" s="13" t="n"/>
      <c r="L205" s="27">
        <f>IF(AD205=0,"",IF(Baux!$P$18="Base fixe",Baux!$I$18,N204))</f>
        <v/>
      </c>
      <c r="M205" s="27">
        <f>IF(OR(J205="",L205=""),"",ROUND(L205*J205,2))</f>
        <v/>
      </c>
      <c r="N205" s="27">
        <f>IF(AD205=0,"",IF(LEFT(K205,5)="Geler",O205,IF(M205="","",IF(Baux!$Q$18="",M205,MIN(M205,ROUND(L205*(1+Baux!$Q$18/100)^IF(Baux!$P$18="Base fixe",C205*Baux!$O$18,VALUE(LEFT(F205,4))-VALUE(LEFT(H205,4))),2))))))</f>
        <v/>
      </c>
      <c r="O205" s="27">
        <f>IF(AD205=0,"",N204)</f>
        <v/>
      </c>
      <c r="P205" s="28">
        <f>IF(OR(N205="",O205=""),"",N205/O205-1)</f>
        <v/>
      </c>
      <c r="Q205" s="27">
        <f>IF(N205="","",N205/12)</f>
        <v/>
      </c>
      <c r="R205" s="27">
        <f>IF(N205="","",N205/IF(Baux!$L$18="Mensuelle",12,IF(Baux!$L$18="Trimestrielle",4,IF(Baux!$L$18="Semestrielle",2,1))))</f>
        <v/>
      </c>
      <c r="S205" s="27">
        <f>IF(AD205=0,"",IF(Baux!$J$18="",0,Baux!$J$18)/IF(Baux!$L$18="Mensuelle",12,IF(Baux!$L$18="Trimestrielle",4,IF(Baux!$L$18="Semestrielle",2,1))))</f>
        <v/>
      </c>
      <c r="T205" s="27">
        <f>IF(R205="","",(R205+S205)*Baux!$K$18/100)</f>
        <v/>
      </c>
      <c r="U205" s="27">
        <f>IF(R205="","",R205+S205+T205)</f>
        <v/>
      </c>
      <c r="V205" s="17">
        <f>IF(AD205=0,"",IF(LEFT(K205,5)="Geler","❄ Gelée",IF(G205="",IF(D205&lt;=TODAY(),"⚠ Indice attendu","À venir"),IF(D205&lt;=TODAY(),"✔ Calculable","Indice connu – à venir"))))</f>
        <v/>
      </c>
      <c r="W205" s="29" t="n"/>
      <c r="X205" s="13" t="n"/>
      <c r="Y205" s="14" t="n"/>
      <c r="Z205" s="14" t="n"/>
      <c r="AA205" s="13" t="n"/>
      <c r="AB205" s="17">
        <f>IF(A205="","",A205&amp;"#"&amp;C205)</f>
        <v/>
      </c>
      <c r="AC205" s="17">
        <f>IF(AND(AD205=1,D205&lt;=TODAY(),N205&lt;&gt;""),1,0)</f>
        <v/>
      </c>
      <c r="AD205" s="17">
        <f>IF(OR(A205="",D205=""),0,IF(AND(ISNUMBER(Baux!$H$18),D205&gt;Baux!$H$18),0,1))</f>
        <v/>
      </c>
    </row>
    <row r="206">
      <c r="A206" s="17">
        <f>IF(Baux!$A$19="","",Baux!$A$19)</f>
        <v/>
      </c>
      <c r="B206" s="17">
        <f>IF(A206="","",Baux!$B$19)</f>
        <v/>
      </c>
      <c r="C206" s="17" t="n">
        <v>1</v>
      </c>
      <c r="D206" s="15">
        <f>IF(OR(A206="",Baux!$F$19="",Baux!$O$19=""),"",EDATE(Baux!$F$19,12*Baux!$O$19*C206))</f>
        <v/>
      </c>
      <c r="E206" s="17">
        <f>IF(AD206=0,"",Baux!$M$19)</f>
        <v/>
      </c>
      <c r="F206" s="17">
        <f>IF(AD206=0,"",IFERROR(TEXT(VALUE(LEFT(Baux!$N$19,4))+C206*Baux!$O$19,"0")&amp;RIGHT(Baux!$N$19,3),""))</f>
        <v/>
      </c>
      <c r="G206" s="25">
        <f>IF(AD206=0,"",IF(F206="","",IF(SUMIFS(Indices_long!$C:$C,Indices_long!$A:$A,E206,Indices_long!$B:$B,F206)=0,"",SUMIFS(Indices_long!$C:$C,Indices_long!$A:$A,E206,Indices_long!$B:$B,F206))))</f>
        <v/>
      </c>
      <c r="H206" s="17">
        <f>IF(AD206=0,"",Baux!$N$19)</f>
        <v/>
      </c>
      <c r="I206" s="25">
        <f>IF(AD206=0,"",IF(H206="","",IF(SUMIFS(Indices_long!$C:$C,Indices_long!$A:$A,E206,Indices_long!$B:$B,H206)=0,"",SUMIFS(Indices_long!$C:$C,Indices_long!$A:$A,E206,Indices_long!$B:$B,H206))))</f>
        <v/>
      </c>
      <c r="J206" s="26">
        <f>IF(OR(G206="",I206=""),"",G206/I206)</f>
        <v/>
      </c>
      <c r="K206" s="13" t="n"/>
      <c r="L206" s="27">
        <f>IF(AD206=0,"",Baux!$I$19)</f>
        <v/>
      </c>
      <c r="M206" s="27">
        <f>IF(OR(J206="",L206=""),"",ROUND(L206*J206,2))</f>
        <v/>
      </c>
      <c r="N206" s="27">
        <f>IF(AD206=0,"",IF(LEFT(K206,5)="Geler",O206,IF(M206="","",IF(Baux!$Q$19="",M206,MIN(M206,ROUND(L206*(1+Baux!$Q$19/100)^IF(Baux!$P$19="Base fixe",C206*Baux!$O$19,VALUE(LEFT(F206,4))-VALUE(LEFT(H206,4))),2))))))</f>
        <v/>
      </c>
      <c r="O206" s="27">
        <f>IF(AD206=0,"",Baux!$I$19)</f>
        <v/>
      </c>
      <c r="P206" s="28">
        <f>IF(OR(N206="",O206=""),"",N206/O206-1)</f>
        <v/>
      </c>
      <c r="Q206" s="27">
        <f>IF(N206="","",N206/12)</f>
        <v/>
      </c>
      <c r="R206" s="27">
        <f>IF(N206="","",N206/IF(Baux!$L$19="Mensuelle",12,IF(Baux!$L$19="Trimestrielle",4,IF(Baux!$L$19="Semestrielle",2,1))))</f>
        <v/>
      </c>
      <c r="S206" s="27">
        <f>IF(AD206=0,"",IF(Baux!$J$19="",0,Baux!$J$19)/IF(Baux!$L$19="Mensuelle",12,IF(Baux!$L$19="Trimestrielle",4,IF(Baux!$L$19="Semestrielle",2,1))))</f>
        <v/>
      </c>
      <c r="T206" s="27">
        <f>IF(R206="","",(R206+S206)*Baux!$K$19/100)</f>
        <v/>
      </c>
      <c r="U206" s="27">
        <f>IF(R206="","",R206+S206+T206)</f>
        <v/>
      </c>
      <c r="V206" s="17">
        <f>IF(AD206=0,"",IF(LEFT(K206,5)="Geler","❄ Gelée",IF(G206="",IF(D206&lt;=TODAY(),"⚠ Indice attendu","À venir"),IF(D206&lt;=TODAY(),"✔ Calculable","Indice connu – à venir"))))</f>
        <v/>
      </c>
      <c r="W206" s="29" t="n"/>
      <c r="X206" s="13" t="n"/>
      <c r="Y206" s="14" t="n"/>
      <c r="Z206" s="14" t="n"/>
      <c r="AA206" s="13" t="n"/>
      <c r="AB206" s="17">
        <f>IF(A206="","",A206&amp;"#"&amp;C206)</f>
        <v/>
      </c>
      <c r="AC206" s="17">
        <f>IF(AND(AD206=1,D206&lt;=TODAY(),N206&lt;&gt;""),1,0)</f>
        <v/>
      </c>
      <c r="AD206" s="17">
        <f>IF(OR(A206="",D206=""),0,IF(AND(ISNUMBER(Baux!$H$19),D206&gt;Baux!$H$19),0,1))</f>
        <v/>
      </c>
    </row>
    <row r="207">
      <c r="A207" s="17">
        <f>IF(Baux!$A$19="","",Baux!$A$19)</f>
        <v/>
      </c>
      <c r="B207" s="17">
        <f>IF(A207="","",Baux!$B$19)</f>
        <v/>
      </c>
      <c r="C207" s="17" t="n">
        <v>2</v>
      </c>
      <c r="D207" s="15">
        <f>IF(OR(A207="",Baux!$F$19="",Baux!$O$19=""),"",EDATE(Baux!$F$19,12*Baux!$O$19*C207))</f>
        <v/>
      </c>
      <c r="E207" s="17">
        <f>IF(AD207=0,"",Baux!$M$19)</f>
        <v/>
      </c>
      <c r="F207" s="17">
        <f>IF(AD207=0,"",IFERROR(TEXT(VALUE(LEFT(Baux!$N$19,4))+C207*Baux!$O$19,"0")&amp;RIGHT(Baux!$N$19,3),""))</f>
        <v/>
      </c>
      <c r="G207" s="25">
        <f>IF(AD207=0,"",IF(F207="","",IF(SUMIFS(Indices_long!$C:$C,Indices_long!$A:$A,E207,Indices_long!$B:$B,F207)=0,"",SUMIFS(Indices_long!$C:$C,Indices_long!$A:$A,E207,Indices_long!$B:$B,F207))))</f>
        <v/>
      </c>
      <c r="H207" s="17">
        <f>IF(AD207=0,"",IF(Baux!$P$19="Base fixe",Baux!$N$19,IF(K206="Geler – rattrapage possible",H206,F206)))</f>
        <v/>
      </c>
      <c r="I207" s="25">
        <f>IF(AD207=0,"",IF(H207="","",IF(SUMIFS(Indices_long!$C:$C,Indices_long!$A:$A,E207,Indices_long!$B:$B,H207)=0,"",SUMIFS(Indices_long!$C:$C,Indices_long!$A:$A,E207,Indices_long!$B:$B,H207))))</f>
        <v/>
      </c>
      <c r="J207" s="26">
        <f>IF(OR(G207="",I207=""),"",G207/I207)</f>
        <v/>
      </c>
      <c r="K207" s="13" t="n"/>
      <c r="L207" s="27">
        <f>IF(AD207=0,"",IF(Baux!$P$19="Base fixe",Baux!$I$19,N206))</f>
        <v/>
      </c>
      <c r="M207" s="27">
        <f>IF(OR(J207="",L207=""),"",ROUND(L207*J207,2))</f>
        <v/>
      </c>
      <c r="N207" s="27">
        <f>IF(AD207=0,"",IF(LEFT(K207,5)="Geler",O207,IF(M207="","",IF(Baux!$Q$19="",M207,MIN(M207,ROUND(L207*(1+Baux!$Q$19/100)^IF(Baux!$P$19="Base fixe",C207*Baux!$O$19,VALUE(LEFT(F207,4))-VALUE(LEFT(H207,4))),2))))))</f>
        <v/>
      </c>
      <c r="O207" s="27">
        <f>IF(AD207=0,"",N206)</f>
        <v/>
      </c>
      <c r="P207" s="28">
        <f>IF(OR(N207="",O207=""),"",N207/O207-1)</f>
        <v/>
      </c>
      <c r="Q207" s="27">
        <f>IF(N207="","",N207/12)</f>
        <v/>
      </c>
      <c r="R207" s="27">
        <f>IF(N207="","",N207/IF(Baux!$L$19="Mensuelle",12,IF(Baux!$L$19="Trimestrielle",4,IF(Baux!$L$19="Semestrielle",2,1))))</f>
        <v/>
      </c>
      <c r="S207" s="27">
        <f>IF(AD207=0,"",IF(Baux!$J$19="",0,Baux!$J$19)/IF(Baux!$L$19="Mensuelle",12,IF(Baux!$L$19="Trimestrielle",4,IF(Baux!$L$19="Semestrielle",2,1))))</f>
        <v/>
      </c>
      <c r="T207" s="27">
        <f>IF(R207="","",(R207+S207)*Baux!$K$19/100)</f>
        <v/>
      </c>
      <c r="U207" s="27">
        <f>IF(R207="","",R207+S207+T207)</f>
        <v/>
      </c>
      <c r="V207" s="17">
        <f>IF(AD207=0,"",IF(LEFT(K207,5)="Geler","❄ Gelée",IF(G207="",IF(D207&lt;=TODAY(),"⚠ Indice attendu","À venir"),IF(D207&lt;=TODAY(),"✔ Calculable","Indice connu – à venir"))))</f>
        <v/>
      </c>
      <c r="W207" s="29" t="n"/>
      <c r="X207" s="13" t="n"/>
      <c r="Y207" s="14" t="n"/>
      <c r="Z207" s="14" t="n"/>
      <c r="AA207" s="13" t="n"/>
      <c r="AB207" s="17">
        <f>IF(A207="","",A207&amp;"#"&amp;C207)</f>
        <v/>
      </c>
      <c r="AC207" s="17">
        <f>IF(AND(AD207=1,D207&lt;=TODAY(),N207&lt;&gt;""),1,0)</f>
        <v/>
      </c>
      <c r="AD207" s="17">
        <f>IF(OR(A207="",D207=""),0,IF(AND(ISNUMBER(Baux!$H$19),D207&gt;Baux!$H$19),0,1))</f>
        <v/>
      </c>
    </row>
    <row r="208">
      <c r="A208" s="17">
        <f>IF(Baux!$A$19="","",Baux!$A$19)</f>
        <v/>
      </c>
      <c r="B208" s="17">
        <f>IF(A208="","",Baux!$B$19)</f>
        <v/>
      </c>
      <c r="C208" s="17" t="n">
        <v>3</v>
      </c>
      <c r="D208" s="15">
        <f>IF(OR(A208="",Baux!$F$19="",Baux!$O$19=""),"",EDATE(Baux!$F$19,12*Baux!$O$19*C208))</f>
        <v/>
      </c>
      <c r="E208" s="17">
        <f>IF(AD208=0,"",Baux!$M$19)</f>
        <v/>
      </c>
      <c r="F208" s="17">
        <f>IF(AD208=0,"",IFERROR(TEXT(VALUE(LEFT(Baux!$N$19,4))+C208*Baux!$O$19,"0")&amp;RIGHT(Baux!$N$19,3),""))</f>
        <v/>
      </c>
      <c r="G208" s="25">
        <f>IF(AD208=0,"",IF(F208="","",IF(SUMIFS(Indices_long!$C:$C,Indices_long!$A:$A,E208,Indices_long!$B:$B,F208)=0,"",SUMIFS(Indices_long!$C:$C,Indices_long!$A:$A,E208,Indices_long!$B:$B,F208))))</f>
        <v/>
      </c>
      <c r="H208" s="17">
        <f>IF(AD208=0,"",IF(Baux!$P$19="Base fixe",Baux!$N$19,IF(K207="Geler – rattrapage possible",H207,F207)))</f>
        <v/>
      </c>
      <c r="I208" s="25">
        <f>IF(AD208=0,"",IF(H208="","",IF(SUMIFS(Indices_long!$C:$C,Indices_long!$A:$A,E208,Indices_long!$B:$B,H208)=0,"",SUMIFS(Indices_long!$C:$C,Indices_long!$A:$A,E208,Indices_long!$B:$B,H208))))</f>
        <v/>
      </c>
      <c r="J208" s="26">
        <f>IF(OR(G208="",I208=""),"",G208/I208)</f>
        <v/>
      </c>
      <c r="K208" s="13" t="n"/>
      <c r="L208" s="27">
        <f>IF(AD208=0,"",IF(Baux!$P$19="Base fixe",Baux!$I$19,N207))</f>
        <v/>
      </c>
      <c r="M208" s="27">
        <f>IF(OR(J208="",L208=""),"",ROUND(L208*J208,2))</f>
        <v/>
      </c>
      <c r="N208" s="27">
        <f>IF(AD208=0,"",IF(LEFT(K208,5)="Geler",O208,IF(M208="","",IF(Baux!$Q$19="",M208,MIN(M208,ROUND(L208*(1+Baux!$Q$19/100)^IF(Baux!$P$19="Base fixe",C208*Baux!$O$19,VALUE(LEFT(F208,4))-VALUE(LEFT(H208,4))),2))))))</f>
        <v/>
      </c>
      <c r="O208" s="27">
        <f>IF(AD208=0,"",N207)</f>
        <v/>
      </c>
      <c r="P208" s="28">
        <f>IF(OR(N208="",O208=""),"",N208/O208-1)</f>
        <v/>
      </c>
      <c r="Q208" s="27">
        <f>IF(N208="","",N208/12)</f>
        <v/>
      </c>
      <c r="R208" s="27">
        <f>IF(N208="","",N208/IF(Baux!$L$19="Mensuelle",12,IF(Baux!$L$19="Trimestrielle",4,IF(Baux!$L$19="Semestrielle",2,1))))</f>
        <v/>
      </c>
      <c r="S208" s="27">
        <f>IF(AD208=0,"",IF(Baux!$J$19="",0,Baux!$J$19)/IF(Baux!$L$19="Mensuelle",12,IF(Baux!$L$19="Trimestrielle",4,IF(Baux!$L$19="Semestrielle",2,1))))</f>
        <v/>
      </c>
      <c r="T208" s="27">
        <f>IF(R208="","",(R208+S208)*Baux!$K$19/100)</f>
        <v/>
      </c>
      <c r="U208" s="27">
        <f>IF(R208="","",R208+S208+T208)</f>
        <v/>
      </c>
      <c r="V208" s="17">
        <f>IF(AD208=0,"",IF(LEFT(K208,5)="Geler","❄ Gelée",IF(G208="",IF(D208&lt;=TODAY(),"⚠ Indice attendu","À venir"),IF(D208&lt;=TODAY(),"✔ Calculable","Indice connu – à venir"))))</f>
        <v/>
      </c>
      <c r="W208" s="29" t="n"/>
      <c r="X208" s="13" t="n"/>
      <c r="Y208" s="14" t="n"/>
      <c r="Z208" s="14" t="n"/>
      <c r="AA208" s="13" t="n"/>
      <c r="AB208" s="17">
        <f>IF(A208="","",A208&amp;"#"&amp;C208)</f>
        <v/>
      </c>
      <c r="AC208" s="17">
        <f>IF(AND(AD208=1,D208&lt;=TODAY(),N208&lt;&gt;""),1,0)</f>
        <v/>
      </c>
      <c r="AD208" s="17">
        <f>IF(OR(A208="",D208=""),0,IF(AND(ISNUMBER(Baux!$H$19),D208&gt;Baux!$H$19),0,1))</f>
        <v/>
      </c>
    </row>
    <row r="209">
      <c r="A209" s="17">
        <f>IF(Baux!$A$19="","",Baux!$A$19)</f>
        <v/>
      </c>
      <c r="B209" s="17">
        <f>IF(A209="","",Baux!$B$19)</f>
        <v/>
      </c>
      <c r="C209" s="17" t="n">
        <v>4</v>
      </c>
      <c r="D209" s="15">
        <f>IF(OR(A209="",Baux!$F$19="",Baux!$O$19=""),"",EDATE(Baux!$F$19,12*Baux!$O$19*C209))</f>
        <v/>
      </c>
      <c r="E209" s="17">
        <f>IF(AD209=0,"",Baux!$M$19)</f>
        <v/>
      </c>
      <c r="F209" s="17">
        <f>IF(AD209=0,"",IFERROR(TEXT(VALUE(LEFT(Baux!$N$19,4))+C209*Baux!$O$19,"0")&amp;RIGHT(Baux!$N$19,3),""))</f>
        <v/>
      </c>
      <c r="G209" s="25">
        <f>IF(AD209=0,"",IF(F209="","",IF(SUMIFS(Indices_long!$C:$C,Indices_long!$A:$A,E209,Indices_long!$B:$B,F209)=0,"",SUMIFS(Indices_long!$C:$C,Indices_long!$A:$A,E209,Indices_long!$B:$B,F209))))</f>
        <v/>
      </c>
      <c r="H209" s="17">
        <f>IF(AD209=0,"",IF(Baux!$P$19="Base fixe",Baux!$N$19,IF(K208="Geler – rattrapage possible",H208,F208)))</f>
        <v/>
      </c>
      <c r="I209" s="25">
        <f>IF(AD209=0,"",IF(H209="","",IF(SUMIFS(Indices_long!$C:$C,Indices_long!$A:$A,E209,Indices_long!$B:$B,H209)=0,"",SUMIFS(Indices_long!$C:$C,Indices_long!$A:$A,E209,Indices_long!$B:$B,H209))))</f>
        <v/>
      </c>
      <c r="J209" s="26">
        <f>IF(OR(G209="",I209=""),"",G209/I209)</f>
        <v/>
      </c>
      <c r="K209" s="13" t="n"/>
      <c r="L209" s="27">
        <f>IF(AD209=0,"",IF(Baux!$P$19="Base fixe",Baux!$I$19,N208))</f>
        <v/>
      </c>
      <c r="M209" s="27">
        <f>IF(OR(J209="",L209=""),"",ROUND(L209*J209,2))</f>
        <v/>
      </c>
      <c r="N209" s="27">
        <f>IF(AD209=0,"",IF(LEFT(K209,5)="Geler",O209,IF(M209="","",IF(Baux!$Q$19="",M209,MIN(M209,ROUND(L209*(1+Baux!$Q$19/100)^IF(Baux!$P$19="Base fixe",C209*Baux!$O$19,VALUE(LEFT(F209,4))-VALUE(LEFT(H209,4))),2))))))</f>
        <v/>
      </c>
      <c r="O209" s="27">
        <f>IF(AD209=0,"",N208)</f>
        <v/>
      </c>
      <c r="P209" s="28">
        <f>IF(OR(N209="",O209=""),"",N209/O209-1)</f>
        <v/>
      </c>
      <c r="Q209" s="27">
        <f>IF(N209="","",N209/12)</f>
        <v/>
      </c>
      <c r="R209" s="27">
        <f>IF(N209="","",N209/IF(Baux!$L$19="Mensuelle",12,IF(Baux!$L$19="Trimestrielle",4,IF(Baux!$L$19="Semestrielle",2,1))))</f>
        <v/>
      </c>
      <c r="S209" s="27">
        <f>IF(AD209=0,"",IF(Baux!$J$19="",0,Baux!$J$19)/IF(Baux!$L$19="Mensuelle",12,IF(Baux!$L$19="Trimestrielle",4,IF(Baux!$L$19="Semestrielle",2,1))))</f>
        <v/>
      </c>
      <c r="T209" s="27">
        <f>IF(R209="","",(R209+S209)*Baux!$K$19/100)</f>
        <v/>
      </c>
      <c r="U209" s="27">
        <f>IF(R209="","",R209+S209+T209)</f>
        <v/>
      </c>
      <c r="V209" s="17">
        <f>IF(AD209=0,"",IF(LEFT(K209,5)="Geler","❄ Gelée",IF(G209="",IF(D209&lt;=TODAY(),"⚠ Indice attendu","À venir"),IF(D209&lt;=TODAY(),"✔ Calculable","Indice connu – à venir"))))</f>
        <v/>
      </c>
      <c r="W209" s="29" t="n"/>
      <c r="X209" s="13" t="n"/>
      <c r="Y209" s="14" t="n"/>
      <c r="Z209" s="14" t="n"/>
      <c r="AA209" s="13" t="n"/>
      <c r="AB209" s="17">
        <f>IF(A209="","",A209&amp;"#"&amp;C209)</f>
        <v/>
      </c>
      <c r="AC209" s="17">
        <f>IF(AND(AD209=1,D209&lt;=TODAY(),N209&lt;&gt;""),1,0)</f>
        <v/>
      </c>
      <c r="AD209" s="17">
        <f>IF(OR(A209="",D209=""),0,IF(AND(ISNUMBER(Baux!$H$19),D209&gt;Baux!$H$19),0,1))</f>
        <v/>
      </c>
    </row>
    <row r="210">
      <c r="A210" s="17">
        <f>IF(Baux!$A$19="","",Baux!$A$19)</f>
        <v/>
      </c>
      <c r="B210" s="17">
        <f>IF(A210="","",Baux!$B$19)</f>
        <v/>
      </c>
      <c r="C210" s="17" t="n">
        <v>5</v>
      </c>
      <c r="D210" s="15">
        <f>IF(OR(A210="",Baux!$F$19="",Baux!$O$19=""),"",EDATE(Baux!$F$19,12*Baux!$O$19*C210))</f>
        <v/>
      </c>
      <c r="E210" s="17">
        <f>IF(AD210=0,"",Baux!$M$19)</f>
        <v/>
      </c>
      <c r="F210" s="17">
        <f>IF(AD210=0,"",IFERROR(TEXT(VALUE(LEFT(Baux!$N$19,4))+C210*Baux!$O$19,"0")&amp;RIGHT(Baux!$N$19,3),""))</f>
        <v/>
      </c>
      <c r="G210" s="25">
        <f>IF(AD210=0,"",IF(F210="","",IF(SUMIFS(Indices_long!$C:$C,Indices_long!$A:$A,E210,Indices_long!$B:$B,F210)=0,"",SUMIFS(Indices_long!$C:$C,Indices_long!$A:$A,E210,Indices_long!$B:$B,F210))))</f>
        <v/>
      </c>
      <c r="H210" s="17">
        <f>IF(AD210=0,"",IF(Baux!$P$19="Base fixe",Baux!$N$19,IF(K209="Geler – rattrapage possible",H209,F209)))</f>
        <v/>
      </c>
      <c r="I210" s="25">
        <f>IF(AD210=0,"",IF(H210="","",IF(SUMIFS(Indices_long!$C:$C,Indices_long!$A:$A,E210,Indices_long!$B:$B,H210)=0,"",SUMIFS(Indices_long!$C:$C,Indices_long!$A:$A,E210,Indices_long!$B:$B,H210))))</f>
        <v/>
      </c>
      <c r="J210" s="26">
        <f>IF(OR(G210="",I210=""),"",G210/I210)</f>
        <v/>
      </c>
      <c r="K210" s="13" t="n"/>
      <c r="L210" s="27">
        <f>IF(AD210=0,"",IF(Baux!$P$19="Base fixe",Baux!$I$19,N209))</f>
        <v/>
      </c>
      <c r="M210" s="27">
        <f>IF(OR(J210="",L210=""),"",ROUND(L210*J210,2))</f>
        <v/>
      </c>
      <c r="N210" s="27">
        <f>IF(AD210=0,"",IF(LEFT(K210,5)="Geler",O210,IF(M210="","",IF(Baux!$Q$19="",M210,MIN(M210,ROUND(L210*(1+Baux!$Q$19/100)^IF(Baux!$P$19="Base fixe",C210*Baux!$O$19,VALUE(LEFT(F210,4))-VALUE(LEFT(H210,4))),2))))))</f>
        <v/>
      </c>
      <c r="O210" s="27">
        <f>IF(AD210=0,"",N209)</f>
        <v/>
      </c>
      <c r="P210" s="28">
        <f>IF(OR(N210="",O210=""),"",N210/O210-1)</f>
        <v/>
      </c>
      <c r="Q210" s="27">
        <f>IF(N210="","",N210/12)</f>
        <v/>
      </c>
      <c r="R210" s="27">
        <f>IF(N210="","",N210/IF(Baux!$L$19="Mensuelle",12,IF(Baux!$L$19="Trimestrielle",4,IF(Baux!$L$19="Semestrielle",2,1))))</f>
        <v/>
      </c>
      <c r="S210" s="27">
        <f>IF(AD210=0,"",IF(Baux!$J$19="",0,Baux!$J$19)/IF(Baux!$L$19="Mensuelle",12,IF(Baux!$L$19="Trimestrielle",4,IF(Baux!$L$19="Semestrielle",2,1))))</f>
        <v/>
      </c>
      <c r="T210" s="27">
        <f>IF(R210="","",(R210+S210)*Baux!$K$19/100)</f>
        <v/>
      </c>
      <c r="U210" s="27">
        <f>IF(R210="","",R210+S210+T210)</f>
        <v/>
      </c>
      <c r="V210" s="17">
        <f>IF(AD210=0,"",IF(LEFT(K210,5)="Geler","❄ Gelée",IF(G210="",IF(D210&lt;=TODAY(),"⚠ Indice attendu","À venir"),IF(D210&lt;=TODAY(),"✔ Calculable","Indice connu – à venir"))))</f>
        <v/>
      </c>
      <c r="W210" s="29" t="n"/>
      <c r="X210" s="13" t="n"/>
      <c r="Y210" s="14" t="n"/>
      <c r="Z210" s="14" t="n"/>
      <c r="AA210" s="13" t="n"/>
      <c r="AB210" s="17">
        <f>IF(A210="","",A210&amp;"#"&amp;C210)</f>
        <v/>
      </c>
      <c r="AC210" s="17">
        <f>IF(AND(AD210=1,D210&lt;=TODAY(),N210&lt;&gt;""),1,0)</f>
        <v/>
      </c>
      <c r="AD210" s="17">
        <f>IF(OR(A210="",D210=""),0,IF(AND(ISNUMBER(Baux!$H$19),D210&gt;Baux!$H$19),0,1))</f>
        <v/>
      </c>
    </row>
    <row r="211">
      <c r="A211" s="17">
        <f>IF(Baux!$A$19="","",Baux!$A$19)</f>
        <v/>
      </c>
      <c r="B211" s="17">
        <f>IF(A211="","",Baux!$B$19)</f>
        <v/>
      </c>
      <c r="C211" s="17" t="n">
        <v>6</v>
      </c>
      <c r="D211" s="15">
        <f>IF(OR(A211="",Baux!$F$19="",Baux!$O$19=""),"",EDATE(Baux!$F$19,12*Baux!$O$19*C211))</f>
        <v/>
      </c>
      <c r="E211" s="17">
        <f>IF(AD211=0,"",Baux!$M$19)</f>
        <v/>
      </c>
      <c r="F211" s="17">
        <f>IF(AD211=0,"",IFERROR(TEXT(VALUE(LEFT(Baux!$N$19,4))+C211*Baux!$O$19,"0")&amp;RIGHT(Baux!$N$19,3),""))</f>
        <v/>
      </c>
      <c r="G211" s="25">
        <f>IF(AD211=0,"",IF(F211="","",IF(SUMIFS(Indices_long!$C:$C,Indices_long!$A:$A,E211,Indices_long!$B:$B,F211)=0,"",SUMIFS(Indices_long!$C:$C,Indices_long!$A:$A,E211,Indices_long!$B:$B,F211))))</f>
        <v/>
      </c>
      <c r="H211" s="17">
        <f>IF(AD211=0,"",IF(Baux!$P$19="Base fixe",Baux!$N$19,IF(K210="Geler – rattrapage possible",H210,F210)))</f>
        <v/>
      </c>
      <c r="I211" s="25">
        <f>IF(AD211=0,"",IF(H211="","",IF(SUMIFS(Indices_long!$C:$C,Indices_long!$A:$A,E211,Indices_long!$B:$B,H211)=0,"",SUMIFS(Indices_long!$C:$C,Indices_long!$A:$A,E211,Indices_long!$B:$B,H211))))</f>
        <v/>
      </c>
      <c r="J211" s="26">
        <f>IF(OR(G211="",I211=""),"",G211/I211)</f>
        <v/>
      </c>
      <c r="K211" s="13" t="n"/>
      <c r="L211" s="27">
        <f>IF(AD211=0,"",IF(Baux!$P$19="Base fixe",Baux!$I$19,N210))</f>
        <v/>
      </c>
      <c r="M211" s="27">
        <f>IF(OR(J211="",L211=""),"",ROUND(L211*J211,2))</f>
        <v/>
      </c>
      <c r="N211" s="27">
        <f>IF(AD211=0,"",IF(LEFT(K211,5)="Geler",O211,IF(M211="","",IF(Baux!$Q$19="",M211,MIN(M211,ROUND(L211*(1+Baux!$Q$19/100)^IF(Baux!$P$19="Base fixe",C211*Baux!$O$19,VALUE(LEFT(F211,4))-VALUE(LEFT(H211,4))),2))))))</f>
        <v/>
      </c>
      <c r="O211" s="27">
        <f>IF(AD211=0,"",N210)</f>
        <v/>
      </c>
      <c r="P211" s="28">
        <f>IF(OR(N211="",O211=""),"",N211/O211-1)</f>
        <v/>
      </c>
      <c r="Q211" s="27">
        <f>IF(N211="","",N211/12)</f>
        <v/>
      </c>
      <c r="R211" s="27">
        <f>IF(N211="","",N211/IF(Baux!$L$19="Mensuelle",12,IF(Baux!$L$19="Trimestrielle",4,IF(Baux!$L$19="Semestrielle",2,1))))</f>
        <v/>
      </c>
      <c r="S211" s="27">
        <f>IF(AD211=0,"",IF(Baux!$J$19="",0,Baux!$J$19)/IF(Baux!$L$19="Mensuelle",12,IF(Baux!$L$19="Trimestrielle",4,IF(Baux!$L$19="Semestrielle",2,1))))</f>
        <v/>
      </c>
      <c r="T211" s="27">
        <f>IF(R211="","",(R211+S211)*Baux!$K$19/100)</f>
        <v/>
      </c>
      <c r="U211" s="27">
        <f>IF(R211="","",R211+S211+T211)</f>
        <v/>
      </c>
      <c r="V211" s="17">
        <f>IF(AD211=0,"",IF(LEFT(K211,5)="Geler","❄ Gelée",IF(G211="",IF(D211&lt;=TODAY(),"⚠ Indice attendu","À venir"),IF(D211&lt;=TODAY(),"✔ Calculable","Indice connu – à venir"))))</f>
        <v/>
      </c>
      <c r="W211" s="29" t="n"/>
      <c r="X211" s="13" t="n"/>
      <c r="Y211" s="14" t="n"/>
      <c r="Z211" s="14" t="n"/>
      <c r="AA211" s="13" t="n"/>
      <c r="AB211" s="17">
        <f>IF(A211="","",A211&amp;"#"&amp;C211)</f>
        <v/>
      </c>
      <c r="AC211" s="17">
        <f>IF(AND(AD211=1,D211&lt;=TODAY(),N211&lt;&gt;""),1,0)</f>
        <v/>
      </c>
      <c r="AD211" s="17">
        <f>IF(OR(A211="",D211=""),0,IF(AND(ISNUMBER(Baux!$H$19),D211&gt;Baux!$H$19),0,1))</f>
        <v/>
      </c>
    </row>
    <row r="212">
      <c r="A212" s="17">
        <f>IF(Baux!$A$19="","",Baux!$A$19)</f>
        <v/>
      </c>
      <c r="B212" s="17">
        <f>IF(A212="","",Baux!$B$19)</f>
        <v/>
      </c>
      <c r="C212" s="17" t="n">
        <v>7</v>
      </c>
      <c r="D212" s="15">
        <f>IF(OR(A212="",Baux!$F$19="",Baux!$O$19=""),"",EDATE(Baux!$F$19,12*Baux!$O$19*C212))</f>
        <v/>
      </c>
      <c r="E212" s="17">
        <f>IF(AD212=0,"",Baux!$M$19)</f>
        <v/>
      </c>
      <c r="F212" s="17">
        <f>IF(AD212=0,"",IFERROR(TEXT(VALUE(LEFT(Baux!$N$19,4))+C212*Baux!$O$19,"0")&amp;RIGHT(Baux!$N$19,3),""))</f>
        <v/>
      </c>
      <c r="G212" s="25">
        <f>IF(AD212=0,"",IF(F212="","",IF(SUMIFS(Indices_long!$C:$C,Indices_long!$A:$A,E212,Indices_long!$B:$B,F212)=0,"",SUMIFS(Indices_long!$C:$C,Indices_long!$A:$A,E212,Indices_long!$B:$B,F212))))</f>
        <v/>
      </c>
      <c r="H212" s="17">
        <f>IF(AD212=0,"",IF(Baux!$P$19="Base fixe",Baux!$N$19,IF(K211="Geler – rattrapage possible",H211,F211)))</f>
        <v/>
      </c>
      <c r="I212" s="25">
        <f>IF(AD212=0,"",IF(H212="","",IF(SUMIFS(Indices_long!$C:$C,Indices_long!$A:$A,E212,Indices_long!$B:$B,H212)=0,"",SUMIFS(Indices_long!$C:$C,Indices_long!$A:$A,E212,Indices_long!$B:$B,H212))))</f>
        <v/>
      </c>
      <c r="J212" s="26">
        <f>IF(OR(G212="",I212=""),"",G212/I212)</f>
        <v/>
      </c>
      <c r="K212" s="13" t="n"/>
      <c r="L212" s="27">
        <f>IF(AD212=0,"",IF(Baux!$P$19="Base fixe",Baux!$I$19,N211))</f>
        <v/>
      </c>
      <c r="M212" s="27">
        <f>IF(OR(J212="",L212=""),"",ROUND(L212*J212,2))</f>
        <v/>
      </c>
      <c r="N212" s="27">
        <f>IF(AD212=0,"",IF(LEFT(K212,5)="Geler",O212,IF(M212="","",IF(Baux!$Q$19="",M212,MIN(M212,ROUND(L212*(1+Baux!$Q$19/100)^IF(Baux!$P$19="Base fixe",C212*Baux!$O$19,VALUE(LEFT(F212,4))-VALUE(LEFT(H212,4))),2))))))</f>
        <v/>
      </c>
      <c r="O212" s="27">
        <f>IF(AD212=0,"",N211)</f>
        <v/>
      </c>
      <c r="P212" s="28">
        <f>IF(OR(N212="",O212=""),"",N212/O212-1)</f>
        <v/>
      </c>
      <c r="Q212" s="27">
        <f>IF(N212="","",N212/12)</f>
        <v/>
      </c>
      <c r="R212" s="27">
        <f>IF(N212="","",N212/IF(Baux!$L$19="Mensuelle",12,IF(Baux!$L$19="Trimestrielle",4,IF(Baux!$L$19="Semestrielle",2,1))))</f>
        <v/>
      </c>
      <c r="S212" s="27">
        <f>IF(AD212=0,"",IF(Baux!$J$19="",0,Baux!$J$19)/IF(Baux!$L$19="Mensuelle",12,IF(Baux!$L$19="Trimestrielle",4,IF(Baux!$L$19="Semestrielle",2,1))))</f>
        <v/>
      </c>
      <c r="T212" s="27">
        <f>IF(R212="","",(R212+S212)*Baux!$K$19/100)</f>
        <v/>
      </c>
      <c r="U212" s="27">
        <f>IF(R212="","",R212+S212+T212)</f>
        <v/>
      </c>
      <c r="V212" s="17">
        <f>IF(AD212=0,"",IF(LEFT(K212,5)="Geler","❄ Gelée",IF(G212="",IF(D212&lt;=TODAY(),"⚠ Indice attendu","À venir"),IF(D212&lt;=TODAY(),"✔ Calculable","Indice connu – à venir"))))</f>
        <v/>
      </c>
      <c r="W212" s="29" t="n"/>
      <c r="X212" s="13" t="n"/>
      <c r="Y212" s="14" t="n"/>
      <c r="Z212" s="14" t="n"/>
      <c r="AA212" s="13" t="n"/>
      <c r="AB212" s="17">
        <f>IF(A212="","",A212&amp;"#"&amp;C212)</f>
        <v/>
      </c>
      <c r="AC212" s="17">
        <f>IF(AND(AD212=1,D212&lt;=TODAY(),N212&lt;&gt;""),1,0)</f>
        <v/>
      </c>
      <c r="AD212" s="17">
        <f>IF(OR(A212="",D212=""),0,IF(AND(ISNUMBER(Baux!$H$19),D212&gt;Baux!$H$19),0,1))</f>
        <v/>
      </c>
    </row>
    <row r="213">
      <c r="A213" s="17">
        <f>IF(Baux!$A$19="","",Baux!$A$19)</f>
        <v/>
      </c>
      <c r="B213" s="17">
        <f>IF(A213="","",Baux!$B$19)</f>
        <v/>
      </c>
      <c r="C213" s="17" t="n">
        <v>8</v>
      </c>
      <c r="D213" s="15">
        <f>IF(OR(A213="",Baux!$F$19="",Baux!$O$19=""),"",EDATE(Baux!$F$19,12*Baux!$O$19*C213))</f>
        <v/>
      </c>
      <c r="E213" s="17">
        <f>IF(AD213=0,"",Baux!$M$19)</f>
        <v/>
      </c>
      <c r="F213" s="17">
        <f>IF(AD213=0,"",IFERROR(TEXT(VALUE(LEFT(Baux!$N$19,4))+C213*Baux!$O$19,"0")&amp;RIGHT(Baux!$N$19,3),""))</f>
        <v/>
      </c>
      <c r="G213" s="25">
        <f>IF(AD213=0,"",IF(F213="","",IF(SUMIFS(Indices_long!$C:$C,Indices_long!$A:$A,E213,Indices_long!$B:$B,F213)=0,"",SUMIFS(Indices_long!$C:$C,Indices_long!$A:$A,E213,Indices_long!$B:$B,F213))))</f>
        <v/>
      </c>
      <c r="H213" s="17">
        <f>IF(AD213=0,"",IF(Baux!$P$19="Base fixe",Baux!$N$19,IF(K212="Geler – rattrapage possible",H212,F212)))</f>
        <v/>
      </c>
      <c r="I213" s="25">
        <f>IF(AD213=0,"",IF(H213="","",IF(SUMIFS(Indices_long!$C:$C,Indices_long!$A:$A,E213,Indices_long!$B:$B,H213)=0,"",SUMIFS(Indices_long!$C:$C,Indices_long!$A:$A,E213,Indices_long!$B:$B,H213))))</f>
        <v/>
      </c>
      <c r="J213" s="26">
        <f>IF(OR(G213="",I213=""),"",G213/I213)</f>
        <v/>
      </c>
      <c r="K213" s="13" t="n"/>
      <c r="L213" s="27">
        <f>IF(AD213=0,"",IF(Baux!$P$19="Base fixe",Baux!$I$19,N212))</f>
        <v/>
      </c>
      <c r="M213" s="27">
        <f>IF(OR(J213="",L213=""),"",ROUND(L213*J213,2))</f>
        <v/>
      </c>
      <c r="N213" s="27">
        <f>IF(AD213=0,"",IF(LEFT(K213,5)="Geler",O213,IF(M213="","",IF(Baux!$Q$19="",M213,MIN(M213,ROUND(L213*(1+Baux!$Q$19/100)^IF(Baux!$P$19="Base fixe",C213*Baux!$O$19,VALUE(LEFT(F213,4))-VALUE(LEFT(H213,4))),2))))))</f>
        <v/>
      </c>
      <c r="O213" s="27">
        <f>IF(AD213=0,"",N212)</f>
        <v/>
      </c>
      <c r="P213" s="28">
        <f>IF(OR(N213="",O213=""),"",N213/O213-1)</f>
        <v/>
      </c>
      <c r="Q213" s="27">
        <f>IF(N213="","",N213/12)</f>
        <v/>
      </c>
      <c r="R213" s="27">
        <f>IF(N213="","",N213/IF(Baux!$L$19="Mensuelle",12,IF(Baux!$L$19="Trimestrielle",4,IF(Baux!$L$19="Semestrielle",2,1))))</f>
        <v/>
      </c>
      <c r="S213" s="27">
        <f>IF(AD213=0,"",IF(Baux!$J$19="",0,Baux!$J$19)/IF(Baux!$L$19="Mensuelle",12,IF(Baux!$L$19="Trimestrielle",4,IF(Baux!$L$19="Semestrielle",2,1))))</f>
        <v/>
      </c>
      <c r="T213" s="27">
        <f>IF(R213="","",(R213+S213)*Baux!$K$19/100)</f>
        <v/>
      </c>
      <c r="U213" s="27">
        <f>IF(R213="","",R213+S213+T213)</f>
        <v/>
      </c>
      <c r="V213" s="17">
        <f>IF(AD213=0,"",IF(LEFT(K213,5)="Geler","❄ Gelée",IF(G213="",IF(D213&lt;=TODAY(),"⚠ Indice attendu","À venir"),IF(D213&lt;=TODAY(),"✔ Calculable","Indice connu – à venir"))))</f>
        <v/>
      </c>
      <c r="W213" s="29" t="n"/>
      <c r="X213" s="13" t="n"/>
      <c r="Y213" s="14" t="n"/>
      <c r="Z213" s="14" t="n"/>
      <c r="AA213" s="13" t="n"/>
      <c r="AB213" s="17">
        <f>IF(A213="","",A213&amp;"#"&amp;C213)</f>
        <v/>
      </c>
      <c r="AC213" s="17">
        <f>IF(AND(AD213=1,D213&lt;=TODAY(),N213&lt;&gt;""),1,0)</f>
        <v/>
      </c>
      <c r="AD213" s="17">
        <f>IF(OR(A213="",D213=""),0,IF(AND(ISNUMBER(Baux!$H$19),D213&gt;Baux!$H$19),0,1))</f>
        <v/>
      </c>
    </row>
    <row r="214">
      <c r="A214" s="17">
        <f>IF(Baux!$A$19="","",Baux!$A$19)</f>
        <v/>
      </c>
      <c r="B214" s="17">
        <f>IF(A214="","",Baux!$B$19)</f>
        <v/>
      </c>
      <c r="C214" s="17" t="n">
        <v>9</v>
      </c>
      <c r="D214" s="15">
        <f>IF(OR(A214="",Baux!$F$19="",Baux!$O$19=""),"",EDATE(Baux!$F$19,12*Baux!$O$19*C214))</f>
        <v/>
      </c>
      <c r="E214" s="17">
        <f>IF(AD214=0,"",Baux!$M$19)</f>
        <v/>
      </c>
      <c r="F214" s="17">
        <f>IF(AD214=0,"",IFERROR(TEXT(VALUE(LEFT(Baux!$N$19,4))+C214*Baux!$O$19,"0")&amp;RIGHT(Baux!$N$19,3),""))</f>
        <v/>
      </c>
      <c r="G214" s="25">
        <f>IF(AD214=0,"",IF(F214="","",IF(SUMIFS(Indices_long!$C:$C,Indices_long!$A:$A,E214,Indices_long!$B:$B,F214)=0,"",SUMIFS(Indices_long!$C:$C,Indices_long!$A:$A,E214,Indices_long!$B:$B,F214))))</f>
        <v/>
      </c>
      <c r="H214" s="17">
        <f>IF(AD214=0,"",IF(Baux!$P$19="Base fixe",Baux!$N$19,IF(K213="Geler – rattrapage possible",H213,F213)))</f>
        <v/>
      </c>
      <c r="I214" s="25">
        <f>IF(AD214=0,"",IF(H214="","",IF(SUMIFS(Indices_long!$C:$C,Indices_long!$A:$A,E214,Indices_long!$B:$B,H214)=0,"",SUMIFS(Indices_long!$C:$C,Indices_long!$A:$A,E214,Indices_long!$B:$B,H214))))</f>
        <v/>
      </c>
      <c r="J214" s="26">
        <f>IF(OR(G214="",I214=""),"",G214/I214)</f>
        <v/>
      </c>
      <c r="K214" s="13" t="n"/>
      <c r="L214" s="27">
        <f>IF(AD214=0,"",IF(Baux!$P$19="Base fixe",Baux!$I$19,N213))</f>
        <v/>
      </c>
      <c r="M214" s="27">
        <f>IF(OR(J214="",L214=""),"",ROUND(L214*J214,2))</f>
        <v/>
      </c>
      <c r="N214" s="27">
        <f>IF(AD214=0,"",IF(LEFT(K214,5)="Geler",O214,IF(M214="","",IF(Baux!$Q$19="",M214,MIN(M214,ROUND(L214*(1+Baux!$Q$19/100)^IF(Baux!$P$19="Base fixe",C214*Baux!$O$19,VALUE(LEFT(F214,4))-VALUE(LEFT(H214,4))),2))))))</f>
        <v/>
      </c>
      <c r="O214" s="27">
        <f>IF(AD214=0,"",N213)</f>
        <v/>
      </c>
      <c r="P214" s="28">
        <f>IF(OR(N214="",O214=""),"",N214/O214-1)</f>
        <v/>
      </c>
      <c r="Q214" s="27">
        <f>IF(N214="","",N214/12)</f>
        <v/>
      </c>
      <c r="R214" s="27">
        <f>IF(N214="","",N214/IF(Baux!$L$19="Mensuelle",12,IF(Baux!$L$19="Trimestrielle",4,IF(Baux!$L$19="Semestrielle",2,1))))</f>
        <v/>
      </c>
      <c r="S214" s="27">
        <f>IF(AD214=0,"",IF(Baux!$J$19="",0,Baux!$J$19)/IF(Baux!$L$19="Mensuelle",12,IF(Baux!$L$19="Trimestrielle",4,IF(Baux!$L$19="Semestrielle",2,1))))</f>
        <v/>
      </c>
      <c r="T214" s="27">
        <f>IF(R214="","",(R214+S214)*Baux!$K$19/100)</f>
        <v/>
      </c>
      <c r="U214" s="27">
        <f>IF(R214="","",R214+S214+T214)</f>
        <v/>
      </c>
      <c r="V214" s="17">
        <f>IF(AD214=0,"",IF(LEFT(K214,5)="Geler","❄ Gelée",IF(G214="",IF(D214&lt;=TODAY(),"⚠ Indice attendu","À venir"),IF(D214&lt;=TODAY(),"✔ Calculable","Indice connu – à venir"))))</f>
        <v/>
      </c>
      <c r="W214" s="29" t="n"/>
      <c r="X214" s="13" t="n"/>
      <c r="Y214" s="14" t="n"/>
      <c r="Z214" s="14" t="n"/>
      <c r="AA214" s="13" t="n"/>
      <c r="AB214" s="17">
        <f>IF(A214="","",A214&amp;"#"&amp;C214)</f>
        <v/>
      </c>
      <c r="AC214" s="17">
        <f>IF(AND(AD214=1,D214&lt;=TODAY(),N214&lt;&gt;""),1,0)</f>
        <v/>
      </c>
      <c r="AD214" s="17">
        <f>IF(OR(A214="",D214=""),0,IF(AND(ISNUMBER(Baux!$H$19),D214&gt;Baux!$H$19),0,1))</f>
        <v/>
      </c>
    </row>
    <row r="215">
      <c r="A215" s="17">
        <f>IF(Baux!$A$19="","",Baux!$A$19)</f>
        <v/>
      </c>
      <c r="B215" s="17">
        <f>IF(A215="","",Baux!$B$19)</f>
        <v/>
      </c>
      <c r="C215" s="17" t="n">
        <v>10</v>
      </c>
      <c r="D215" s="15">
        <f>IF(OR(A215="",Baux!$F$19="",Baux!$O$19=""),"",EDATE(Baux!$F$19,12*Baux!$O$19*C215))</f>
        <v/>
      </c>
      <c r="E215" s="17">
        <f>IF(AD215=0,"",Baux!$M$19)</f>
        <v/>
      </c>
      <c r="F215" s="17">
        <f>IF(AD215=0,"",IFERROR(TEXT(VALUE(LEFT(Baux!$N$19,4))+C215*Baux!$O$19,"0")&amp;RIGHT(Baux!$N$19,3),""))</f>
        <v/>
      </c>
      <c r="G215" s="25">
        <f>IF(AD215=0,"",IF(F215="","",IF(SUMIFS(Indices_long!$C:$C,Indices_long!$A:$A,E215,Indices_long!$B:$B,F215)=0,"",SUMIFS(Indices_long!$C:$C,Indices_long!$A:$A,E215,Indices_long!$B:$B,F215))))</f>
        <v/>
      </c>
      <c r="H215" s="17">
        <f>IF(AD215=0,"",IF(Baux!$P$19="Base fixe",Baux!$N$19,IF(K214="Geler – rattrapage possible",H214,F214)))</f>
        <v/>
      </c>
      <c r="I215" s="25">
        <f>IF(AD215=0,"",IF(H215="","",IF(SUMIFS(Indices_long!$C:$C,Indices_long!$A:$A,E215,Indices_long!$B:$B,H215)=0,"",SUMIFS(Indices_long!$C:$C,Indices_long!$A:$A,E215,Indices_long!$B:$B,H215))))</f>
        <v/>
      </c>
      <c r="J215" s="26">
        <f>IF(OR(G215="",I215=""),"",G215/I215)</f>
        <v/>
      </c>
      <c r="K215" s="13" t="n"/>
      <c r="L215" s="27">
        <f>IF(AD215=0,"",IF(Baux!$P$19="Base fixe",Baux!$I$19,N214))</f>
        <v/>
      </c>
      <c r="M215" s="27">
        <f>IF(OR(J215="",L215=""),"",ROUND(L215*J215,2))</f>
        <v/>
      </c>
      <c r="N215" s="27">
        <f>IF(AD215=0,"",IF(LEFT(K215,5)="Geler",O215,IF(M215="","",IF(Baux!$Q$19="",M215,MIN(M215,ROUND(L215*(1+Baux!$Q$19/100)^IF(Baux!$P$19="Base fixe",C215*Baux!$O$19,VALUE(LEFT(F215,4))-VALUE(LEFT(H215,4))),2))))))</f>
        <v/>
      </c>
      <c r="O215" s="27">
        <f>IF(AD215=0,"",N214)</f>
        <v/>
      </c>
      <c r="P215" s="28">
        <f>IF(OR(N215="",O215=""),"",N215/O215-1)</f>
        <v/>
      </c>
      <c r="Q215" s="27">
        <f>IF(N215="","",N215/12)</f>
        <v/>
      </c>
      <c r="R215" s="27">
        <f>IF(N215="","",N215/IF(Baux!$L$19="Mensuelle",12,IF(Baux!$L$19="Trimestrielle",4,IF(Baux!$L$19="Semestrielle",2,1))))</f>
        <v/>
      </c>
      <c r="S215" s="27">
        <f>IF(AD215=0,"",IF(Baux!$J$19="",0,Baux!$J$19)/IF(Baux!$L$19="Mensuelle",12,IF(Baux!$L$19="Trimestrielle",4,IF(Baux!$L$19="Semestrielle",2,1))))</f>
        <v/>
      </c>
      <c r="T215" s="27">
        <f>IF(R215="","",(R215+S215)*Baux!$K$19/100)</f>
        <v/>
      </c>
      <c r="U215" s="27">
        <f>IF(R215="","",R215+S215+T215)</f>
        <v/>
      </c>
      <c r="V215" s="17">
        <f>IF(AD215=0,"",IF(LEFT(K215,5)="Geler","❄ Gelée",IF(G215="",IF(D215&lt;=TODAY(),"⚠ Indice attendu","À venir"),IF(D215&lt;=TODAY(),"✔ Calculable","Indice connu – à venir"))))</f>
        <v/>
      </c>
      <c r="W215" s="29" t="n"/>
      <c r="X215" s="13" t="n"/>
      <c r="Y215" s="14" t="n"/>
      <c r="Z215" s="14" t="n"/>
      <c r="AA215" s="13" t="n"/>
      <c r="AB215" s="17">
        <f>IF(A215="","",A215&amp;"#"&amp;C215)</f>
        <v/>
      </c>
      <c r="AC215" s="17">
        <f>IF(AND(AD215=1,D215&lt;=TODAY(),N215&lt;&gt;""),1,0)</f>
        <v/>
      </c>
      <c r="AD215" s="17">
        <f>IF(OR(A215="",D215=""),0,IF(AND(ISNUMBER(Baux!$H$19),D215&gt;Baux!$H$19),0,1))</f>
        <v/>
      </c>
    </row>
    <row r="216">
      <c r="A216" s="17">
        <f>IF(Baux!$A$19="","",Baux!$A$19)</f>
        <v/>
      </c>
      <c r="B216" s="17">
        <f>IF(A216="","",Baux!$B$19)</f>
        <v/>
      </c>
      <c r="C216" s="17" t="n">
        <v>11</v>
      </c>
      <c r="D216" s="15">
        <f>IF(OR(A216="",Baux!$F$19="",Baux!$O$19=""),"",EDATE(Baux!$F$19,12*Baux!$O$19*C216))</f>
        <v/>
      </c>
      <c r="E216" s="17">
        <f>IF(AD216=0,"",Baux!$M$19)</f>
        <v/>
      </c>
      <c r="F216" s="17">
        <f>IF(AD216=0,"",IFERROR(TEXT(VALUE(LEFT(Baux!$N$19,4))+C216*Baux!$O$19,"0")&amp;RIGHT(Baux!$N$19,3),""))</f>
        <v/>
      </c>
      <c r="G216" s="25">
        <f>IF(AD216=0,"",IF(F216="","",IF(SUMIFS(Indices_long!$C:$C,Indices_long!$A:$A,E216,Indices_long!$B:$B,F216)=0,"",SUMIFS(Indices_long!$C:$C,Indices_long!$A:$A,E216,Indices_long!$B:$B,F216))))</f>
        <v/>
      </c>
      <c r="H216" s="17">
        <f>IF(AD216=0,"",IF(Baux!$P$19="Base fixe",Baux!$N$19,IF(K215="Geler – rattrapage possible",H215,F215)))</f>
        <v/>
      </c>
      <c r="I216" s="25">
        <f>IF(AD216=0,"",IF(H216="","",IF(SUMIFS(Indices_long!$C:$C,Indices_long!$A:$A,E216,Indices_long!$B:$B,H216)=0,"",SUMIFS(Indices_long!$C:$C,Indices_long!$A:$A,E216,Indices_long!$B:$B,H216))))</f>
        <v/>
      </c>
      <c r="J216" s="26">
        <f>IF(OR(G216="",I216=""),"",G216/I216)</f>
        <v/>
      </c>
      <c r="K216" s="13" t="n"/>
      <c r="L216" s="27">
        <f>IF(AD216=0,"",IF(Baux!$P$19="Base fixe",Baux!$I$19,N215))</f>
        <v/>
      </c>
      <c r="M216" s="27">
        <f>IF(OR(J216="",L216=""),"",ROUND(L216*J216,2))</f>
        <v/>
      </c>
      <c r="N216" s="27">
        <f>IF(AD216=0,"",IF(LEFT(K216,5)="Geler",O216,IF(M216="","",IF(Baux!$Q$19="",M216,MIN(M216,ROUND(L216*(1+Baux!$Q$19/100)^IF(Baux!$P$19="Base fixe",C216*Baux!$O$19,VALUE(LEFT(F216,4))-VALUE(LEFT(H216,4))),2))))))</f>
        <v/>
      </c>
      <c r="O216" s="27">
        <f>IF(AD216=0,"",N215)</f>
        <v/>
      </c>
      <c r="P216" s="28">
        <f>IF(OR(N216="",O216=""),"",N216/O216-1)</f>
        <v/>
      </c>
      <c r="Q216" s="27">
        <f>IF(N216="","",N216/12)</f>
        <v/>
      </c>
      <c r="R216" s="27">
        <f>IF(N216="","",N216/IF(Baux!$L$19="Mensuelle",12,IF(Baux!$L$19="Trimestrielle",4,IF(Baux!$L$19="Semestrielle",2,1))))</f>
        <v/>
      </c>
      <c r="S216" s="27">
        <f>IF(AD216=0,"",IF(Baux!$J$19="",0,Baux!$J$19)/IF(Baux!$L$19="Mensuelle",12,IF(Baux!$L$19="Trimestrielle",4,IF(Baux!$L$19="Semestrielle",2,1))))</f>
        <v/>
      </c>
      <c r="T216" s="27">
        <f>IF(R216="","",(R216+S216)*Baux!$K$19/100)</f>
        <v/>
      </c>
      <c r="U216" s="27">
        <f>IF(R216="","",R216+S216+T216)</f>
        <v/>
      </c>
      <c r="V216" s="17">
        <f>IF(AD216=0,"",IF(LEFT(K216,5)="Geler","❄ Gelée",IF(G216="",IF(D216&lt;=TODAY(),"⚠ Indice attendu","À venir"),IF(D216&lt;=TODAY(),"✔ Calculable","Indice connu – à venir"))))</f>
        <v/>
      </c>
      <c r="W216" s="29" t="n"/>
      <c r="X216" s="13" t="n"/>
      <c r="Y216" s="14" t="n"/>
      <c r="Z216" s="14" t="n"/>
      <c r="AA216" s="13" t="n"/>
      <c r="AB216" s="17">
        <f>IF(A216="","",A216&amp;"#"&amp;C216)</f>
        <v/>
      </c>
      <c r="AC216" s="17">
        <f>IF(AND(AD216=1,D216&lt;=TODAY(),N216&lt;&gt;""),1,0)</f>
        <v/>
      </c>
      <c r="AD216" s="17">
        <f>IF(OR(A216="",D216=""),0,IF(AND(ISNUMBER(Baux!$H$19),D216&gt;Baux!$H$19),0,1))</f>
        <v/>
      </c>
    </row>
    <row r="217">
      <c r="A217" s="17">
        <f>IF(Baux!$A$19="","",Baux!$A$19)</f>
        <v/>
      </c>
      <c r="B217" s="17">
        <f>IF(A217="","",Baux!$B$19)</f>
        <v/>
      </c>
      <c r="C217" s="17" t="n">
        <v>12</v>
      </c>
      <c r="D217" s="15">
        <f>IF(OR(A217="",Baux!$F$19="",Baux!$O$19=""),"",EDATE(Baux!$F$19,12*Baux!$O$19*C217))</f>
        <v/>
      </c>
      <c r="E217" s="17">
        <f>IF(AD217=0,"",Baux!$M$19)</f>
        <v/>
      </c>
      <c r="F217" s="17">
        <f>IF(AD217=0,"",IFERROR(TEXT(VALUE(LEFT(Baux!$N$19,4))+C217*Baux!$O$19,"0")&amp;RIGHT(Baux!$N$19,3),""))</f>
        <v/>
      </c>
      <c r="G217" s="25">
        <f>IF(AD217=0,"",IF(F217="","",IF(SUMIFS(Indices_long!$C:$C,Indices_long!$A:$A,E217,Indices_long!$B:$B,F217)=0,"",SUMIFS(Indices_long!$C:$C,Indices_long!$A:$A,E217,Indices_long!$B:$B,F217))))</f>
        <v/>
      </c>
      <c r="H217" s="17">
        <f>IF(AD217=0,"",IF(Baux!$P$19="Base fixe",Baux!$N$19,IF(K216="Geler – rattrapage possible",H216,F216)))</f>
        <v/>
      </c>
      <c r="I217" s="25">
        <f>IF(AD217=0,"",IF(H217="","",IF(SUMIFS(Indices_long!$C:$C,Indices_long!$A:$A,E217,Indices_long!$B:$B,H217)=0,"",SUMIFS(Indices_long!$C:$C,Indices_long!$A:$A,E217,Indices_long!$B:$B,H217))))</f>
        <v/>
      </c>
      <c r="J217" s="26">
        <f>IF(OR(G217="",I217=""),"",G217/I217)</f>
        <v/>
      </c>
      <c r="K217" s="13" t="n"/>
      <c r="L217" s="27">
        <f>IF(AD217=0,"",IF(Baux!$P$19="Base fixe",Baux!$I$19,N216))</f>
        <v/>
      </c>
      <c r="M217" s="27">
        <f>IF(OR(J217="",L217=""),"",ROUND(L217*J217,2))</f>
        <v/>
      </c>
      <c r="N217" s="27">
        <f>IF(AD217=0,"",IF(LEFT(K217,5)="Geler",O217,IF(M217="","",IF(Baux!$Q$19="",M217,MIN(M217,ROUND(L217*(1+Baux!$Q$19/100)^IF(Baux!$P$19="Base fixe",C217*Baux!$O$19,VALUE(LEFT(F217,4))-VALUE(LEFT(H217,4))),2))))))</f>
        <v/>
      </c>
      <c r="O217" s="27">
        <f>IF(AD217=0,"",N216)</f>
        <v/>
      </c>
      <c r="P217" s="28">
        <f>IF(OR(N217="",O217=""),"",N217/O217-1)</f>
        <v/>
      </c>
      <c r="Q217" s="27">
        <f>IF(N217="","",N217/12)</f>
        <v/>
      </c>
      <c r="R217" s="27">
        <f>IF(N217="","",N217/IF(Baux!$L$19="Mensuelle",12,IF(Baux!$L$19="Trimestrielle",4,IF(Baux!$L$19="Semestrielle",2,1))))</f>
        <v/>
      </c>
      <c r="S217" s="27">
        <f>IF(AD217=0,"",IF(Baux!$J$19="",0,Baux!$J$19)/IF(Baux!$L$19="Mensuelle",12,IF(Baux!$L$19="Trimestrielle",4,IF(Baux!$L$19="Semestrielle",2,1))))</f>
        <v/>
      </c>
      <c r="T217" s="27">
        <f>IF(R217="","",(R217+S217)*Baux!$K$19/100)</f>
        <v/>
      </c>
      <c r="U217" s="27">
        <f>IF(R217="","",R217+S217+T217)</f>
        <v/>
      </c>
      <c r="V217" s="17">
        <f>IF(AD217=0,"",IF(LEFT(K217,5)="Geler","❄ Gelée",IF(G217="",IF(D217&lt;=TODAY(),"⚠ Indice attendu","À venir"),IF(D217&lt;=TODAY(),"✔ Calculable","Indice connu – à venir"))))</f>
        <v/>
      </c>
      <c r="W217" s="29" t="n"/>
      <c r="X217" s="13" t="n"/>
      <c r="Y217" s="14" t="n"/>
      <c r="Z217" s="14" t="n"/>
      <c r="AA217" s="13" t="n"/>
      <c r="AB217" s="17">
        <f>IF(A217="","",A217&amp;"#"&amp;C217)</f>
        <v/>
      </c>
      <c r="AC217" s="17">
        <f>IF(AND(AD217=1,D217&lt;=TODAY(),N217&lt;&gt;""),1,0)</f>
        <v/>
      </c>
      <c r="AD217" s="17">
        <f>IF(OR(A217="",D217=""),0,IF(AND(ISNUMBER(Baux!$H$19),D217&gt;Baux!$H$19),0,1))</f>
        <v/>
      </c>
    </row>
    <row r="218">
      <c r="A218" s="17">
        <f>IF(Baux!$A$20="","",Baux!$A$20)</f>
        <v/>
      </c>
      <c r="B218" s="17">
        <f>IF(A218="","",Baux!$B$20)</f>
        <v/>
      </c>
      <c r="C218" s="17" t="n">
        <v>1</v>
      </c>
      <c r="D218" s="15">
        <f>IF(OR(A218="",Baux!$F$20="",Baux!$O$20=""),"",EDATE(Baux!$F$20,12*Baux!$O$20*C218))</f>
        <v/>
      </c>
      <c r="E218" s="17">
        <f>IF(AD218=0,"",Baux!$M$20)</f>
        <v/>
      </c>
      <c r="F218" s="17">
        <f>IF(AD218=0,"",IFERROR(TEXT(VALUE(LEFT(Baux!$N$20,4))+C218*Baux!$O$20,"0")&amp;RIGHT(Baux!$N$20,3),""))</f>
        <v/>
      </c>
      <c r="G218" s="25">
        <f>IF(AD218=0,"",IF(F218="","",IF(SUMIFS(Indices_long!$C:$C,Indices_long!$A:$A,E218,Indices_long!$B:$B,F218)=0,"",SUMIFS(Indices_long!$C:$C,Indices_long!$A:$A,E218,Indices_long!$B:$B,F218))))</f>
        <v/>
      </c>
      <c r="H218" s="17">
        <f>IF(AD218=0,"",Baux!$N$20)</f>
        <v/>
      </c>
      <c r="I218" s="25">
        <f>IF(AD218=0,"",IF(H218="","",IF(SUMIFS(Indices_long!$C:$C,Indices_long!$A:$A,E218,Indices_long!$B:$B,H218)=0,"",SUMIFS(Indices_long!$C:$C,Indices_long!$A:$A,E218,Indices_long!$B:$B,H218))))</f>
        <v/>
      </c>
      <c r="J218" s="26">
        <f>IF(OR(G218="",I218=""),"",G218/I218)</f>
        <v/>
      </c>
      <c r="K218" s="13" t="n"/>
      <c r="L218" s="27">
        <f>IF(AD218=0,"",Baux!$I$20)</f>
        <v/>
      </c>
      <c r="M218" s="27">
        <f>IF(OR(J218="",L218=""),"",ROUND(L218*J218,2))</f>
        <v/>
      </c>
      <c r="N218" s="27">
        <f>IF(AD218=0,"",IF(LEFT(K218,5)="Geler",O218,IF(M218="","",IF(Baux!$Q$20="",M218,MIN(M218,ROUND(L218*(1+Baux!$Q$20/100)^IF(Baux!$P$20="Base fixe",C218*Baux!$O$20,VALUE(LEFT(F218,4))-VALUE(LEFT(H218,4))),2))))))</f>
        <v/>
      </c>
      <c r="O218" s="27">
        <f>IF(AD218=0,"",Baux!$I$20)</f>
        <v/>
      </c>
      <c r="P218" s="28">
        <f>IF(OR(N218="",O218=""),"",N218/O218-1)</f>
        <v/>
      </c>
      <c r="Q218" s="27">
        <f>IF(N218="","",N218/12)</f>
        <v/>
      </c>
      <c r="R218" s="27">
        <f>IF(N218="","",N218/IF(Baux!$L$20="Mensuelle",12,IF(Baux!$L$20="Trimestrielle",4,IF(Baux!$L$20="Semestrielle",2,1))))</f>
        <v/>
      </c>
      <c r="S218" s="27">
        <f>IF(AD218=0,"",IF(Baux!$J$20="",0,Baux!$J$20)/IF(Baux!$L$20="Mensuelle",12,IF(Baux!$L$20="Trimestrielle",4,IF(Baux!$L$20="Semestrielle",2,1))))</f>
        <v/>
      </c>
      <c r="T218" s="27">
        <f>IF(R218="","",(R218+S218)*Baux!$K$20/100)</f>
        <v/>
      </c>
      <c r="U218" s="27">
        <f>IF(R218="","",R218+S218+T218)</f>
        <v/>
      </c>
      <c r="V218" s="17">
        <f>IF(AD218=0,"",IF(LEFT(K218,5)="Geler","❄ Gelée",IF(G218="",IF(D218&lt;=TODAY(),"⚠ Indice attendu","À venir"),IF(D218&lt;=TODAY(),"✔ Calculable","Indice connu – à venir"))))</f>
        <v/>
      </c>
      <c r="W218" s="29" t="n"/>
      <c r="X218" s="13" t="n"/>
      <c r="Y218" s="14" t="n"/>
      <c r="Z218" s="14" t="n"/>
      <c r="AA218" s="13" t="n"/>
      <c r="AB218" s="17">
        <f>IF(A218="","",A218&amp;"#"&amp;C218)</f>
        <v/>
      </c>
      <c r="AC218" s="17">
        <f>IF(AND(AD218=1,D218&lt;=TODAY(),N218&lt;&gt;""),1,0)</f>
        <v/>
      </c>
      <c r="AD218" s="17">
        <f>IF(OR(A218="",D218=""),0,IF(AND(ISNUMBER(Baux!$H$20),D218&gt;Baux!$H$20),0,1))</f>
        <v/>
      </c>
    </row>
    <row r="219">
      <c r="A219" s="17">
        <f>IF(Baux!$A$20="","",Baux!$A$20)</f>
        <v/>
      </c>
      <c r="B219" s="17">
        <f>IF(A219="","",Baux!$B$20)</f>
        <v/>
      </c>
      <c r="C219" s="17" t="n">
        <v>2</v>
      </c>
      <c r="D219" s="15">
        <f>IF(OR(A219="",Baux!$F$20="",Baux!$O$20=""),"",EDATE(Baux!$F$20,12*Baux!$O$20*C219))</f>
        <v/>
      </c>
      <c r="E219" s="17">
        <f>IF(AD219=0,"",Baux!$M$20)</f>
        <v/>
      </c>
      <c r="F219" s="17">
        <f>IF(AD219=0,"",IFERROR(TEXT(VALUE(LEFT(Baux!$N$20,4))+C219*Baux!$O$20,"0")&amp;RIGHT(Baux!$N$20,3),""))</f>
        <v/>
      </c>
      <c r="G219" s="25">
        <f>IF(AD219=0,"",IF(F219="","",IF(SUMIFS(Indices_long!$C:$C,Indices_long!$A:$A,E219,Indices_long!$B:$B,F219)=0,"",SUMIFS(Indices_long!$C:$C,Indices_long!$A:$A,E219,Indices_long!$B:$B,F219))))</f>
        <v/>
      </c>
      <c r="H219" s="17">
        <f>IF(AD219=0,"",IF(Baux!$P$20="Base fixe",Baux!$N$20,IF(K218="Geler – rattrapage possible",H218,F218)))</f>
        <v/>
      </c>
      <c r="I219" s="25">
        <f>IF(AD219=0,"",IF(H219="","",IF(SUMIFS(Indices_long!$C:$C,Indices_long!$A:$A,E219,Indices_long!$B:$B,H219)=0,"",SUMIFS(Indices_long!$C:$C,Indices_long!$A:$A,E219,Indices_long!$B:$B,H219))))</f>
        <v/>
      </c>
      <c r="J219" s="26">
        <f>IF(OR(G219="",I219=""),"",G219/I219)</f>
        <v/>
      </c>
      <c r="K219" s="13" t="n"/>
      <c r="L219" s="27">
        <f>IF(AD219=0,"",IF(Baux!$P$20="Base fixe",Baux!$I$20,N218))</f>
        <v/>
      </c>
      <c r="M219" s="27">
        <f>IF(OR(J219="",L219=""),"",ROUND(L219*J219,2))</f>
        <v/>
      </c>
      <c r="N219" s="27">
        <f>IF(AD219=0,"",IF(LEFT(K219,5)="Geler",O219,IF(M219="","",IF(Baux!$Q$20="",M219,MIN(M219,ROUND(L219*(1+Baux!$Q$20/100)^IF(Baux!$P$20="Base fixe",C219*Baux!$O$20,VALUE(LEFT(F219,4))-VALUE(LEFT(H219,4))),2))))))</f>
        <v/>
      </c>
      <c r="O219" s="27">
        <f>IF(AD219=0,"",N218)</f>
        <v/>
      </c>
      <c r="P219" s="28">
        <f>IF(OR(N219="",O219=""),"",N219/O219-1)</f>
        <v/>
      </c>
      <c r="Q219" s="27">
        <f>IF(N219="","",N219/12)</f>
        <v/>
      </c>
      <c r="R219" s="27">
        <f>IF(N219="","",N219/IF(Baux!$L$20="Mensuelle",12,IF(Baux!$L$20="Trimestrielle",4,IF(Baux!$L$20="Semestrielle",2,1))))</f>
        <v/>
      </c>
      <c r="S219" s="27">
        <f>IF(AD219=0,"",IF(Baux!$J$20="",0,Baux!$J$20)/IF(Baux!$L$20="Mensuelle",12,IF(Baux!$L$20="Trimestrielle",4,IF(Baux!$L$20="Semestrielle",2,1))))</f>
        <v/>
      </c>
      <c r="T219" s="27">
        <f>IF(R219="","",(R219+S219)*Baux!$K$20/100)</f>
        <v/>
      </c>
      <c r="U219" s="27">
        <f>IF(R219="","",R219+S219+T219)</f>
        <v/>
      </c>
      <c r="V219" s="17">
        <f>IF(AD219=0,"",IF(LEFT(K219,5)="Geler","❄ Gelée",IF(G219="",IF(D219&lt;=TODAY(),"⚠ Indice attendu","À venir"),IF(D219&lt;=TODAY(),"✔ Calculable","Indice connu – à venir"))))</f>
        <v/>
      </c>
      <c r="W219" s="29" t="n"/>
      <c r="X219" s="13" t="n"/>
      <c r="Y219" s="14" t="n"/>
      <c r="Z219" s="14" t="n"/>
      <c r="AA219" s="13" t="n"/>
      <c r="AB219" s="17">
        <f>IF(A219="","",A219&amp;"#"&amp;C219)</f>
        <v/>
      </c>
      <c r="AC219" s="17">
        <f>IF(AND(AD219=1,D219&lt;=TODAY(),N219&lt;&gt;""),1,0)</f>
        <v/>
      </c>
      <c r="AD219" s="17">
        <f>IF(OR(A219="",D219=""),0,IF(AND(ISNUMBER(Baux!$H$20),D219&gt;Baux!$H$20),0,1))</f>
        <v/>
      </c>
    </row>
    <row r="220">
      <c r="A220" s="17">
        <f>IF(Baux!$A$20="","",Baux!$A$20)</f>
        <v/>
      </c>
      <c r="B220" s="17">
        <f>IF(A220="","",Baux!$B$20)</f>
        <v/>
      </c>
      <c r="C220" s="17" t="n">
        <v>3</v>
      </c>
      <c r="D220" s="15">
        <f>IF(OR(A220="",Baux!$F$20="",Baux!$O$20=""),"",EDATE(Baux!$F$20,12*Baux!$O$20*C220))</f>
        <v/>
      </c>
      <c r="E220" s="17">
        <f>IF(AD220=0,"",Baux!$M$20)</f>
        <v/>
      </c>
      <c r="F220" s="17">
        <f>IF(AD220=0,"",IFERROR(TEXT(VALUE(LEFT(Baux!$N$20,4))+C220*Baux!$O$20,"0")&amp;RIGHT(Baux!$N$20,3),""))</f>
        <v/>
      </c>
      <c r="G220" s="25">
        <f>IF(AD220=0,"",IF(F220="","",IF(SUMIFS(Indices_long!$C:$C,Indices_long!$A:$A,E220,Indices_long!$B:$B,F220)=0,"",SUMIFS(Indices_long!$C:$C,Indices_long!$A:$A,E220,Indices_long!$B:$B,F220))))</f>
        <v/>
      </c>
      <c r="H220" s="17">
        <f>IF(AD220=0,"",IF(Baux!$P$20="Base fixe",Baux!$N$20,IF(K219="Geler – rattrapage possible",H219,F219)))</f>
        <v/>
      </c>
      <c r="I220" s="25">
        <f>IF(AD220=0,"",IF(H220="","",IF(SUMIFS(Indices_long!$C:$C,Indices_long!$A:$A,E220,Indices_long!$B:$B,H220)=0,"",SUMIFS(Indices_long!$C:$C,Indices_long!$A:$A,E220,Indices_long!$B:$B,H220))))</f>
        <v/>
      </c>
      <c r="J220" s="26">
        <f>IF(OR(G220="",I220=""),"",G220/I220)</f>
        <v/>
      </c>
      <c r="K220" s="13" t="n"/>
      <c r="L220" s="27">
        <f>IF(AD220=0,"",IF(Baux!$P$20="Base fixe",Baux!$I$20,N219))</f>
        <v/>
      </c>
      <c r="M220" s="27">
        <f>IF(OR(J220="",L220=""),"",ROUND(L220*J220,2))</f>
        <v/>
      </c>
      <c r="N220" s="27">
        <f>IF(AD220=0,"",IF(LEFT(K220,5)="Geler",O220,IF(M220="","",IF(Baux!$Q$20="",M220,MIN(M220,ROUND(L220*(1+Baux!$Q$20/100)^IF(Baux!$P$20="Base fixe",C220*Baux!$O$20,VALUE(LEFT(F220,4))-VALUE(LEFT(H220,4))),2))))))</f>
        <v/>
      </c>
      <c r="O220" s="27">
        <f>IF(AD220=0,"",N219)</f>
        <v/>
      </c>
      <c r="P220" s="28">
        <f>IF(OR(N220="",O220=""),"",N220/O220-1)</f>
        <v/>
      </c>
      <c r="Q220" s="27">
        <f>IF(N220="","",N220/12)</f>
        <v/>
      </c>
      <c r="R220" s="27">
        <f>IF(N220="","",N220/IF(Baux!$L$20="Mensuelle",12,IF(Baux!$L$20="Trimestrielle",4,IF(Baux!$L$20="Semestrielle",2,1))))</f>
        <v/>
      </c>
      <c r="S220" s="27">
        <f>IF(AD220=0,"",IF(Baux!$J$20="",0,Baux!$J$20)/IF(Baux!$L$20="Mensuelle",12,IF(Baux!$L$20="Trimestrielle",4,IF(Baux!$L$20="Semestrielle",2,1))))</f>
        <v/>
      </c>
      <c r="T220" s="27">
        <f>IF(R220="","",(R220+S220)*Baux!$K$20/100)</f>
        <v/>
      </c>
      <c r="U220" s="27">
        <f>IF(R220="","",R220+S220+T220)</f>
        <v/>
      </c>
      <c r="V220" s="17">
        <f>IF(AD220=0,"",IF(LEFT(K220,5)="Geler","❄ Gelée",IF(G220="",IF(D220&lt;=TODAY(),"⚠ Indice attendu","À venir"),IF(D220&lt;=TODAY(),"✔ Calculable","Indice connu – à venir"))))</f>
        <v/>
      </c>
      <c r="W220" s="29" t="n"/>
      <c r="X220" s="13" t="n"/>
      <c r="Y220" s="14" t="n"/>
      <c r="Z220" s="14" t="n"/>
      <c r="AA220" s="13" t="n"/>
      <c r="AB220" s="17">
        <f>IF(A220="","",A220&amp;"#"&amp;C220)</f>
        <v/>
      </c>
      <c r="AC220" s="17">
        <f>IF(AND(AD220=1,D220&lt;=TODAY(),N220&lt;&gt;""),1,0)</f>
        <v/>
      </c>
      <c r="AD220" s="17">
        <f>IF(OR(A220="",D220=""),0,IF(AND(ISNUMBER(Baux!$H$20),D220&gt;Baux!$H$20),0,1))</f>
        <v/>
      </c>
    </row>
    <row r="221">
      <c r="A221" s="17">
        <f>IF(Baux!$A$20="","",Baux!$A$20)</f>
        <v/>
      </c>
      <c r="B221" s="17">
        <f>IF(A221="","",Baux!$B$20)</f>
        <v/>
      </c>
      <c r="C221" s="17" t="n">
        <v>4</v>
      </c>
      <c r="D221" s="15">
        <f>IF(OR(A221="",Baux!$F$20="",Baux!$O$20=""),"",EDATE(Baux!$F$20,12*Baux!$O$20*C221))</f>
        <v/>
      </c>
      <c r="E221" s="17">
        <f>IF(AD221=0,"",Baux!$M$20)</f>
        <v/>
      </c>
      <c r="F221" s="17">
        <f>IF(AD221=0,"",IFERROR(TEXT(VALUE(LEFT(Baux!$N$20,4))+C221*Baux!$O$20,"0")&amp;RIGHT(Baux!$N$20,3),""))</f>
        <v/>
      </c>
      <c r="G221" s="25">
        <f>IF(AD221=0,"",IF(F221="","",IF(SUMIFS(Indices_long!$C:$C,Indices_long!$A:$A,E221,Indices_long!$B:$B,F221)=0,"",SUMIFS(Indices_long!$C:$C,Indices_long!$A:$A,E221,Indices_long!$B:$B,F221))))</f>
        <v/>
      </c>
      <c r="H221" s="17">
        <f>IF(AD221=0,"",IF(Baux!$P$20="Base fixe",Baux!$N$20,IF(K220="Geler – rattrapage possible",H220,F220)))</f>
        <v/>
      </c>
      <c r="I221" s="25">
        <f>IF(AD221=0,"",IF(H221="","",IF(SUMIFS(Indices_long!$C:$C,Indices_long!$A:$A,E221,Indices_long!$B:$B,H221)=0,"",SUMIFS(Indices_long!$C:$C,Indices_long!$A:$A,E221,Indices_long!$B:$B,H221))))</f>
        <v/>
      </c>
      <c r="J221" s="26">
        <f>IF(OR(G221="",I221=""),"",G221/I221)</f>
        <v/>
      </c>
      <c r="K221" s="13" t="n"/>
      <c r="L221" s="27">
        <f>IF(AD221=0,"",IF(Baux!$P$20="Base fixe",Baux!$I$20,N220))</f>
        <v/>
      </c>
      <c r="M221" s="27">
        <f>IF(OR(J221="",L221=""),"",ROUND(L221*J221,2))</f>
        <v/>
      </c>
      <c r="N221" s="27">
        <f>IF(AD221=0,"",IF(LEFT(K221,5)="Geler",O221,IF(M221="","",IF(Baux!$Q$20="",M221,MIN(M221,ROUND(L221*(1+Baux!$Q$20/100)^IF(Baux!$P$20="Base fixe",C221*Baux!$O$20,VALUE(LEFT(F221,4))-VALUE(LEFT(H221,4))),2))))))</f>
        <v/>
      </c>
      <c r="O221" s="27">
        <f>IF(AD221=0,"",N220)</f>
        <v/>
      </c>
      <c r="P221" s="28">
        <f>IF(OR(N221="",O221=""),"",N221/O221-1)</f>
        <v/>
      </c>
      <c r="Q221" s="27">
        <f>IF(N221="","",N221/12)</f>
        <v/>
      </c>
      <c r="R221" s="27">
        <f>IF(N221="","",N221/IF(Baux!$L$20="Mensuelle",12,IF(Baux!$L$20="Trimestrielle",4,IF(Baux!$L$20="Semestrielle",2,1))))</f>
        <v/>
      </c>
      <c r="S221" s="27">
        <f>IF(AD221=0,"",IF(Baux!$J$20="",0,Baux!$J$20)/IF(Baux!$L$20="Mensuelle",12,IF(Baux!$L$20="Trimestrielle",4,IF(Baux!$L$20="Semestrielle",2,1))))</f>
        <v/>
      </c>
      <c r="T221" s="27">
        <f>IF(R221="","",(R221+S221)*Baux!$K$20/100)</f>
        <v/>
      </c>
      <c r="U221" s="27">
        <f>IF(R221="","",R221+S221+T221)</f>
        <v/>
      </c>
      <c r="V221" s="17">
        <f>IF(AD221=0,"",IF(LEFT(K221,5)="Geler","❄ Gelée",IF(G221="",IF(D221&lt;=TODAY(),"⚠ Indice attendu","À venir"),IF(D221&lt;=TODAY(),"✔ Calculable","Indice connu – à venir"))))</f>
        <v/>
      </c>
      <c r="W221" s="29" t="n"/>
      <c r="X221" s="13" t="n"/>
      <c r="Y221" s="14" t="n"/>
      <c r="Z221" s="14" t="n"/>
      <c r="AA221" s="13" t="n"/>
      <c r="AB221" s="17">
        <f>IF(A221="","",A221&amp;"#"&amp;C221)</f>
        <v/>
      </c>
      <c r="AC221" s="17">
        <f>IF(AND(AD221=1,D221&lt;=TODAY(),N221&lt;&gt;""),1,0)</f>
        <v/>
      </c>
      <c r="AD221" s="17">
        <f>IF(OR(A221="",D221=""),0,IF(AND(ISNUMBER(Baux!$H$20),D221&gt;Baux!$H$20),0,1))</f>
        <v/>
      </c>
    </row>
    <row r="222">
      <c r="A222" s="17">
        <f>IF(Baux!$A$20="","",Baux!$A$20)</f>
        <v/>
      </c>
      <c r="B222" s="17">
        <f>IF(A222="","",Baux!$B$20)</f>
        <v/>
      </c>
      <c r="C222" s="17" t="n">
        <v>5</v>
      </c>
      <c r="D222" s="15">
        <f>IF(OR(A222="",Baux!$F$20="",Baux!$O$20=""),"",EDATE(Baux!$F$20,12*Baux!$O$20*C222))</f>
        <v/>
      </c>
      <c r="E222" s="17">
        <f>IF(AD222=0,"",Baux!$M$20)</f>
        <v/>
      </c>
      <c r="F222" s="17">
        <f>IF(AD222=0,"",IFERROR(TEXT(VALUE(LEFT(Baux!$N$20,4))+C222*Baux!$O$20,"0")&amp;RIGHT(Baux!$N$20,3),""))</f>
        <v/>
      </c>
      <c r="G222" s="25">
        <f>IF(AD222=0,"",IF(F222="","",IF(SUMIFS(Indices_long!$C:$C,Indices_long!$A:$A,E222,Indices_long!$B:$B,F222)=0,"",SUMIFS(Indices_long!$C:$C,Indices_long!$A:$A,E222,Indices_long!$B:$B,F222))))</f>
        <v/>
      </c>
      <c r="H222" s="17">
        <f>IF(AD222=0,"",IF(Baux!$P$20="Base fixe",Baux!$N$20,IF(K221="Geler – rattrapage possible",H221,F221)))</f>
        <v/>
      </c>
      <c r="I222" s="25">
        <f>IF(AD222=0,"",IF(H222="","",IF(SUMIFS(Indices_long!$C:$C,Indices_long!$A:$A,E222,Indices_long!$B:$B,H222)=0,"",SUMIFS(Indices_long!$C:$C,Indices_long!$A:$A,E222,Indices_long!$B:$B,H222))))</f>
        <v/>
      </c>
      <c r="J222" s="26">
        <f>IF(OR(G222="",I222=""),"",G222/I222)</f>
        <v/>
      </c>
      <c r="K222" s="13" t="n"/>
      <c r="L222" s="27">
        <f>IF(AD222=0,"",IF(Baux!$P$20="Base fixe",Baux!$I$20,N221))</f>
        <v/>
      </c>
      <c r="M222" s="27">
        <f>IF(OR(J222="",L222=""),"",ROUND(L222*J222,2))</f>
        <v/>
      </c>
      <c r="N222" s="27">
        <f>IF(AD222=0,"",IF(LEFT(K222,5)="Geler",O222,IF(M222="","",IF(Baux!$Q$20="",M222,MIN(M222,ROUND(L222*(1+Baux!$Q$20/100)^IF(Baux!$P$20="Base fixe",C222*Baux!$O$20,VALUE(LEFT(F222,4))-VALUE(LEFT(H222,4))),2))))))</f>
        <v/>
      </c>
      <c r="O222" s="27">
        <f>IF(AD222=0,"",N221)</f>
        <v/>
      </c>
      <c r="P222" s="28">
        <f>IF(OR(N222="",O222=""),"",N222/O222-1)</f>
        <v/>
      </c>
      <c r="Q222" s="27">
        <f>IF(N222="","",N222/12)</f>
        <v/>
      </c>
      <c r="R222" s="27">
        <f>IF(N222="","",N222/IF(Baux!$L$20="Mensuelle",12,IF(Baux!$L$20="Trimestrielle",4,IF(Baux!$L$20="Semestrielle",2,1))))</f>
        <v/>
      </c>
      <c r="S222" s="27">
        <f>IF(AD222=0,"",IF(Baux!$J$20="",0,Baux!$J$20)/IF(Baux!$L$20="Mensuelle",12,IF(Baux!$L$20="Trimestrielle",4,IF(Baux!$L$20="Semestrielle",2,1))))</f>
        <v/>
      </c>
      <c r="T222" s="27">
        <f>IF(R222="","",(R222+S222)*Baux!$K$20/100)</f>
        <v/>
      </c>
      <c r="U222" s="27">
        <f>IF(R222="","",R222+S222+T222)</f>
        <v/>
      </c>
      <c r="V222" s="17">
        <f>IF(AD222=0,"",IF(LEFT(K222,5)="Geler","❄ Gelée",IF(G222="",IF(D222&lt;=TODAY(),"⚠ Indice attendu","À venir"),IF(D222&lt;=TODAY(),"✔ Calculable","Indice connu – à venir"))))</f>
        <v/>
      </c>
      <c r="W222" s="29" t="n"/>
      <c r="X222" s="13" t="n"/>
      <c r="Y222" s="14" t="n"/>
      <c r="Z222" s="14" t="n"/>
      <c r="AA222" s="13" t="n"/>
      <c r="AB222" s="17">
        <f>IF(A222="","",A222&amp;"#"&amp;C222)</f>
        <v/>
      </c>
      <c r="AC222" s="17">
        <f>IF(AND(AD222=1,D222&lt;=TODAY(),N222&lt;&gt;""),1,0)</f>
        <v/>
      </c>
      <c r="AD222" s="17">
        <f>IF(OR(A222="",D222=""),0,IF(AND(ISNUMBER(Baux!$H$20),D222&gt;Baux!$H$20),0,1))</f>
        <v/>
      </c>
    </row>
    <row r="223">
      <c r="A223" s="17">
        <f>IF(Baux!$A$20="","",Baux!$A$20)</f>
        <v/>
      </c>
      <c r="B223" s="17">
        <f>IF(A223="","",Baux!$B$20)</f>
        <v/>
      </c>
      <c r="C223" s="17" t="n">
        <v>6</v>
      </c>
      <c r="D223" s="15">
        <f>IF(OR(A223="",Baux!$F$20="",Baux!$O$20=""),"",EDATE(Baux!$F$20,12*Baux!$O$20*C223))</f>
        <v/>
      </c>
      <c r="E223" s="17">
        <f>IF(AD223=0,"",Baux!$M$20)</f>
        <v/>
      </c>
      <c r="F223" s="17">
        <f>IF(AD223=0,"",IFERROR(TEXT(VALUE(LEFT(Baux!$N$20,4))+C223*Baux!$O$20,"0")&amp;RIGHT(Baux!$N$20,3),""))</f>
        <v/>
      </c>
      <c r="G223" s="25">
        <f>IF(AD223=0,"",IF(F223="","",IF(SUMIFS(Indices_long!$C:$C,Indices_long!$A:$A,E223,Indices_long!$B:$B,F223)=0,"",SUMIFS(Indices_long!$C:$C,Indices_long!$A:$A,E223,Indices_long!$B:$B,F223))))</f>
        <v/>
      </c>
      <c r="H223" s="17">
        <f>IF(AD223=0,"",IF(Baux!$P$20="Base fixe",Baux!$N$20,IF(K222="Geler – rattrapage possible",H222,F222)))</f>
        <v/>
      </c>
      <c r="I223" s="25">
        <f>IF(AD223=0,"",IF(H223="","",IF(SUMIFS(Indices_long!$C:$C,Indices_long!$A:$A,E223,Indices_long!$B:$B,H223)=0,"",SUMIFS(Indices_long!$C:$C,Indices_long!$A:$A,E223,Indices_long!$B:$B,H223))))</f>
        <v/>
      </c>
      <c r="J223" s="26">
        <f>IF(OR(G223="",I223=""),"",G223/I223)</f>
        <v/>
      </c>
      <c r="K223" s="13" t="n"/>
      <c r="L223" s="27">
        <f>IF(AD223=0,"",IF(Baux!$P$20="Base fixe",Baux!$I$20,N222))</f>
        <v/>
      </c>
      <c r="M223" s="27">
        <f>IF(OR(J223="",L223=""),"",ROUND(L223*J223,2))</f>
        <v/>
      </c>
      <c r="N223" s="27">
        <f>IF(AD223=0,"",IF(LEFT(K223,5)="Geler",O223,IF(M223="","",IF(Baux!$Q$20="",M223,MIN(M223,ROUND(L223*(1+Baux!$Q$20/100)^IF(Baux!$P$20="Base fixe",C223*Baux!$O$20,VALUE(LEFT(F223,4))-VALUE(LEFT(H223,4))),2))))))</f>
        <v/>
      </c>
      <c r="O223" s="27">
        <f>IF(AD223=0,"",N222)</f>
        <v/>
      </c>
      <c r="P223" s="28">
        <f>IF(OR(N223="",O223=""),"",N223/O223-1)</f>
        <v/>
      </c>
      <c r="Q223" s="27">
        <f>IF(N223="","",N223/12)</f>
        <v/>
      </c>
      <c r="R223" s="27">
        <f>IF(N223="","",N223/IF(Baux!$L$20="Mensuelle",12,IF(Baux!$L$20="Trimestrielle",4,IF(Baux!$L$20="Semestrielle",2,1))))</f>
        <v/>
      </c>
      <c r="S223" s="27">
        <f>IF(AD223=0,"",IF(Baux!$J$20="",0,Baux!$J$20)/IF(Baux!$L$20="Mensuelle",12,IF(Baux!$L$20="Trimestrielle",4,IF(Baux!$L$20="Semestrielle",2,1))))</f>
        <v/>
      </c>
      <c r="T223" s="27">
        <f>IF(R223="","",(R223+S223)*Baux!$K$20/100)</f>
        <v/>
      </c>
      <c r="U223" s="27">
        <f>IF(R223="","",R223+S223+T223)</f>
        <v/>
      </c>
      <c r="V223" s="17">
        <f>IF(AD223=0,"",IF(LEFT(K223,5)="Geler","❄ Gelée",IF(G223="",IF(D223&lt;=TODAY(),"⚠ Indice attendu","À venir"),IF(D223&lt;=TODAY(),"✔ Calculable","Indice connu – à venir"))))</f>
        <v/>
      </c>
      <c r="W223" s="29" t="n"/>
      <c r="X223" s="13" t="n"/>
      <c r="Y223" s="14" t="n"/>
      <c r="Z223" s="14" t="n"/>
      <c r="AA223" s="13" t="n"/>
      <c r="AB223" s="17">
        <f>IF(A223="","",A223&amp;"#"&amp;C223)</f>
        <v/>
      </c>
      <c r="AC223" s="17">
        <f>IF(AND(AD223=1,D223&lt;=TODAY(),N223&lt;&gt;""),1,0)</f>
        <v/>
      </c>
      <c r="AD223" s="17">
        <f>IF(OR(A223="",D223=""),0,IF(AND(ISNUMBER(Baux!$H$20),D223&gt;Baux!$H$20),0,1))</f>
        <v/>
      </c>
    </row>
    <row r="224">
      <c r="A224" s="17">
        <f>IF(Baux!$A$20="","",Baux!$A$20)</f>
        <v/>
      </c>
      <c r="B224" s="17">
        <f>IF(A224="","",Baux!$B$20)</f>
        <v/>
      </c>
      <c r="C224" s="17" t="n">
        <v>7</v>
      </c>
      <c r="D224" s="15">
        <f>IF(OR(A224="",Baux!$F$20="",Baux!$O$20=""),"",EDATE(Baux!$F$20,12*Baux!$O$20*C224))</f>
        <v/>
      </c>
      <c r="E224" s="17">
        <f>IF(AD224=0,"",Baux!$M$20)</f>
        <v/>
      </c>
      <c r="F224" s="17">
        <f>IF(AD224=0,"",IFERROR(TEXT(VALUE(LEFT(Baux!$N$20,4))+C224*Baux!$O$20,"0")&amp;RIGHT(Baux!$N$20,3),""))</f>
        <v/>
      </c>
      <c r="G224" s="25">
        <f>IF(AD224=0,"",IF(F224="","",IF(SUMIFS(Indices_long!$C:$C,Indices_long!$A:$A,E224,Indices_long!$B:$B,F224)=0,"",SUMIFS(Indices_long!$C:$C,Indices_long!$A:$A,E224,Indices_long!$B:$B,F224))))</f>
        <v/>
      </c>
      <c r="H224" s="17">
        <f>IF(AD224=0,"",IF(Baux!$P$20="Base fixe",Baux!$N$20,IF(K223="Geler – rattrapage possible",H223,F223)))</f>
        <v/>
      </c>
      <c r="I224" s="25">
        <f>IF(AD224=0,"",IF(H224="","",IF(SUMIFS(Indices_long!$C:$C,Indices_long!$A:$A,E224,Indices_long!$B:$B,H224)=0,"",SUMIFS(Indices_long!$C:$C,Indices_long!$A:$A,E224,Indices_long!$B:$B,H224))))</f>
        <v/>
      </c>
      <c r="J224" s="26">
        <f>IF(OR(G224="",I224=""),"",G224/I224)</f>
        <v/>
      </c>
      <c r="K224" s="13" t="n"/>
      <c r="L224" s="27">
        <f>IF(AD224=0,"",IF(Baux!$P$20="Base fixe",Baux!$I$20,N223))</f>
        <v/>
      </c>
      <c r="M224" s="27">
        <f>IF(OR(J224="",L224=""),"",ROUND(L224*J224,2))</f>
        <v/>
      </c>
      <c r="N224" s="27">
        <f>IF(AD224=0,"",IF(LEFT(K224,5)="Geler",O224,IF(M224="","",IF(Baux!$Q$20="",M224,MIN(M224,ROUND(L224*(1+Baux!$Q$20/100)^IF(Baux!$P$20="Base fixe",C224*Baux!$O$20,VALUE(LEFT(F224,4))-VALUE(LEFT(H224,4))),2))))))</f>
        <v/>
      </c>
      <c r="O224" s="27">
        <f>IF(AD224=0,"",N223)</f>
        <v/>
      </c>
      <c r="P224" s="28">
        <f>IF(OR(N224="",O224=""),"",N224/O224-1)</f>
        <v/>
      </c>
      <c r="Q224" s="27">
        <f>IF(N224="","",N224/12)</f>
        <v/>
      </c>
      <c r="R224" s="27">
        <f>IF(N224="","",N224/IF(Baux!$L$20="Mensuelle",12,IF(Baux!$L$20="Trimestrielle",4,IF(Baux!$L$20="Semestrielle",2,1))))</f>
        <v/>
      </c>
      <c r="S224" s="27">
        <f>IF(AD224=0,"",IF(Baux!$J$20="",0,Baux!$J$20)/IF(Baux!$L$20="Mensuelle",12,IF(Baux!$L$20="Trimestrielle",4,IF(Baux!$L$20="Semestrielle",2,1))))</f>
        <v/>
      </c>
      <c r="T224" s="27">
        <f>IF(R224="","",(R224+S224)*Baux!$K$20/100)</f>
        <v/>
      </c>
      <c r="U224" s="27">
        <f>IF(R224="","",R224+S224+T224)</f>
        <v/>
      </c>
      <c r="V224" s="17">
        <f>IF(AD224=0,"",IF(LEFT(K224,5)="Geler","❄ Gelée",IF(G224="",IF(D224&lt;=TODAY(),"⚠ Indice attendu","À venir"),IF(D224&lt;=TODAY(),"✔ Calculable","Indice connu – à venir"))))</f>
        <v/>
      </c>
      <c r="W224" s="29" t="n"/>
      <c r="X224" s="13" t="n"/>
      <c r="Y224" s="14" t="n"/>
      <c r="Z224" s="14" t="n"/>
      <c r="AA224" s="13" t="n"/>
      <c r="AB224" s="17">
        <f>IF(A224="","",A224&amp;"#"&amp;C224)</f>
        <v/>
      </c>
      <c r="AC224" s="17">
        <f>IF(AND(AD224=1,D224&lt;=TODAY(),N224&lt;&gt;""),1,0)</f>
        <v/>
      </c>
      <c r="AD224" s="17">
        <f>IF(OR(A224="",D224=""),0,IF(AND(ISNUMBER(Baux!$H$20),D224&gt;Baux!$H$20),0,1))</f>
        <v/>
      </c>
    </row>
    <row r="225">
      <c r="A225" s="17">
        <f>IF(Baux!$A$20="","",Baux!$A$20)</f>
        <v/>
      </c>
      <c r="B225" s="17">
        <f>IF(A225="","",Baux!$B$20)</f>
        <v/>
      </c>
      <c r="C225" s="17" t="n">
        <v>8</v>
      </c>
      <c r="D225" s="15">
        <f>IF(OR(A225="",Baux!$F$20="",Baux!$O$20=""),"",EDATE(Baux!$F$20,12*Baux!$O$20*C225))</f>
        <v/>
      </c>
      <c r="E225" s="17">
        <f>IF(AD225=0,"",Baux!$M$20)</f>
        <v/>
      </c>
      <c r="F225" s="17">
        <f>IF(AD225=0,"",IFERROR(TEXT(VALUE(LEFT(Baux!$N$20,4))+C225*Baux!$O$20,"0")&amp;RIGHT(Baux!$N$20,3),""))</f>
        <v/>
      </c>
      <c r="G225" s="25">
        <f>IF(AD225=0,"",IF(F225="","",IF(SUMIFS(Indices_long!$C:$C,Indices_long!$A:$A,E225,Indices_long!$B:$B,F225)=0,"",SUMIFS(Indices_long!$C:$C,Indices_long!$A:$A,E225,Indices_long!$B:$B,F225))))</f>
        <v/>
      </c>
      <c r="H225" s="17">
        <f>IF(AD225=0,"",IF(Baux!$P$20="Base fixe",Baux!$N$20,IF(K224="Geler – rattrapage possible",H224,F224)))</f>
        <v/>
      </c>
      <c r="I225" s="25">
        <f>IF(AD225=0,"",IF(H225="","",IF(SUMIFS(Indices_long!$C:$C,Indices_long!$A:$A,E225,Indices_long!$B:$B,H225)=0,"",SUMIFS(Indices_long!$C:$C,Indices_long!$A:$A,E225,Indices_long!$B:$B,H225))))</f>
        <v/>
      </c>
      <c r="J225" s="26">
        <f>IF(OR(G225="",I225=""),"",G225/I225)</f>
        <v/>
      </c>
      <c r="K225" s="13" t="n"/>
      <c r="L225" s="27">
        <f>IF(AD225=0,"",IF(Baux!$P$20="Base fixe",Baux!$I$20,N224))</f>
        <v/>
      </c>
      <c r="M225" s="27">
        <f>IF(OR(J225="",L225=""),"",ROUND(L225*J225,2))</f>
        <v/>
      </c>
      <c r="N225" s="27">
        <f>IF(AD225=0,"",IF(LEFT(K225,5)="Geler",O225,IF(M225="","",IF(Baux!$Q$20="",M225,MIN(M225,ROUND(L225*(1+Baux!$Q$20/100)^IF(Baux!$P$20="Base fixe",C225*Baux!$O$20,VALUE(LEFT(F225,4))-VALUE(LEFT(H225,4))),2))))))</f>
        <v/>
      </c>
      <c r="O225" s="27">
        <f>IF(AD225=0,"",N224)</f>
        <v/>
      </c>
      <c r="P225" s="28">
        <f>IF(OR(N225="",O225=""),"",N225/O225-1)</f>
        <v/>
      </c>
      <c r="Q225" s="27">
        <f>IF(N225="","",N225/12)</f>
        <v/>
      </c>
      <c r="R225" s="27">
        <f>IF(N225="","",N225/IF(Baux!$L$20="Mensuelle",12,IF(Baux!$L$20="Trimestrielle",4,IF(Baux!$L$20="Semestrielle",2,1))))</f>
        <v/>
      </c>
      <c r="S225" s="27">
        <f>IF(AD225=0,"",IF(Baux!$J$20="",0,Baux!$J$20)/IF(Baux!$L$20="Mensuelle",12,IF(Baux!$L$20="Trimestrielle",4,IF(Baux!$L$20="Semestrielle",2,1))))</f>
        <v/>
      </c>
      <c r="T225" s="27">
        <f>IF(R225="","",(R225+S225)*Baux!$K$20/100)</f>
        <v/>
      </c>
      <c r="U225" s="27">
        <f>IF(R225="","",R225+S225+T225)</f>
        <v/>
      </c>
      <c r="V225" s="17">
        <f>IF(AD225=0,"",IF(LEFT(K225,5)="Geler","❄ Gelée",IF(G225="",IF(D225&lt;=TODAY(),"⚠ Indice attendu","À venir"),IF(D225&lt;=TODAY(),"✔ Calculable","Indice connu – à venir"))))</f>
        <v/>
      </c>
      <c r="W225" s="29" t="n"/>
      <c r="X225" s="13" t="n"/>
      <c r="Y225" s="14" t="n"/>
      <c r="Z225" s="14" t="n"/>
      <c r="AA225" s="13" t="n"/>
      <c r="AB225" s="17">
        <f>IF(A225="","",A225&amp;"#"&amp;C225)</f>
        <v/>
      </c>
      <c r="AC225" s="17">
        <f>IF(AND(AD225=1,D225&lt;=TODAY(),N225&lt;&gt;""),1,0)</f>
        <v/>
      </c>
      <c r="AD225" s="17">
        <f>IF(OR(A225="",D225=""),0,IF(AND(ISNUMBER(Baux!$H$20),D225&gt;Baux!$H$20),0,1))</f>
        <v/>
      </c>
    </row>
    <row r="226">
      <c r="A226" s="17">
        <f>IF(Baux!$A$20="","",Baux!$A$20)</f>
        <v/>
      </c>
      <c r="B226" s="17">
        <f>IF(A226="","",Baux!$B$20)</f>
        <v/>
      </c>
      <c r="C226" s="17" t="n">
        <v>9</v>
      </c>
      <c r="D226" s="15">
        <f>IF(OR(A226="",Baux!$F$20="",Baux!$O$20=""),"",EDATE(Baux!$F$20,12*Baux!$O$20*C226))</f>
        <v/>
      </c>
      <c r="E226" s="17">
        <f>IF(AD226=0,"",Baux!$M$20)</f>
        <v/>
      </c>
      <c r="F226" s="17">
        <f>IF(AD226=0,"",IFERROR(TEXT(VALUE(LEFT(Baux!$N$20,4))+C226*Baux!$O$20,"0")&amp;RIGHT(Baux!$N$20,3),""))</f>
        <v/>
      </c>
      <c r="G226" s="25">
        <f>IF(AD226=0,"",IF(F226="","",IF(SUMIFS(Indices_long!$C:$C,Indices_long!$A:$A,E226,Indices_long!$B:$B,F226)=0,"",SUMIFS(Indices_long!$C:$C,Indices_long!$A:$A,E226,Indices_long!$B:$B,F226))))</f>
        <v/>
      </c>
      <c r="H226" s="17">
        <f>IF(AD226=0,"",IF(Baux!$P$20="Base fixe",Baux!$N$20,IF(K225="Geler – rattrapage possible",H225,F225)))</f>
        <v/>
      </c>
      <c r="I226" s="25">
        <f>IF(AD226=0,"",IF(H226="","",IF(SUMIFS(Indices_long!$C:$C,Indices_long!$A:$A,E226,Indices_long!$B:$B,H226)=0,"",SUMIFS(Indices_long!$C:$C,Indices_long!$A:$A,E226,Indices_long!$B:$B,H226))))</f>
        <v/>
      </c>
      <c r="J226" s="26">
        <f>IF(OR(G226="",I226=""),"",G226/I226)</f>
        <v/>
      </c>
      <c r="K226" s="13" t="n"/>
      <c r="L226" s="27">
        <f>IF(AD226=0,"",IF(Baux!$P$20="Base fixe",Baux!$I$20,N225))</f>
        <v/>
      </c>
      <c r="M226" s="27">
        <f>IF(OR(J226="",L226=""),"",ROUND(L226*J226,2))</f>
        <v/>
      </c>
      <c r="N226" s="27">
        <f>IF(AD226=0,"",IF(LEFT(K226,5)="Geler",O226,IF(M226="","",IF(Baux!$Q$20="",M226,MIN(M226,ROUND(L226*(1+Baux!$Q$20/100)^IF(Baux!$P$20="Base fixe",C226*Baux!$O$20,VALUE(LEFT(F226,4))-VALUE(LEFT(H226,4))),2))))))</f>
        <v/>
      </c>
      <c r="O226" s="27">
        <f>IF(AD226=0,"",N225)</f>
        <v/>
      </c>
      <c r="P226" s="28">
        <f>IF(OR(N226="",O226=""),"",N226/O226-1)</f>
        <v/>
      </c>
      <c r="Q226" s="27">
        <f>IF(N226="","",N226/12)</f>
        <v/>
      </c>
      <c r="R226" s="27">
        <f>IF(N226="","",N226/IF(Baux!$L$20="Mensuelle",12,IF(Baux!$L$20="Trimestrielle",4,IF(Baux!$L$20="Semestrielle",2,1))))</f>
        <v/>
      </c>
      <c r="S226" s="27">
        <f>IF(AD226=0,"",IF(Baux!$J$20="",0,Baux!$J$20)/IF(Baux!$L$20="Mensuelle",12,IF(Baux!$L$20="Trimestrielle",4,IF(Baux!$L$20="Semestrielle",2,1))))</f>
        <v/>
      </c>
      <c r="T226" s="27">
        <f>IF(R226="","",(R226+S226)*Baux!$K$20/100)</f>
        <v/>
      </c>
      <c r="U226" s="27">
        <f>IF(R226="","",R226+S226+T226)</f>
        <v/>
      </c>
      <c r="V226" s="17">
        <f>IF(AD226=0,"",IF(LEFT(K226,5)="Geler","❄ Gelée",IF(G226="",IF(D226&lt;=TODAY(),"⚠ Indice attendu","À venir"),IF(D226&lt;=TODAY(),"✔ Calculable","Indice connu – à venir"))))</f>
        <v/>
      </c>
      <c r="W226" s="29" t="n"/>
      <c r="X226" s="13" t="n"/>
      <c r="Y226" s="14" t="n"/>
      <c r="Z226" s="14" t="n"/>
      <c r="AA226" s="13" t="n"/>
      <c r="AB226" s="17">
        <f>IF(A226="","",A226&amp;"#"&amp;C226)</f>
        <v/>
      </c>
      <c r="AC226" s="17">
        <f>IF(AND(AD226=1,D226&lt;=TODAY(),N226&lt;&gt;""),1,0)</f>
        <v/>
      </c>
      <c r="AD226" s="17">
        <f>IF(OR(A226="",D226=""),0,IF(AND(ISNUMBER(Baux!$H$20),D226&gt;Baux!$H$20),0,1))</f>
        <v/>
      </c>
    </row>
    <row r="227">
      <c r="A227" s="17">
        <f>IF(Baux!$A$20="","",Baux!$A$20)</f>
        <v/>
      </c>
      <c r="B227" s="17">
        <f>IF(A227="","",Baux!$B$20)</f>
        <v/>
      </c>
      <c r="C227" s="17" t="n">
        <v>10</v>
      </c>
      <c r="D227" s="15">
        <f>IF(OR(A227="",Baux!$F$20="",Baux!$O$20=""),"",EDATE(Baux!$F$20,12*Baux!$O$20*C227))</f>
        <v/>
      </c>
      <c r="E227" s="17">
        <f>IF(AD227=0,"",Baux!$M$20)</f>
        <v/>
      </c>
      <c r="F227" s="17">
        <f>IF(AD227=0,"",IFERROR(TEXT(VALUE(LEFT(Baux!$N$20,4))+C227*Baux!$O$20,"0")&amp;RIGHT(Baux!$N$20,3),""))</f>
        <v/>
      </c>
      <c r="G227" s="25">
        <f>IF(AD227=0,"",IF(F227="","",IF(SUMIFS(Indices_long!$C:$C,Indices_long!$A:$A,E227,Indices_long!$B:$B,F227)=0,"",SUMIFS(Indices_long!$C:$C,Indices_long!$A:$A,E227,Indices_long!$B:$B,F227))))</f>
        <v/>
      </c>
      <c r="H227" s="17">
        <f>IF(AD227=0,"",IF(Baux!$P$20="Base fixe",Baux!$N$20,IF(K226="Geler – rattrapage possible",H226,F226)))</f>
        <v/>
      </c>
      <c r="I227" s="25">
        <f>IF(AD227=0,"",IF(H227="","",IF(SUMIFS(Indices_long!$C:$C,Indices_long!$A:$A,E227,Indices_long!$B:$B,H227)=0,"",SUMIFS(Indices_long!$C:$C,Indices_long!$A:$A,E227,Indices_long!$B:$B,H227))))</f>
        <v/>
      </c>
      <c r="J227" s="26">
        <f>IF(OR(G227="",I227=""),"",G227/I227)</f>
        <v/>
      </c>
      <c r="K227" s="13" t="n"/>
      <c r="L227" s="27">
        <f>IF(AD227=0,"",IF(Baux!$P$20="Base fixe",Baux!$I$20,N226))</f>
        <v/>
      </c>
      <c r="M227" s="27">
        <f>IF(OR(J227="",L227=""),"",ROUND(L227*J227,2))</f>
        <v/>
      </c>
      <c r="N227" s="27">
        <f>IF(AD227=0,"",IF(LEFT(K227,5)="Geler",O227,IF(M227="","",IF(Baux!$Q$20="",M227,MIN(M227,ROUND(L227*(1+Baux!$Q$20/100)^IF(Baux!$P$20="Base fixe",C227*Baux!$O$20,VALUE(LEFT(F227,4))-VALUE(LEFT(H227,4))),2))))))</f>
        <v/>
      </c>
      <c r="O227" s="27">
        <f>IF(AD227=0,"",N226)</f>
        <v/>
      </c>
      <c r="P227" s="28">
        <f>IF(OR(N227="",O227=""),"",N227/O227-1)</f>
        <v/>
      </c>
      <c r="Q227" s="27">
        <f>IF(N227="","",N227/12)</f>
        <v/>
      </c>
      <c r="R227" s="27">
        <f>IF(N227="","",N227/IF(Baux!$L$20="Mensuelle",12,IF(Baux!$L$20="Trimestrielle",4,IF(Baux!$L$20="Semestrielle",2,1))))</f>
        <v/>
      </c>
      <c r="S227" s="27">
        <f>IF(AD227=0,"",IF(Baux!$J$20="",0,Baux!$J$20)/IF(Baux!$L$20="Mensuelle",12,IF(Baux!$L$20="Trimestrielle",4,IF(Baux!$L$20="Semestrielle",2,1))))</f>
        <v/>
      </c>
      <c r="T227" s="27">
        <f>IF(R227="","",(R227+S227)*Baux!$K$20/100)</f>
        <v/>
      </c>
      <c r="U227" s="27">
        <f>IF(R227="","",R227+S227+T227)</f>
        <v/>
      </c>
      <c r="V227" s="17">
        <f>IF(AD227=0,"",IF(LEFT(K227,5)="Geler","❄ Gelée",IF(G227="",IF(D227&lt;=TODAY(),"⚠ Indice attendu","À venir"),IF(D227&lt;=TODAY(),"✔ Calculable","Indice connu – à venir"))))</f>
        <v/>
      </c>
      <c r="W227" s="29" t="n"/>
      <c r="X227" s="13" t="n"/>
      <c r="Y227" s="14" t="n"/>
      <c r="Z227" s="14" t="n"/>
      <c r="AA227" s="13" t="n"/>
      <c r="AB227" s="17">
        <f>IF(A227="","",A227&amp;"#"&amp;C227)</f>
        <v/>
      </c>
      <c r="AC227" s="17">
        <f>IF(AND(AD227=1,D227&lt;=TODAY(),N227&lt;&gt;""),1,0)</f>
        <v/>
      </c>
      <c r="AD227" s="17">
        <f>IF(OR(A227="",D227=""),0,IF(AND(ISNUMBER(Baux!$H$20),D227&gt;Baux!$H$20),0,1))</f>
        <v/>
      </c>
    </row>
    <row r="228">
      <c r="A228" s="17">
        <f>IF(Baux!$A$20="","",Baux!$A$20)</f>
        <v/>
      </c>
      <c r="B228" s="17">
        <f>IF(A228="","",Baux!$B$20)</f>
        <v/>
      </c>
      <c r="C228" s="17" t="n">
        <v>11</v>
      </c>
      <c r="D228" s="15">
        <f>IF(OR(A228="",Baux!$F$20="",Baux!$O$20=""),"",EDATE(Baux!$F$20,12*Baux!$O$20*C228))</f>
        <v/>
      </c>
      <c r="E228" s="17">
        <f>IF(AD228=0,"",Baux!$M$20)</f>
        <v/>
      </c>
      <c r="F228" s="17">
        <f>IF(AD228=0,"",IFERROR(TEXT(VALUE(LEFT(Baux!$N$20,4))+C228*Baux!$O$20,"0")&amp;RIGHT(Baux!$N$20,3),""))</f>
        <v/>
      </c>
      <c r="G228" s="25">
        <f>IF(AD228=0,"",IF(F228="","",IF(SUMIFS(Indices_long!$C:$C,Indices_long!$A:$A,E228,Indices_long!$B:$B,F228)=0,"",SUMIFS(Indices_long!$C:$C,Indices_long!$A:$A,E228,Indices_long!$B:$B,F228))))</f>
        <v/>
      </c>
      <c r="H228" s="17">
        <f>IF(AD228=0,"",IF(Baux!$P$20="Base fixe",Baux!$N$20,IF(K227="Geler – rattrapage possible",H227,F227)))</f>
        <v/>
      </c>
      <c r="I228" s="25">
        <f>IF(AD228=0,"",IF(H228="","",IF(SUMIFS(Indices_long!$C:$C,Indices_long!$A:$A,E228,Indices_long!$B:$B,H228)=0,"",SUMIFS(Indices_long!$C:$C,Indices_long!$A:$A,E228,Indices_long!$B:$B,H228))))</f>
        <v/>
      </c>
      <c r="J228" s="26">
        <f>IF(OR(G228="",I228=""),"",G228/I228)</f>
        <v/>
      </c>
      <c r="K228" s="13" t="n"/>
      <c r="L228" s="27">
        <f>IF(AD228=0,"",IF(Baux!$P$20="Base fixe",Baux!$I$20,N227))</f>
        <v/>
      </c>
      <c r="M228" s="27">
        <f>IF(OR(J228="",L228=""),"",ROUND(L228*J228,2))</f>
        <v/>
      </c>
      <c r="N228" s="27">
        <f>IF(AD228=0,"",IF(LEFT(K228,5)="Geler",O228,IF(M228="","",IF(Baux!$Q$20="",M228,MIN(M228,ROUND(L228*(1+Baux!$Q$20/100)^IF(Baux!$P$20="Base fixe",C228*Baux!$O$20,VALUE(LEFT(F228,4))-VALUE(LEFT(H228,4))),2))))))</f>
        <v/>
      </c>
      <c r="O228" s="27">
        <f>IF(AD228=0,"",N227)</f>
        <v/>
      </c>
      <c r="P228" s="28">
        <f>IF(OR(N228="",O228=""),"",N228/O228-1)</f>
        <v/>
      </c>
      <c r="Q228" s="27">
        <f>IF(N228="","",N228/12)</f>
        <v/>
      </c>
      <c r="R228" s="27">
        <f>IF(N228="","",N228/IF(Baux!$L$20="Mensuelle",12,IF(Baux!$L$20="Trimestrielle",4,IF(Baux!$L$20="Semestrielle",2,1))))</f>
        <v/>
      </c>
      <c r="S228" s="27">
        <f>IF(AD228=0,"",IF(Baux!$J$20="",0,Baux!$J$20)/IF(Baux!$L$20="Mensuelle",12,IF(Baux!$L$20="Trimestrielle",4,IF(Baux!$L$20="Semestrielle",2,1))))</f>
        <v/>
      </c>
      <c r="T228" s="27">
        <f>IF(R228="","",(R228+S228)*Baux!$K$20/100)</f>
        <v/>
      </c>
      <c r="U228" s="27">
        <f>IF(R228="","",R228+S228+T228)</f>
        <v/>
      </c>
      <c r="V228" s="17">
        <f>IF(AD228=0,"",IF(LEFT(K228,5)="Geler","❄ Gelée",IF(G228="",IF(D228&lt;=TODAY(),"⚠ Indice attendu","À venir"),IF(D228&lt;=TODAY(),"✔ Calculable","Indice connu – à venir"))))</f>
        <v/>
      </c>
      <c r="W228" s="29" t="n"/>
      <c r="X228" s="13" t="n"/>
      <c r="Y228" s="14" t="n"/>
      <c r="Z228" s="14" t="n"/>
      <c r="AA228" s="13" t="n"/>
      <c r="AB228" s="17">
        <f>IF(A228="","",A228&amp;"#"&amp;C228)</f>
        <v/>
      </c>
      <c r="AC228" s="17">
        <f>IF(AND(AD228=1,D228&lt;=TODAY(),N228&lt;&gt;""),1,0)</f>
        <v/>
      </c>
      <c r="AD228" s="17">
        <f>IF(OR(A228="",D228=""),0,IF(AND(ISNUMBER(Baux!$H$20),D228&gt;Baux!$H$20),0,1))</f>
        <v/>
      </c>
    </row>
    <row r="229">
      <c r="A229" s="17">
        <f>IF(Baux!$A$20="","",Baux!$A$20)</f>
        <v/>
      </c>
      <c r="B229" s="17">
        <f>IF(A229="","",Baux!$B$20)</f>
        <v/>
      </c>
      <c r="C229" s="17" t="n">
        <v>12</v>
      </c>
      <c r="D229" s="15">
        <f>IF(OR(A229="",Baux!$F$20="",Baux!$O$20=""),"",EDATE(Baux!$F$20,12*Baux!$O$20*C229))</f>
        <v/>
      </c>
      <c r="E229" s="17">
        <f>IF(AD229=0,"",Baux!$M$20)</f>
        <v/>
      </c>
      <c r="F229" s="17">
        <f>IF(AD229=0,"",IFERROR(TEXT(VALUE(LEFT(Baux!$N$20,4))+C229*Baux!$O$20,"0")&amp;RIGHT(Baux!$N$20,3),""))</f>
        <v/>
      </c>
      <c r="G229" s="25">
        <f>IF(AD229=0,"",IF(F229="","",IF(SUMIFS(Indices_long!$C:$C,Indices_long!$A:$A,E229,Indices_long!$B:$B,F229)=0,"",SUMIFS(Indices_long!$C:$C,Indices_long!$A:$A,E229,Indices_long!$B:$B,F229))))</f>
        <v/>
      </c>
      <c r="H229" s="17">
        <f>IF(AD229=0,"",IF(Baux!$P$20="Base fixe",Baux!$N$20,IF(K228="Geler – rattrapage possible",H228,F228)))</f>
        <v/>
      </c>
      <c r="I229" s="25">
        <f>IF(AD229=0,"",IF(H229="","",IF(SUMIFS(Indices_long!$C:$C,Indices_long!$A:$A,E229,Indices_long!$B:$B,H229)=0,"",SUMIFS(Indices_long!$C:$C,Indices_long!$A:$A,E229,Indices_long!$B:$B,H229))))</f>
        <v/>
      </c>
      <c r="J229" s="26">
        <f>IF(OR(G229="",I229=""),"",G229/I229)</f>
        <v/>
      </c>
      <c r="K229" s="13" t="n"/>
      <c r="L229" s="27">
        <f>IF(AD229=0,"",IF(Baux!$P$20="Base fixe",Baux!$I$20,N228))</f>
        <v/>
      </c>
      <c r="M229" s="27">
        <f>IF(OR(J229="",L229=""),"",ROUND(L229*J229,2))</f>
        <v/>
      </c>
      <c r="N229" s="27">
        <f>IF(AD229=0,"",IF(LEFT(K229,5)="Geler",O229,IF(M229="","",IF(Baux!$Q$20="",M229,MIN(M229,ROUND(L229*(1+Baux!$Q$20/100)^IF(Baux!$P$20="Base fixe",C229*Baux!$O$20,VALUE(LEFT(F229,4))-VALUE(LEFT(H229,4))),2))))))</f>
        <v/>
      </c>
      <c r="O229" s="27">
        <f>IF(AD229=0,"",N228)</f>
        <v/>
      </c>
      <c r="P229" s="28">
        <f>IF(OR(N229="",O229=""),"",N229/O229-1)</f>
        <v/>
      </c>
      <c r="Q229" s="27">
        <f>IF(N229="","",N229/12)</f>
        <v/>
      </c>
      <c r="R229" s="27">
        <f>IF(N229="","",N229/IF(Baux!$L$20="Mensuelle",12,IF(Baux!$L$20="Trimestrielle",4,IF(Baux!$L$20="Semestrielle",2,1))))</f>
        <v/>
      </c>
      <c r="S229" s="27">
        <f>IF(AD229=0,"",IF(Baux!$J$20="",0,Baux!$J$20)/IF(Baux!$L$20="Mensuelle",12,IF(Baux!$L$20="Trimestrielle",4,IF(Baux!$L$20="Semestrielle",2,1))))</f>
        <v/>
      </c>
      <c r="T229" s="27">
        <f>IF(R229="","",(R229+S229)*Baux!$K$20/100)</f>
        <v/>
      </c>
      <c r="U229" s="27">
        <f>IF(R229="","",R229+S229+T229)</f>
        <v/>
      </c>
      <c r="V229" s="17">
        <f>IF(AD229=0,"",IF(LEFT(K229,5)="Geler","❄ Gelée",IF(G229="",IF(D229&lt;=TODAY(),"⚠ Indice attendu","À venir"),IF(D229&lt;=TODAY(),"✔ Calculable","Indice connu – à venir"))))</f>
        <v/>
      </c>
      <c r="W229" s="29" t="n"/>
      <c r="X229" s="13" t="n"/>
      <c r="Y229" s="14" t="n"/>
      <c r="Z229" s="14" t="n"/>
      <c r="AA229" s="13" t="n"/>
      <c r="AB229" s="17">
        <f>IF(A229="","",A229&amp;"#"&amp;C229)</f>
        <v/>
      </c>
      <c r="AC229" s="17">
        <f>IF(AND(AD229=1,D229&lt;=TODAY(),N229&lt;&gt;""),1,0)</f>
        <v/>
      </c>
      <c r="AD229" s="17">
        <f>IF(OR(A229="",D229=""),0,IF(AND(ISNUMBER(Baux!$H$20),D229&gt;Baux!$H$20),0,1))</f>
        <v/>
      </c>
    </row>
    <row r="230">
      <c r="A230" s="17">
        <f>IF(Baux!$A$21="","",Baux!$A$21)</f>
        <v/>
      </c>
      <c r="B230" s="17">
        <f>IF(A230="","",Baux!$B$21)</f>
        <v/>
      </c>
      <c r="C230" s="17" t="n">
        <v>1</v>
      </c>
      <c r="D230" s="15">
        <f>IF(OR(A230="",Baux!$F$21="",Baux!$O$21=""),"",EDATE(Baux!$F$21,12*Baux!$O$21*C230))</f>
        <v/>
      </c>
      <c r="E230" s="17">
        <f>IF(AD230=0,"",Baux!$M$21)</f>
        <v/>
      </c>
      <c r="F230" s="17">
        <f>IF(AD230=0,"",IFERROR(TEXT(VALUE(LEFT(Baux!$N$21,4))+C230*Baux!$O$21,"0")&amp;RIGHT(Baux!$N$21,3),""))</f>
        <v/>
      </c>
      <c r="G230" s="25">
        <f>IF(AD230=0,"",IF(F230="","",IF(SUMIFS(Indices_long!$C:$C,Indices_long!$A:$A,E230,Indices_long!$B:$B,F230)=0,"",SUMIFS(Indices_long!$C:$C,Indices_long!$A:$A,E230,Indices_long!$B:$B,F230))))</f>
        <v/>
      </c>
      <c r="H230" s="17">
        <f>IF(AD230=0,"",Baux!$N$21)</f>
        <v/>
      </c>
      <c r="I230" s="25">
        <f>IF(AD230=0,"",IF(H230="","",IF(SUMIFS(Indices_long!$C:$C,Indices_long!$A:$A,E230,Indices_long!$B:$B,H230)=0,"",SUMIFS(Indices_long!$C:$C,Indices_long!$A:$A,E230,Indices_long!$B:$B,H230))))</f>
        <v/>
      </c>
      <c r="J230" s="26">
        <f>IF(OR(G230="",I230=""),"",G230/I230)</f>
        <v/>
      </c>
      <c r="K230" s="13" t="n"/>
      <c r="L230" s="27">
        <f>IF(AD230=0,"",Baux!$I$21)</f>
        <v/>
      </c>
      <c r="M230" s="27">
        <f>IF(OR(J230="",L230=""),"",ROUND(L230*J230,2))</f>
        <v/>
      </c>
      <c r="N230" s="27">
        <f>IF(AD230=0,"",IF(LEFT(K230,5)="Geler",O230,IF(M230="","",IF(Baux!$Q$21="",M230,MIN(M230,ROUND(L230*(1+Baux!$Q$21/100)^IF(Baux!$P$21="Base fixe",C230*Baux!$O$21,VALUE(LEFT(F230,4))-VALUE(LEFT(H230,4))),2))))))</f>
        <v/>
      </c>
      <c r="O230" s="27">
        <f>IF(AD230=0,"",Baux!$I$21)</f>
        <v/>
      </c>
      <c r="P230" s="28">
        <f>IF(OR(N230="",O230=""),"",N230/O230-1)</f>
        <v/>
      </c>
      <c r="Q230" s="27">
        <f>IF(N230="","",N230/12)</f>
        <v/>
      </c>
      <c r="R230" s="27">
        <f>IF(N230="","",N230/IF(Baux!$L$21="Mensuelle",12,IF(Baux!$L$21="Trimestrielle",4,IF(Baux!$L$21="Semestrielle",2,1))))</f>
        <v/>
      </c>
      <c r="S230" s="27">
        <f>IF(AD230=0,"",IF(Baux!$J$21="",0,Baux!$J$21)/IF(Baux!$L$21="Mensuelle",12,IF(Baux!$L$21="Trimestrielle",4,IF(Baux!$L$21="Semestrielle",2,1))))</f>
        <v/>
      </c>
      <c r="T230" s="27">
        <f>IF(R230="","",(R230+S230)*Baux!$K$21/100)</f>
        <v/>
      </c>
      <c r="U230" s="27">
        <f>IF(R230="","",R230+S230+T230)</f>
        <v/>
      </c>
      <c r="V230" s="17">
        <f>IF(AD230=0,"",IF(LEFT(K230,5)="Geler","❄ Gelée",IF(G230="",IF(D230&lt;=TODAY(),"⚠ Indice attendu","À venir"),IF(D230&lt;=TODAY(),"✔ Calculable","Indice connu – à venir"))))</f>
        <v/>
      </c>
      <c r="W230" s="29" t="n"/>
      <c r="X230" s="13" t="n"/>
      <c r="Y230" s="14" t="n"/>
      <c r="Z230" s="14" t="n"/>
      <c r="AA230" s="13" t="n"/>
      <c r="AB230" s="17">
        <f>IF(A230="","",A230&amp;"#"&amp;C230)</f>
        <v/>
      </c>
      <c r="AC230" s="17">
        <f>IF(AND(AD230=1,D230&lt;=TODAY(),N230&lt;&gt;""),1,0)</f>
        <v/>
      </c>
      <c r="AD230" s="17">
        <f>IF(OR(A230="",D230=""),0,IF(AND(ISNUMBER(Baux!$H$21),D230&gt;Baux!$H$21),0,1))</f>
        <v/>
      </c>
    </row>
    <row r="231">
      <c r="A231" s="17">
        <f>IF(Baux!$A$21="","",Baux!$A$21)</f>
        <v/>
      </c>
      <c r="B231" s="17">
        <f>IF(A231="","",Baux!$B$21)</f>
        <v/>
      </c>
      <c r="C231" s="17" t="n">
        <v>2</v>
      </c>
      <c r="D231" s="15">
        <f>IF(OR(A231="",Baux!$F$21="",Baux!$O$21=""),"",EDATE(Baux!$F$21,12*Baux!$O$21*C231))</f>
        <v/>
      </c>
      <c r="E231" s="17">
        <f>IF(AD231=0,"",Baux!$M$21)</f>
        <v/>
      </c>
      <c r="F231" s="17">
        <f>IF(AD231=0,"",IFERROR(TEXT(VALUE(LEFT(Baux!$N$21,4))+C231*Baux!$O$21,"0")&amp;RIGHT(Baux!$N$21,3),""))</f>
        <v/>
      </c>
      <c r="G231" s="25">
        <f>IF(AD231=0,"",IF(F231="","",IF(SUMIFS(Indices_long!$C:$C,Indices_long!$A:$A,E231,Indices_long!$B:$B,F231)=0,"",SUMIFS(Indices_long!$C:$C,Indices_long!$A:$A,E231,Indices_long!$B:$B,F231))))</f>
        <v/>
      </c>
      <c r="H231" s="17">
        <f>IF(AD231=0,"",IF(Baux!$P$21="Base fixe",Baux!$N$21,IF(K230="Geler – rattrapage possible",H230,F230)))</f>
        <v/>
      </c>
      <c r="I231" s="25">
        <f>IF(AD231=0,"",IF(H231="","",IF(SUMIFS(Indices_long!$C:$C,Indices_long!$A:$A,E231,Indices_long!$B:$B,H231)=0,"",SUMIFS(Indices_long!$C:$C,Indices_long!$A:$A,E231,Indices_long!$B:$B,H231))))</f>
        <v/>
      </c>
      <c r="J231" s="26">
        <f>IF(OR(G231="",I231=""),"",G231/I231)</f>
        <v/>
      </c>
      <c r="K231" s="13" t="n"/>
      <c r="L231" s="27">
        <f>IF(AD231=0,"",IF(Baux!$P$21="Base fixe",Baux!$I$21,N230))</f>
        <v/>
      </c>
      <c r="M231" s="27">
        <f>IF(OR(J231="",L231=""),"",ROUND(L231*J231,2))</f>
        <v/>
      </c>
      <c r="N231" s="27">
        <f>IF(AD231=0,"",IF(LEFT(K231,5)="Geler",O231,IF(M231="","",IF(Baux!$Q$21="",M231,MIN(M231,ROUND(L231*(1+Baux!$Q$21/100)^IF(Baux!$P$21="Base fixe",C231*Baux!$O$21,VALUE(LEFT(F231,4))-VALUE(LEFT(H231,4))),2))))))</f>
        <v/>
      </c>
      <c r="O231" s="27">
        <f>IF(AD231=0,"",N230)</f>
        <v/>
      </c>
      <c r="P231" s="28">
        <f>IF(OR(N231="",O231=""),"",N231/O231-1)</f>
        <v/>
      </c>
      <c r="Q231" s="27">
        <f>IF(N231="","",N231/12)</f>
        <v/>
      </c>
      <c r="R231" s="27">
        <f>IF(N231="","",N231/IF(Baux!$L$21="Mensuelle",12,IF(Baux!$L$21="Trimestrielle",4,IF(Baux!$L$21="Semestrielle",2,1))))</f>
        <v/>
      </c>
      <c r="S231" s="27">
        <f>IF(AD231=0,"",IF(Baux!$J$21="",0,Baux!$J$21)/IF(Baux!$L$21="Mensuelle",12,IF(Baux!$L$21="Trimestrielle",4,IF(Baux!$L$21="Semestrielle",2,1))))</f>
        <v/>
      </c>
      <c r="T231" s="27">
        <f>IF(R231="","",(R231+S231)*Baux!$K$21/100)</f>
        <v/>
      </c>
      <c r="U231" s="27">
        <f>IF(R231="","",R231+S231+T231)</f>
        <v/>
      </c>
      <c r="V231" s="17">
        <f>IF(AD231=0,"",IF(LEFT(K231,5)="Geler","❄ Gelée",IF(G231="",IF(D231&lt;=TODAY(),"⚠ Indice attendu","À venir"),IF(D231&lt;=TODAY(),"✔ Calculable","Indice connu – à venir"))))</f>
        <v/>
      </c>
      <c r="W231" s="29" t="n"/>
      <c r="X231" s="13" t="n"/>
      <c r="Y231" s="14" t="n"/>
      <c r="Z231" s="14" t="n"/>
      <c r="AA231" s="13" t="n"/>
      <c r="AB231" s="17">
        <f>IF(A231="","",A231&amp;"#"&amp;C231)</f>
        <v/>
      </c>
      <c r="AC231" s="17">
        <f>IF(AND(AD231=1,D231&lt;=TODAY(),N231&lt;&gt;""),1,0)</f>
        <v/>
      </c>
      <c r="AD231" s="17">
        <f>IF(OR(A231="",D231=""),0,IF(AND(ISNUMBER(Baux!$H$21),D231&gt;Baux!$H$21),0,1))</f>
        <v/>
      </c>
    </row>
    <row r="232">
      <c r="A232" s="17">
        <f>IF(Baux!$A$21="","",Baux!$A$21)</f>
        <v/>
      </c>
      <c r="B232" s="17">
        <f>IF(A232="","",Baux!$B$21)</f>
        <v/>
      </c>
      <c r="C232" s="17" t="n">
        <v>3</v>
      </c>
      <c r="D232" s="15">
        <f>IF(OR(A232="",Baux!$F$21="",Baux!$O$21=""),"",EDATE(Baux!$F$21,12*Baux!$O$21*C232))</f>
        <v/>
      </c>
      <c r="E232" s="17">
        <f>IF(AD232=0,"",Baux!$M$21)</f>
        <v/>
      </c>
      <c r="F232" s="17">
        <f>IF(AD232=0,"",IFERROR(TEXT(VALUE(LEFT(Baux!$N$21,4))+C232*Baux!$O$21,"0")&amp;RIGHT(Baux!$N$21,3),""))</f>
        <v/>
      </c>
      <c r="G232" s="25">
        <f>IF(AD232=0,"",IF(F232="","",IF(SUMIFS(Indices_long!$C:$C,Indices_long!$A:$A,E232,Indices_long!$B:$B,F232)=0,"",SUMIFS(Indices_long!$C:$C,Indices_long!$A:$A,E232,Indices_long!$B:$B,F232))))</f>
        <v/>
      </c>
      <c r="H232" s="17">
        <f>IF(AD232=0,"",IF(Baux!$P$21="Base fixe",Baux!$N$21,IF(K231="Geler – rattrapage possible",H231,F231)))</f>
        <v/>
      </c>
      <c r="I232" s="25">
        <f>IF(AD232=0,"",IF(H232="","",IF(SUMIFS(Indices_long!$C:$C,Indices_long!$A:$A,E232,Indices_long!$B:$B,H232)=0,"",SUMIFS(Indices_long!$C:$C,Indices_long!$A:$A,E232,Indices_long!$B:$B,H232))))</f>
        <v/>
      </c>
      <c r="J232" s="26">
        <f>IF(OR(G232="",I232=""),"",G232/I232)</f>
        <v/>
      </c>
      <c r="K232" s="13" t="n"/>
      <c r="L232" s="27">
        <f>IF(AD232=0,"",IF(Baux!$P$21="Base fixe",Baux!$I$21,N231))</f>
        <v/>
      </c>
      <c r="M232" s="27">
        <f>IF(OR(J232="",L232=""),"",ROUND(L232*J232,2))</f>
        <v/>
      </c>
      <c r="N232" s="27">
        <f>IF(AD232=0,"",IF(LEFT(K232,5)="Geler",O232,IF(M232="","",IF(Baux!$Q$21="",M232,MIN(M232,ROUND(L232*(1+Baux!$Q$21/100)^IF(Baux!$P$21="Base fixe",C232*Baux!$O$21,VALUE(LEFT(F232,4))-VALUE(LEFT(H232,4))),2))))))</f>
        <v/>
      </c>
      <c r="O232" s="27">
        <f>IF(AD232=0,"",N231)</f>
        <v/>
      </c>
      <c r="P232" s="28">
        <f>IF(OR(N232="",O232=""),"",N232/O232-1)</f>
        <v/>
      </c>
      <c r="Q232" s="27">
        <f>IF(N232="","",N232/12)</f>
        <v/>
      </c>
      <c r="R232" s="27">
        <f>IF(N232="","",N232/IF(Baux!$L$21="Mensuelle",12,IF(Baux!$L$21="Trimestrielle",4,IF(Baux!$L$21="Semestrielle",2,1))))</f>
        <v/>
      </c>
      <c r="S232" s="27">
        <f>IF(AD232=0,"",IF(Baux!$J$21="",0,Baux!$J$21)/IF(Baux!$L$21="Mensuelle",12,IF(Baux!$L$21="Trimestrielle",4,IF(Baux!$L$21="Semestrielle",2,1))))</f>
        <v/>
      </c>
      <c r="T232" s="27">
        <f>IF(R232="","",(R232+S232)*Baux!$K$21/100)</f>
        <v/>
      </c>
      <c r="U232" s="27">
        <f>IF(R232="","",R232+S232+T232)</f>
        <v/>
      </c>
      <c r="V232" s="17">
        <f>IF(AD232=0,"",IF(LEFT(K232,5)="Geler","❄ Gelée",IF(G232="",IF(D232&lt;=TODAY(),"⚠ Indice attendu","À venir"),IF(D232&lt;=TODAY(),"✔ Calculable","Indice connu – à venir"))))</f>
        <v/>
      </c>
      <c r="W232" s="29" t="n"/>
      <c r="X232" s="13" t="n"/>
      <c r="Y232" s="14" t="n"/>
      <c r="Z232" s="14" t="n"/>
      <c r="AA232" s="13" t="n"/>
      <c r="AB232" s="17">
        <f>IF(A232="","",A232&amp;"#"&amp;C232)</f>
        <v/>
      </c>
      <c r="AC232" s="17">
        <f>IF(AND(AD232=1,D232&lt;=TODAY(),N232&lt;&gt;""),1,0)</f>
        <v/>
      </c>
      <c r="AD232" s="17">
        <f>IF(OR(A232="",D232=""),0,IF(AND(ISNUMBER(Baux!$H$21),D232&gt;Baux!$H$21),0,1))</f>
        <v/>
      </c>
    </row>
    <row r="233">
      <c r="A233" s="17">
        <f>IF(Baux!$A$21="","",Baux!$A$21)</f>
        <v/>
      </c>
      <c r="B233" s="17">
        <f>IF(A233="","",Baux!$B$21)</f>
        <v/>
      </c>
      <c r="C233" s="17" t="n">
        <v>4</v>
      </c>
      <c r="D233" s="15">
        <f>IF(OR(A233="",Baux!$F$21="",Baux!$O$21=""),"",EDATE(Baux!$F$21,12*Baux!$O$21*C233))</f>
        <v/>
      </c>
      <c r="E233" s="17">
        <f>IF(AD233=0,"",Baux!$M$21)</f>
        <v/>
      </c>
      <c r="F233" s="17">
        <f>IF(AD233=0,"",IFERROR(TEXT(VALUE(LEFT(Baux!$N$21,4))+C233*Baux!$O$21,"0")&amp;RIGHT(Baux!$N$21,3),""))</f>
        <v/>
      </c>
      <c r="G233" s="25">
        <f>IF(AD233=0,"",IF(F233="","",IF(SUMIFS(Indices_long!$C:$C,Indices_long!$A:$A,E233,Indices_long!$B:$B,F233)=0,"",SUMIFS(Indices_long!$C:$C,Indices_long!$A:$A,E233,Indices_long!$B:$B,F233))))</f>
        <v/>
      </c>
      <c r="H233" s="17">
        <f>IF(AD233=0,"",IF(Baux!$P$21="Base fixe",Baux!$N$21,IF(K232="Geler – rattrapage possible",H232,F232)))</f>
        <v/>
      </c>
      <c r="I233" s="25">
        <f>IF(AD233=0,"",IF(H233="","",IF(SUMIFS(Indices_long!$C:$C,Indices_long!$A:$A,E233,Indices_long!$B:$B,H233)=0,"",SUMIFS(Indices_long!$C:$C,Indices_long!$A:$A,E233,Indices_long!$B:$B,H233))))</f>
        <v/>
      </c>
      <c r="J233" s="26">
        <f>IF(OR(G233="",I233=""),"",G233/I233)</f>
        <v/>
      </c>
      <c r="K233" s="13" t="n"/>
      <c r="L233" s="27">
        <f>IF(AD233=0,"",IF(Baux!$P$21="Base fixe",Baux!$I$21,N232))</f>
        <v/>
      </c>
      <c r="M233" s="27">
        <f>IF(OR(J233="",L233=""),"",ROUND(L233*J233,2))</f>
        <v/>
      </c>
      <c r="N233" s="27">
        <f>IF(AD233=0,"",IF(LEFT(K233,5)="Geler",O233,IF(M233="","",IF(Baux!$Q$21="",M233,MIN(M233,ROUND(L233*(1+Baux!$Q$21/100)^IF(Baux!$P$21="Base fixe",C233*Baux!$O$21,VALUE(LEFT(F233,4))-VALUE(LEFT(H233,4))),2))))))</f>
        <v/>
      </c>
      <c r="O233" s="27">
        <f>IF(AD233=0,"",N232)</f>
        <v/>
      </c>
      <c r="P233" s="28">
        <f>IF(OR(N233="",O233=""),"",N233/O233-1)</f>
        <v/>
      </c>
      <c r="Q233" s="27">
        <f>IF(N233="","",N233/12)</f>
        <v/>
      </c>
      <c r="R233" s="27">
        <f>IF(N233="","",N233/IF(Baux!$L$21="Mensuelle",12,IF(Baux!$L$21="Trimestrielle",4,IF(Baux!$L$21="Semestrielle",2,1))))</f>
        <v/>
      </c>
      <c r="S233" s="27">
        <f>IF(AD233=0,"",IF(Baux!$J$21="",0,Baux!$J$21)/IF(Baux!$L$21="Mensuelle",12,IF(Baux!$L$21="Trimestrielle",4,IF(Baux!$L$21="Semestrielle",2,1))))</f>
        <v/>
      </c>
      <c r="T233" s="27">
        <f>IF(R233="","",(R233+S233)*Baux!$K$21/100)</f>
        <v/>
      </c>
      <c r="U233" s="27">
        <f>IF(R233="","",R233+S233+T233)</f>
        <v/>
      </c>
      <c r="V233" s="17">
        <f>IF(AD233=0,"",IF(LEFT(K233,5)="Geler","❄ Gelée",IF(G233="",IF(D233&lt;=TODAY(),"⚠ Indice attendu","À venir"),IF(D233&lt;=TODAY(),"✔ Calculable","Indice connu – à venir"))))</f>
        <v/>
      </c>
      <c r="W233" s="29" t="n"/>
      <c r="X233" s="13" t="n"/>
      <c r="Y233" s="14" t="n"/>
      <c r="Z233" s="14" t="n"/>
      <c r="AA233" s="13" t="n"/>
      <c r="AB233" s="17">
        <f>IF(A233="","",A233&amp;"#"&amp;C233)</f>
        <v/>
      </c>
      <c r="AC233" s="17">
        <f>IF(AND(AD233=1,D233&lt;=TODAY(),N233&lt;&gt;""),1,0)</f>
        <v/>
      </c>
      <c r="AD233" s="17">
        <f>IF(OR(A233="",D233=""),0,IF(AND(ISNUMBER(Baux!$H$21),D233&gt;Baux!$H$21),0,1))</f>
        <v/>
      </c>
    </row>
    <row r="234">
      <c r="A234" s="17">
        <f>IF(Baux!$A$21="","",Baux!$A$21)</f>
        <v/>
      </c>
      <c r="B234" s="17">
        <f>IF(A234="","",Baux!$B$21)</f>
        <v/>
      </c>
      <c r="C234" s="17" t="n">
        <v>5</v>
      </c>
      <c r="D234" s="15">
        <f>IF(OR(A234="",Baux!$F$21="",Baux!$O$21=""),"",EDATE(Baux!$F$21,12*Baux!$O$21*C234))</f>
        <v/>
      </c>
      <c r="E234" s="17">
        <f>IF(AD234=0,"",Baux!$M$21)</f>
        <v/>
      </c>
      <c r="F234" s="17">
        <f>IF(AD234=0,"",IFERROR(TEXT(VALUE(LEFT(Baux!$N$21,4))+C234*Baux!$O$21,"0")&amp;RIGHT(Baux!$N$21,3),""))</f>
        <v/>
      </c>
      <c r="G234" s="25">
        <f>IF(AD234=0,"",IF(F234="","",IF(SUMIFS(Indices_long!$C:$C,Indices_long!$A:$A,E234,Indices_long!$B:$B,F234)=0,"",SUMIFS(Indices_long!$C:$C,Indices_long!$A:$A,E234,Indices_long!$B:$B,F234))))</f>
        <v/>
      </c>
      <c r="H234" s="17">
        <f>IF(AD234=0,"",IF(Baux!$P$21="Base fixe",Baux!$N$21,IF(K233="Geler – rattrapage possible",H233,F233)))</f>
        <v/>
      </c>
      <c r="I234" s="25">
        <f>IF(AD234=0,"",IF(H234="","",IF(SUMIFS(Indices_long!$C:$C,Indices_long!$A:$A,E234,Indices_long!$B:$B,H234)=0,"",SUMIFS(Indices_long!$C:$C,Indices_long!$A:$A,E234,Indices_long!$B:$B,H234))))</f>
        <v/>
      </c>
      <c r="J234" s="26">
        <f>IF(OR(G234="",I234=""),"",G234/I234)</f>
        <v/>
      </c>
      <c r="K234" s="13" t="n"/>
      <c r="L234" s="27">
        <f>IF(AD234=0,"",IF(Baux!$P$21="Base fixe",Baux!$I$21,N233))</f>
        <v/>
      </c>
      <c r="M234" s="27">
        <f>IF(OR(J234="",L234=""),"",ROUND(L234*J234,2))</f>
        <v/>
      </c>
      <c r="N234" s="27">
        <f>IF(AD234=0,"",IF(LEFT(K234,5)="Geler",O234,IF(M234="","",IF(Baux!$Q$21="",M234,MIN(M234,ROUND(L234*(1+Baux!$Q$21/100)^IF(Baux!$P$21="Base fixe",C234*Baux!$O$21,VALUE(LEFT(F234,4))-VALUE(LEFT(H234,4))),2))))))</f>
        <v/>
      </c>
      <c r="O234" s="27">
        <f>IF(AD234=0,"",N233)</f>
        <v/>
      </c>
      <c r="P234" s="28">
        <f>IF(OR(N234="",O234=""),"",N234/O234-1)</f>
        <v/>
      </c>
      <c r="Q234" s="27">
        <f>IF(N234="","",N234/12)</f>
        <v/>
      </c>
      <c r="R234" s="27">
        <f>IF(N234="","",N234/IF(Baux!$L$21="Mensuelle",12,IF(Baux!$L$21="Trimestrielle",4,IF(Baux!$L$21="Semestrielle",2,1))))</f>
        <v/>
      </c>
      <c r="S234" s="27">
        <f>IF(AD234=0,"",IF(Baux!$J$21="",0,Baux!$J$21)/IF(Baux!$L$21="Mensuelle",12,IF(Baux!$L$21="Trimestrielle",4,IF(Baux!$L$21="Semestrielle",2,1))))</f>
        <v/>
      </c>
      <c r="T234" s="27">
        <f>IF(R234="","",(R234+S234)*Baux!$K$21/100)</f>
        <v/>
      </c>
      <c r="U234" s="27">
        <f>IF(R234="","",R234+S234+T234)</f>
        <v/>
      </c>
      <c r="V234" s="17">
        <f>IF(AD234=0,"",IF(LEFT(K234,5)="Geler","❄ Gelée",IF(G234="",IF(D234&lt;=TODAY(),"⚠ Indice attendu","À venir"),IF(D234&lt;=TODAY(),"✔ Calculable","Indice connu – à venir"))))</f>
        <v/>
      </c>
      <c r="W234" s="29" t="n"/>
      <c r="X234" s="13" t="n"/>
      <c r="Y234" s="14" t="n"/>
      <c r="Z234" s="14" t="n"/>
      <c r="AA234" s="13" t="n"/>
      <c r="AB234" s="17">
        <f>IF(A234="","",A234&amp;"#"&amp;C234)</f>
        <v/>
      </c>
      <c r="AC234" s="17">
        <f>IF(AND(AD234=1,D234&lt;=TODAY(),N234&lt;&gt;""),1,0)</f>
        <v/>
      </c>
      <c r="AD234" s="17">
        <f>IF(OR(A234="",D234=""),0,IF(AND(ISNUMBER(Baux!$H$21),D234&gt;Baux!$H$21),0,1))</f>
        <v/>
      </c>
    </row>
    <row r="235">
      <c r="A235" s="17">
        <f>IF(Baux!$A$21="","",Baux!$A$21)</f>
        <v/>
      </c>
      <c r="B235" s="17">
        <f>IF(A235="","",Baux!$B$21)</f>
        <v/>
      </c>
      <c r="C235" s="17" t="n">
        <v>6</v>
      </c>
      <c r="D235" s="15">
        <f>IF(OR(A235="",Baux!$F$21="",Baux!$O$21=""),"",EDATE(Baux!$F$21,12*Baux!$O$21*C235))</f>
        <v/>
      </c>
      <c r="E235" s="17">
        <f>IF(AD235=0,"",Baux!$M$21)</f>
        <v/>
      </c>
      <c r="F235" s="17">
        <f>IF(AD235=0,"",IFERROR(TEXT(VALUE(LEFT(Baux!$N$21,4))+C235*Baux!$O$21,"0")&amp;RIGHT(Baux!$N$21,3),""))</f>
        <v/>
      </c>
      <c r="G235" s="25">
        <f>IF(AD235=0,"",IF(F235="","",IF(SUMIFS(Indices_long!$C:$C,Indices_long!$A:$A,E235,Indices_long!$B:$B,F235)=0,"",SUMIFS(Indices_long!$C:$C,Indices_long!$A:$A,E235,Indices_long!$B:$B,F235))))</f>
        <v/>
      </c>
      <c r="H235" s="17">
        <f>IF(AD235=0,"",IF(Baux!$P$21="Base fixe",Baux!$N$21,IF(K234="Geler – rattrapage possible",H234,F234)))</f>
        <v/>
      </c>
      <c r="I235" s="25">
        <f>IF(AD235=0,"",IF(H235="","",IF(SUMIFS(Indices_long!$C:$C,Indices_long!$A:$A,E235,Indices_long!$B:$B,H235)=0,"",SUMIFS(Indices_long!$C:$C,Indices_long!$A:$A,E235,Indices_long!$B:$B,H235))))</f>
        <v/>
      </c>
      <c r="J235" s="26">
        <f>IF(OR(G235="",I235=""),"",G235/I235)</f>
        <v/>
      </c>
      <c r="K235" s="13" t="n"/>
      <c r="L235" s="27">
        <f>IF(AD235=0,"",IF(Baux!$P$21="Base fixe",Baux!$I$21,N234))</f>
        <v/>
      </c>
      <c r="M235" s="27">
        <f>IF(OR(J235="",L235=""),"",ROUND(L235*J235,2))</f>
        <v/>
      </c>
      <c r="N235" s="27">
        <f>IF(AD235=0,"",IF(LEFT(K235,5)="Geler",O235,IF(M235="","",IF(Baux!$Q$21="",M235,MIN(M235,ROUND(L235*(1+Baux!$Q$21/100)^IF(Baux!$P$21="Base fixe",C235*Baux!$O$21,VALUE(LEFT(F235,4))-VALUE(LEFT(H235,4))),2))))))</f>
        <v/>
      </c>
      <c r="O235" s="27">
        <f>IF(AD235=0,"",N234)</f>
        <v/>
      </c>
      <c r="P235" s="28">
        <f>IF(OR(N235="",O235=""),"",N235/O235-1)</f>
        <v/>
      </c>
      <c r="Q235" s="27">
        <f>IF(N235="","",N235/12)</f>
        <v/>
      </c>
      <c r="R235" s="27">
        <f>IF(N235="","",N235/IF(Baux!$L$21="Mensuelle",12,IF(Baux!$L$21="Trimestrielle",4,IF(Baux!$L$21="Semestrielle",2,1))))</f>
        <v/>
      </c>
      <c r="S235" s="27">
        <f>IF(AD235=0,"",IF(Baux!$J$21="",0,Baux!$J$21)/IF(Baux!$L$21="Mensuelle",12,IF(Baux!$L$21="Trimestrielle",4,IF(Baux!$L$21="Semestrielle",2,1))))</f>
        <v/>
      </c>
      <c r="T235" s="27">
        <f>IF(R235="","",(R235+S235)*Baux!$K$21/100)</f>
        <v/>
      </c>
      <c r="U235" s="27">
        <f>IF(R235="","",R235+S235+T235)</f>
        <v/>
      </c>
      <c r="V235" s="17">
        <f>IF(AD235=0,"",IF(LEFT(K235,5)="Geler","❄ Gelée",IF(G235="",IF(D235&lt;=TODAY(),"⚠ Indice attendu","À venir"),IF(D235&lt;=TODAY(),"✔ Calculable","Indice connu – à venir"))))</f>
        <v/>
      </c>
      <c r="W235" s="29" t="n"/>
      <c r="X235" s="13" t="n"/>
      <c r="Y235" s="14" t="n"/>
      <c r="Z235" s="14" t="n"/>
      <c r="AA235" s="13" t="n"/>
      <c r="AB235" s="17">
        <f>IF(A235="","",A235&amp;"#"&amp;C235)</f>
        <v/>
      </c>
      <c r="AC235" s="17">
        <f>IF(AND(AD235=1,D235&lt;=TODAY(),N235&lt;&gt;""),1,0)</f>
        <v/>
      </c>
      <c r="AD235" s="17">
        <f>IF(OR(A235="",D235=""),0,IF(AND(ISNUMBER(Baux!$H$21),D235&gt;Baux!$H$21),0,1))</f>
        <v/>
      </c>
    </row>
    <row r="236">
      <c r="A236" s="17">
        <f>IF(Baux!$A$21="","",Baux!$A$21)</f>
        <v/>
      </c>
      <c r="B236" s="17">
        <f>IF(A236="","",Baux!$B$21)</f>
        <v/>
      </c>
      <c r="C236" s="17" t="n">
        <v>7</v>
      </c>
      <c r="D236" s="15">
        <f>IF(OR(A236="",Baux!$F$21="",Baux!$O$21=""),"",EDATE(Baux!$F$21,12*Baux!$O$21*C236))</f>
        <v/>
      </c>
      <c r="E236" s="17">
        <f>IF(AD236=0,"",Baux!$M$21)</f>
        <v/>
      </c>
      <c r="F236" s="17">
        <f>IF(AD236=0,"",IFERROR(TEXT(VALUE(LEFT(Baux!$N$21,4))+C236*Baux!$O$21,"0")&amp;RIGHT(Baux!$N$21,3),""))</f>
        <v/>
      </c>
      <c r="G236" s="25">
        <f>IF(AD236=0,"",IF(F236="","",IF(SUMIFS(Indices_long!$C:$C,Indices_long!$A:$A,E236,Indices_long!$B:$B,F236)=0,"",SUMIFS(Indices_long!$C:$C,Indices_long!$A:$A,E236,Indices_long!$B:$B,F236))))</f>
        <v/>
      </c>
      <c r="H236" s="17">
        <f>IF(AD236=0,"",IF(Baux!$P$21="Base fixe",Baux!$N$21,IF(K235="Geler – rattrapage possible",H235,F235)))</f>
        <v/>
      </c>
      <c r="I236" s="25">
        <f>IF(AD236=0,"",IF(H236="","",IF(SUMIFS(Indices_long!$C:$C,Indices_long!$A:$A,E236,Indices_long!$B:$B,H236)=0,"",SUMIFS(Indices_long!$C:$C,Indices_long!$A:$A,E236,Indices_long!$B:$B,H236))))</f>
        <v/>
      </c>
      <c r="J236" s="26">
        <f>IF(OR(G236="",I236=""),"",G236/I236)</f>
        <v/>
      </c>
      <c r="K236" s="13" t="n"/>
      <c r="L236" s="27">
        <f>IF(AD236=0,"",IF(Baux!$P$21="Base fixe",Baux!$I$21,N235))</f>
        <v/>
      </c>
      <c r="M236" s="27">
        <f>IF(OR(J236="",L236=""),"",ROUND(L236*J236,2))</f>
        <v/>
      </c>
      <c r="N236" s="27">
        <f>IF(AD236=0,"",IF(LEFT(K236,5)="Geler",O236,IF(M236="","",IF(Baux!$Q$21="",M236,MIN(M236,ROUND(L236*(1+Baux!$Q$21/100)^IF(Baux!$P$21="Base fixe",C236*Baux!$O$21,VALUE(LEFT(F236,4))-VALUE(LEFT(H236,4))),2))))))</f>
        <v/>
      </c>
      <c r="O236" s="27">
        <f>IF(AD236=0,"",N235)</f>
        <v/>
      </c>
      <c r="P236" s="28">
        <f>IF(OR(N236="",O236=""),"",N236/O236-1)</f>
        <v/>
      </c>
      <c r="Q236" s="27">
        <f>IF(N236="","",N236/12)</f>
        <v/>
      </c>
      <c r="R236" s="27">
        <f>IF(N236="","",N236/IF(Baux!$L$21="Mensuelle",12,IF(Baux!$L$21="Trimestrielle",4,IF(Baux!$L$21="Semestrielle",2,1))))</f>
        <v/>
      </c>
      <c r="S236" s="27">
        <f>IF(AD236=0,"",IF(Baux!$J$21="",0,Baux!$J$21)/IF(Baux!$L$21="Mensuelle",12,IF(Baux!$L$21="Trimestrielle",4,IF(Baux!$L$21="Semestrielle",2,1))))</f>
        <v/>
      </c>
      <c r="T236" s="27">
        <f>IF(R236="","",(R236+S236)*Baux!$K$21/100)</f>
        <v/>
      </c>
      <c r="U236" s="27">
        <f>IF(R236="","",R236+S236+T236)</f>
        <v/>
      </c>
      <c r="V236" s="17">
        <f>IF(AD236=0,"",IF(LEFT(K236,5)="Geler","❄ Gelée",IF(G236="",IF(D236&lt;=TODAY(),"⚠ Indice attendu","À venir"),IF(D236&lt;=TODAY(),"✔ Calculable","Indice connu – à venir"))))</f>
        <v/>
      </c>
      <c r="W236" s="29" t="n"/>
      <c r="X236" s="13" t="n"/>
      <c r="Y236" s="14" t="n"/>
      <c r="Z236" s="14" t="n"/>
      <c r="AA236" s="13" t="n"/>
      <c r="AB236" s="17">
        <f>IF(A236="","",A236&amp;"#"&amp;C236)</f>
        <v/>
      </c>
      <c r="AC236" s="17">
        <f>IF(AND(AD236=1,D236&lt;=TODAY(),N236&lt;&gt;""),1,0)</f>
        <v/>
      </c>
      <c r="AD236" s="17">
        <f>IF(OR(A236="",D236=""),0,IF(AND(ISNUMBER(Baux!$H$21),D236&gt;Baux!$H$21),0,1))</f>
        <v/>
      </c>
    </row>
    <row r="237">
      <c r="A237" s="17">
        <f>IF(Baux!$A$21="","",Baux!$A$21)</f>
        <v/>
      </c>
      <c r="B237" s="17">
        <f>IF(A237="","",Baux!$B$21)</f>
        <v/>
      </c>
      <c r="C237" s="17" t="n">
        <v>8</v>
      </c>
      <c r="D237" s="15">
        <f>IF(OR(A237="",Baux!$F$21="",Baux!$O$21=""),"",EDATE(Baux!$F$21,12*Baux!$O$21*C237))</f>
        <v/>
      </c>
      <c r="E237" s="17">
        <f>IF(AD237=0,"",Baux!$M$21)</f>
        <v/>
      </c>
      <c r="F237" s="17">
        <f>IF(AD237=0,"",IFERROR(TEXT(VALUE(LEFT(Baux!$N$21,4))+C237*Baux!$O$21,"0")&amp;RIGHT(Baux!$N$21,3),""))</f>
        <v/>
      </c>
      <c r="G237" s="25">
        <f>IF(AD237=0,"",IF(F237="","",IF(SUMIFS(Indices_long!$C:$C,Indices_long!$A:$A,E237,Indices_long!$B:$B,F237)=0,"",SUMIFS(Indices_long!$C:$C,Indices_long!$A:$A,E237,Indices_long!$B:$B,F237))))</f>
        <v/>
      </c>
      <c r="H237" s="17">
        <f>IF(AD237=0,"",IF(Baux!$P$21="Base fixe",Baux!$N$21,IF(K236="Geler – rattrapage possible",H236,F236)))</f>
        <v/>
      </c>
      <c r="I237" s="25">
        <f>IF(AD237=0,"",IF(H237="","",IF(SUMIFS(Indices_long!$C:$C,Indices_long!$A:$A,E237,Indices_long!$B:$B,H237)=0,"",SUMIFS(Indices_long!$C:$C,Indices_long!$A:$A,E237,Indices_long!$B:$B,H237))))</f>
        <v/>
      </c>
      <c r="J237" s="26">
        <f>IF(OR(G237="",I237=""),"",G237/I237)</f>
        <v/>
      </c>
      <c r="K237" s="13" t="n"/>
      <c r="L237" s="27">
        <f>IF(AD237=0,"",IF(Baux!$P$21="Base fixe",Baux!$I$21,N236))</f>
        <v/>
      </c>
      <c r="M237" s="27">
        <f>IF(OR(J237="",L237=""),"",ROUND(L237*J237,2))</f>
        <v/>
      </c>
      <c r="N237" s="27">
        <f>IF(AD237=0,"",IF(LEFT(K237,5)="Geler",O237,IF(M237="","",IF(Baux!$Q$21="",M237,MIN(M237,ROUND(L237*(1+Baux!$Q$21/100)^IF(Baux!$P$21="Base fixe",C237*Baux!$O$21,VALUE(LEFT(F237,4))-VALUE(LEFT(H237,4))),2))))))</f>
        <v/>
      </c>
      <c r="O237" s="27">
        <f>IF(AD237=0,"",N236)</f>
        <v/>
      </c>
      <c r="P237" s="28">
        <f>IF(OR(N237="",O237=""),"",N237/O237-1)</f>
        <v/>
      </c>
      <c r="Q237" s="27">
        <f>IF(N237="","",N237/12)</f>
        <v/>
      </c>
      <c r="R237" s="27">
        <f>IF(N237="","",N237/IF(Baux!$L$21="Mensuelle",12,IF(Baux!$L$21="Trimestrielle",4,IF(Baux!$L$21="Semestrielle",2,1))))</f>
        <v/>
      </c>
      <c r="S237" s="27">
        <f>IF(AD237=0,"",IF(Baux!$J$21="",0,Baux!$J$21)/IF(Baux!$L$21="Mensuelle",12,IF(Baux!$L$21="Trimestrielle",4,IF(Baux!$L$21="Semestrielle",2,1))))</f>
        <v/>
      </c>
      <c r="T237" s="27">
        <f>IF(R237="","",(R237+S237)*Baux!$K$21/100)</f>
        <v/>
      </c>
      <c r="U237" s="27">
        <f>IF(R237="","",R237+S237+T237)</f>
        <v/>
      </c>
      <c r="V237" s="17">
        <f>IF(AD237=0,"",IF(LEFT(K237,5)="Geler","❄ Gelée",IF(G237="",IF(D237&lt;=TODAY(),"⚠ Indice attendu","À venir"),IF(D237&lt;=TODAY(),"✔ Calculable","Indice connu – à venir"))))</f>
        <v/>
      </c>
      <c r="W237" s="29" t="n"/>
      <c r="X237" s="13" t="n"/>
      <c r="Y237" s="14" t="n"/>
      <c r="Z237" s="14" t="n"/>
      <c r="AA237" s="13" t="n"/>
      <c r="AB237" s="17">
        <f>IF(A237="","",A237&amp;"#"&amp;C237)</f>
        <v/>
      </c>
      <c r="AC237" s="17">
        <f>IF(AND(AD237=1,D237&lt;=TODAY(),N237&lt;&gt;""),1,0)</f>
        <v/>
      </c>
      <c r="AD237" s="17">
        <f>IF(OR(A237="",D237=""),0,IF(AND(ISNUMBER(Baux!$H$21),D237&gt;Baux!$H$21),0,1))</f>
        <v/>
      </c>
    </row>
    <row r="238">
      <c r="A238" s="17">
        <f>IF(Baux!$A$21="","",Baux!$A$21)</f>
        <v/>
      </c>
      <c r="B238" s="17">
        <f>IF(A238="","",Baux!$B$21)</f>
        <v/>
      </c>
      <c r="C238" s="17" t="n">
        <v>9</v>
      </c>
      <c r="D238" s="15">
        <f>IF(OR(A238="",Baux!$F$21="",Baux!$O$21=""),"",EDATE(Baux!$F$21,12*Baux!$O$21*C238))</f>
        <v/>
      </c>
      <c r="E238" s="17">
        <f>IF(AD238=0,"",Baux!$M$21)</f>
        <v/>
      </c>
      <c r="F238" s="17">
        <f>IF(AD238=0,"",IFERROR(TEXT(VALUE(LEFT(Baux!$N$21,4))+C238*Baux!$O$21,"0")&amp;RIGHT(Baux!$N$21,3),""))</f>
        <v/>
      </c>
      <c r="G238" s="25">
        <f>IF(AD238=0,"",IF(F238="","",IF(SUMIFS(Indices_long!$C:$C,Indices_long!$A:$A,E238,Indices_long!$B:$B,F238)=0,"",SUMIFS(Indices_long!$C:$C,Indices_long!$A:$A,E238,Indices_long!$B:$B,F238))))</f>
        <v/>
      </c>
      <c r="H238" s="17">
        <f>IF(AD238=0,"",IF(Baux!$P$21="Base fixe",Baux!$N$21,IF(K237="Geler – rattrapage possible",H237,F237)))</f>
        <v/>
      </c>
      <c r="I238" s="25">
        <f>IF(AD238=0,"",IF(H238="","",IF(SUMIFS(Indices_long!$C:$C,Indices_long!$A:$A,E238,Indices_long!$B:$B,H238)=0,"",SUMIFS(Indices_long!$C:$C,Indices_long!$A:$A,E238,Indices_long!$B:$B,H238))))</f>
        <v/>
      </c>
      <c r="J238" s="26">
        <f>IF(OR(G238="",I238=""),"",G238/I238)</f>
        <v/>
      </c>
      <c r="K238" s="13" t="n"/>
      <c r="L238" s="27">
        <f>IF(AD238=0,"",IF(Baux!$P$21="Base fixe",Baux!$I$21,N237))</f>
        <v/>
      </c>
      <c r="M238" s="27">
        <f>IF(OR(J238="",L238=""),"",ROUND(L238*J238,2))</f>
        <v/>
      </c>
      <c r="N238" s="27">
        <f>IF(AD238=0,"",IF(LEFT(K238,5)="Geler",O238,IF(M238="","",IF(Baux!$Q$21="",M238,MIN(M238,ROUND(L238*(1+Baux!$Q$21/100)^IF(Baux!$P$21="Base fixe",C238*Baux!$O$21,VALUE(LEFT(F238,4))-VALUE(LEFT(H238,4))),2))))))</f>
        <v/>
      </c>
      <c r="O238" s="27">
        <f>IF(AD238=0,"",N237)</f>
        <v/>
      </c>
      <c r="P238" s="28">
        <f>IF(OR(N238="",O238=""),"",N238/O238-1)</f>
        <v/>
      </c>
      <c r="Q238" s="27">
        <f>IF(N238="","",N238/12)</f>
        <v/>
      </c>
      <c r="R238" s="27">
        <f>IF(N238="","",N238/IF(Baux!$L$21="Mensuelle",12,IF(Baux!$L$21="Trimestrielle",4,IF(Baux!$L$21="Semestrielle",2,1))))</f>
        <v/>
      </c>
      <c r="S238" s="27">
        <f>IF(AD238=0,"",IF(Baux!$J$21="",0,Baux!$J$21)/IF(Baux!$L$21="Mensuelle",12,IF(Baux!$L$21="Trimestrielle",4,IF(Baux!$L$21="Semestrielle",2,1))))</f>
        <v/>
      </c>
      <c r="T238" s="27">
        <f>IF(R238="","",(R238+S238)*Baux!$K$21/100)</f>
        <v/>
      </c>
      <c r="U238" s="27">
        <f>IF(R238="","",R238+S238+T238)</f>
        <v/>
      </c>
      <c r="V238" s="17">
        <f>IF(AD238=0,"",IF(LEFT(K238,5)="Geler","❄ Gelée",IF(G238="",IF(D238&lt;=TODAY(),"⚠ Indice attendu","À venir"),IF(D238&lt;=TODAY(),"✔ Calculable","Indice connu – à venir"))))</f>
        <v/>
      </c>
      <c r="W238" s="29" t="n"/>
      <c r="X238" s="13" t="n"/>
      <c r="Y238" s="14" t="n"/>
      <c r="Z238" s="14" t="n"/>
      <c r="AA238" s="13" t="n"/>
      <c r="AB238" s="17">
        <f>IF(A238="","",A238&amp;"#"&amp;C238)</f>
        <v/>
      </c>
      <c r="AC238" s="17">
        <f>IF(AND(AD238=1,D238&lt;=TODAY(),N238&lt;&gt;""),1,0)</f>
        <v/>
      </c>
      <c r="AD238" s="17">
        <f>IF(OR(A238="",D238=""),0,IF(AND(ISNUMBER(Baux!$H$21),D238&gt;Baux!$H$21),0,1))</f>
        <v/>
      </c>
    </row>
    <row r="239">
      <c r="A239" s="17">
        <f>IF(Baux!$A$21="","",Baux!$A$21)</f>
        <v/>
      </c>
      <c r="B239" s="17">
        <f>IF(A239="","",Baux!$B$21)</f>
        <v/>
      </c>
      <c r="C239" s="17" t="n">
        <v>10</v>
      </c>
      <c r="D239" s="15">
        <f>IF(OR(A239="",Baux!$F$21="",Baux!$O$21=""),"",EDATE(Baux!$F$21,12*Baux!$O$21*C239))</f>
        <v/>
      </c>
      <c r="E239" s="17">
        <f>IF(AD239=0,"",Baux!$M$21)</f>
        <v/>
      </c>
      <c r="F239" s="17">
        <f>IF(AD239=0,"",IFERROR(TEXT(VALUE(LEFT(Baux!$N$21,4))+C239*Baux!$O$21,"0")&amp;RIGHT(Baux!$N$21,3),""))</f>
        <v/>
      </c>
      <c r="G239" s="25">
        <f>IF(AD239=0,"",IF(F239="","",IF(SUMIFS(Indices_long!$C:$C,Indices_long!$A:$A,E239,Indices_long!$B:$B,F239)=0,"",SUMIFS(Indices_long!$C:$C,Indices_long!$A:$A,E239,Indices_long!$B:$B,F239))))</f>
        <v/>
      </c>
      <c r="H239" s="17">
        <f>IF(AD239=0,"",IF(Baux!$P$21="Base fixe",Baux!$N$21,IF(K238="Geler – rattrapage possible",H238,F238)))</f>
        <v/>
      </c>
      <c r="I239" s="25">
        <f>IF(AD239=0,"",IF(H239="","",IF(SUMIFS(Indices_long!$C:$C,Indices_long!$A:$A,E239,Indices_long!$B:$B,H239)=0,"",SUMIFS(Indices_long!$C:$C,Indices_long!$A:$A,E239,Indices_long!$B:$B,H239))))</f>
        <v/>
      </c>
      <c r="J239" s="26">
        <f>IF(OR(G239="",I239=""),"",G239/I239)</f>
        <v/>
      </c>
      <c r="K239" s="13" t="n"/>
      <c r="L239" s="27">
        <f>IF(AD239=0,"",IF(Baux!$P$21="Base fixe",Baux!$I$21,N238))</f>
        <v/>
      </c>
      <c r="M239" s="27">
        <f>IF(OR(J239="",L239=""),"",ROUND(L239*J239,2))</f>
        <v/>
      </c>
      <c r="N239" s="27">
        <f>IF(AD239=0,"",IF(LEFT(K239,5)="Geler",O239,IF(M239="","",IF(Baux!$Q$21="",M239,MIN(M239,ROUND(L239*(1+Baux!$Q$21/100)^IF(Baux!$P$21="Base fixe",C239*Baux!$O$21,VALUE(LEFT(F239,4))-VALUE(LEFT(H239,4))),2))))))</f>
        <v/>
      </c>
      <c r="O239" s="27">
        <f>IF(AD239=0,"",N238)</f>
        <v/>
      </c>
      <c r="P239" s="28">
        <f>IF(OR(N239="",O239=""),"",N239/O239-1)</f>
        <v/>
      </c>
      <c r="Q239" s="27">
        <f>IF(N239="","",N239/12)</f>
        <v/>
      </c>
      <c r="R239" s="27">
        <f>IF(N239="","",N239/IF(Baux!$L$21="Mensuelle",12,IF(Baux!$L$21="Trimestrielle",4,IF(Baux!$L$21="Semestrielle",2,1))))</f>
        <v/>
      </c>
      <c r="S239" s="27">
        <f>IF(AD239=0,"",IF(Baux!$J$21="",0,Baux!$J$21)/IF(Baux!$L$21="Mensuelle",12,IF(Baux!$L$21="Trimestrielle",4,IF(Baux!$L$21="Semestrielle",2,1))))</f>
        <v/>
      </c>
      <c r="T239" s="27">
        <f>IF(R239="","",(R239+S239)*Baux!$K$21/100)</f>
        <v/>
      </c>
      <c r="U239" s="27">
        <f>IF(R239="","",R239+S239+T239)</f>
        <v/>
      </c>
      <c r="V239" s="17">
        <f>IF(AD239=0,"",IF(LEFT(K239,5)="Geler","❄ Gelée",IF(G239="",IF(D239&lt;=TODAY(),"⚠ Indice attendu","À venir"),IF(D239&lt;=TODAY(),"✔ Calculable","Indice connu – à venir"))))</f>
        <v/>
      </c>
      <c r="W239" s="29" t="n"/>
      <c r="X239" s="13" t="n"/>
      <c r="Y239" s="14" t="n"/>
      <c r="Z239" s="14" t="n"/>
      <c r="AA239" s="13" t="n"/>
      <c r="AB239" s="17">
        <f>IF(A239="","",A239&amp;"#"&amp;C239)</f>
        <v/>
      </c>
      <c r="AC239" s="17">
        <f>IF(AND(AD239=1,D239&lt;=TODAY(),N239&lt;&gt;""),1,0)</f>
        <v/>
      </c>
      <c r="AD239" s="17">
        <f>IF(OR(A239="",D239=""),0,IF(AND(ISNUMBER(Baux!$H$21),D239&gt;Baux!$H$21),0,1))</f>
        <v/>
      </c>
    </row>
    <row r="240">
      <c r="A240" s="17">
        <f>IF(Baux!$A$21="","",Baux!$A$21)</f>
        <v/>
      </c>
      <c r="B240" s="17">
        <f>IF(A240="","",Baux!$B$21)</f>
        <v/>
      </c>
      <c r="C240" s="17" t="n">
        <v>11</v>
      </c>
      <c r="D240" s="15">
        <f>IF(OR(A240="",Baux!$F$21="",Baux!$O$21=""),"",EDATE(Baux!$F$21,12*Baux!$O$21*C240))</f>
        <v/>
      </c>
      <c r="E240" s="17">
        <f>IF(AD240=0,"",Baux!$M$21)</f>
        <v/>
      </c>
      <c r="F240" s="17">
        <f>IF(AD240=0,"",IFERROR(TEXT(VALUE(LEFT(Baux!$N$21,4))+C240*Baux!$O$21,"0")&amp;RIGHT(Baux!$N$21,3),""))</f>
        <v/>
      </c>
      <c r="G240" s="25">
        <f>IF(AD240=0,"",IF(F240="","",IF(SUMIFS(Indices_long!$C:$C,Indices_long!$A:$A,E240,Indices_long!$B:$B,F240)=0,"",SUMIFS(Indices_long!$C:$C,Indices_long!$A:$A,E240,Indices_long!$B:$B,F240))))</f>
        <v/>
      </c>
      <c r="H240" s="17">
        <f>IF(AD240=0,"",IF(Baux!$P$21="Base fixe",Baux!$N$21,IF(K239="Geler – rattrapage possible",H239,F239)))</f>
        <v/>
      </c>
      <c r="I240" s="25">
        <f>IF(AD240=0,"",IF(H240="","",IF(SUMIFS(Indices_long!$C:$C,Indices_long!$A:$A,E240,Indices_long!$B:$B,H240)=0,"",SUMIFS(Indices_long!$C:$C,Indices_long!$A:$A,E240,Indices_long!$B:$B,H240))))</f>
        <v/>
      </c>
      <c r="J240" s="26">
        <f>IF(OR(G240="",I240=""),"",G240/I240)</f>
        <v/>
      </c>
      <c r="K240" s="13" t="n"/>
      <c r="L240" s="27">
        <f>IF(AD240=0,"",IF(Baux!$P$21="Base fixe",Baux!$I$21,N239))</f>
        <v/>
      </c>
      <c r="M240" s="27">
        <f>IF(OR(J240="",L240=""),"",ROUND(L240*J240,2))</f>
        <v/>
      </c>
      <c r="N240" s="27">
        <f>IF(AD240=0,"",IF(LEFT(K240,5)="Geler",O240,IF(M240="","",IF(Baux!$Q$21="",M240,MIN(M240,ROUND(L240*(1+Baux!$Q$21/100)^IF(Baux!$P$21="Base fixe",C240*Baux!$O$21,VALUE(LEFT(F240,4))-VALUE(LEFT(H240,4))),2))))))</f>
        <v/>
      </c>
      <c r="O240" s="27">
        <f>IF(AD240=0,"",N239)</f>
        <v/>
      </c>
      <c r="P240" s="28">
        <f>IF(OR(N240="",O240=""),"",N240/O240-1)</f>
        <v/>
      </c>
      <c r="Q240" s="27">
        <f>IF(N240="","",N240/12)</f>
        <v/>
      </c>
      <c r="R240" s="27">
        <f>IF(N240="","",N240/IF(Baux!$L$21="Mensuelle",12,IF(Baux!$L$21="Trimestrielle",4,IF(Baux!$L$21="Semestrielle",2,1))))</f>
        <v/>
      </c>
      <c r="S240" s="27">
        <f>IF(AD240=0,"",IF(Baux!$J$21="",0,Baux!$J$21)/IF(Baux!$L$21="Mensuelle",12,IF(Baux!$L$21="Trimestrielle",4,IF(Baux!$L$21="Semestrielle",2,1))))</f>
        <v/>
      </c>
      <c r="T240" s="27">
        <f>IF(R240="","",(R240+S240)*Baux!$K$21/100)</f>
        <v/>
      </c>
      <c r="U240" s="27">
        <f>IF(R240="","",R240+S240+T240)</f>
        <v/>
      </c>
      <c r="V240" s="17">
        <f>IF(AD240=0,"",IF(LEFT(K240,5)="Geler","❄ Gelée",IF(G240="",IF(D240&lt;=TODAY(),"⚠ Indice attendu","À venir"),IF(D240&lt;=TODAY(),"✔ Calculable","Indice connu – à venir"))))</f>
        <v/>
      </c>
      <c r="W240" s="29" t="n"/>
      <c r="X240" s="13" t="n"/>
      <c r="Y240" s="14" t="n"/>
      <c r="Z240" s="14" t="n"/>
      <c r="AA240" s="13" t="n"/>
      <c r="AB240" s="17">
        <f>IF(A240="","",A240&amp;"#"&amp;C240)</f>
        <v/>
      </c>
      <c r="AC240" s="17">
        <f>IF(AND(AD240=1,D240&lt;=TODAY(),N240&lt;&gt;""),1,0)</f>
        <v/>
      </c>
      <c r="AD240" s="17">
        <f>IF(OR(A240="",D240=""),0,IF(AND(ISNUMBER(Baux!$H$21),D240&gt;Baux!$H$21),0,1))</f>
        <v/>
      </c>
    </row>
    <row r="241">
      <c r="A241" s="17">
        <f>IF(Baux!$A$21="","",Baux!$A$21)</f>
        <v/>
      </c>
      <c r="B241" s="17">
        <f>IF(A241="","",Baux!$B$21)</f>
        <v/>
      </c>
      <c r="C241" s="17" t="n">
        <v>12</v>
      </c>
      <c r="D241" s="15">
        <f>IF(OR(A241="",Baux!$F$21="",Baux!$O$21=""),"",EDATE(Baux!$F$21,12*Baux!$O$21*C241))</f>
        <v/>
      </c>
      <c r="E241" s="17">
        <f>IF(AD241=0,"",Baux!$M$21)</f>
        <v/>
      </c>
      <c r="F241" s="17">
        <f>IF(AD241=0,"",IFERROR(TEXT(VALUE(LEFT(Baux!$N$21,4))+C241*Baux!$O$21,"0")&amp;RIGHT(Baux!$N$21,3),""))</f>
        <v/>
      </c>
      <c r="G241" s="25">
        <f>IF(AD241=0,"",IF(F241="","",IF(SUMIFS(Indices_long!$C:$C,Indices_long!$A:$A,E241,Indices_long!$B:$B,F241)=0,"",SUMIFS(Indices_long!$C:$C,Indices_long!$A:$A,E241,Indices_long!$B:$B,F241))))</f>
        <v/>
      </c>
      <c r="H241" s="17">
        <f>IF(AD241=0,"",IF(Baux!$P$21="Base fixe",Baux!$N$21,IF(K240="Geler – rattrapage possible",H240,F240)))</f>
        <v/>
      </c>
      <c r="I241" s="25">
        <f>IF(AD241=0,"",IF(H241="","",IF(SUMIFS(Indices_long!$C:$C,Indices_long!$A:$A,E241,Indices_long!$B:$B,H241)=0,"",SUMIFS(Indices_long!$C:$C,Indices_long!$A:$A,E241,Indices_long!$B:$B,H241))))</f>
        <v/>
      </c>
      <c r="J241" s="26">
        <f>IF(OR(G241="",I241=""),"",G241/I241)</f>
        <v/>
      </c>
      <c r="K241" s="13" t="n"/>
      <c r="L241" s="27">
        <f>IF(AD241=0,"",IF(Baux!$P$21="Base fixe",Baux!$I$21,N240))</f>
        <v/>
      </c>
      <c r="M241" s="27">
        <f>IF(OR(J241="",L241=""),"",ROUND(L241*J241,2))</f>
        <v/>
      </c>
      <c r="N241" s="27">
        <f>IF(AD241=0,"",IF(LEFT(K241,5)="Geler",O241,IF(M241="","",IF(Baux!$Q$21="",M241,MIN(M241,ROUND(L241*(1+Baux!$Q$21/100)^IF(Baux!$P$21="Base fixe",C241*Baux!$O$21,VALUE(LEFT(F241,4))-VALUE(LEFT(H241,4))),2))))))</f>
        <v/>
      </c>
      <c r="O241" s="27">
        <f>IF(AD241=0,"",N240)</f>
        <v/>
      </c>
      <c r="P241" s="28">
        <f>IF(OR(N241="",O241=""),"",N241/O241-1)</f>
        <v/>
      </c>
      <c r="Q241" s="27">
        <f>IF(N241="","",N241/12)</f>
        <v/>
      </c>
      <c r="R241" s="27">
        <f>IF(N241="","",N241/IF(Baux!$L$21="Mensuelle",12,IF(Baux!$L$21="Trimestrielle",4,IF(Baux!$L$21="Semestrielle",2,1))))</f>
        <v/>
      </c>
      <c r="S241" s="27">
        <f>IF(AD241=0,"",IF(Baux!$J$21="",0,Baux!$J$21)/IF(Baux!$L$21="Mensuelle",12,IF(Baux!$L$21="Trimestrielle",4,IF(Baux!$L$21="Semestrielle",2,1))))</f>
        <v/>
      </c>
      <c r="T241" s="27">
        <f>IF(R241="","",(R241+S241)*Baux!$K$21/100)</f>
        <v/>
      </c>
      <c r="U241" s="27">
        <f>IF(R241="","",R241+S241+T241)</f>
        <v/>
      </c>
      <c r="V241" s="17">
        <f>IF(AD241=0,"",IF(LEFT(K241,5)="Geler","❄ Gelée",IF(G241="",IF(D241&lt;=TODAY(),"⚠ Indice attendu","À venir"),IF(D241&lt;=TODAY(),"✔ Calculable","Indice connu – à venir"))))</f>
        <v/>
      </c>
      <c r="W241" s="29" t="n"/>
      <c r="X241" s="13" t="n"/>
      <c r="Y241" s="14" t="n"/>
      <c r="Z241" s="14" t="n"/>
      <c r="AA241" s="13" t="n"/>
      <c r="AB241" s="17">
        <f>IF(A241="","",A241&amp;"#"&amp;C241)</f>
        <v/>
      </c>
      <c r="AC241" s="17">
        <f>IF(AND(AD241=1,D241&lt;=TODAY(),N241&lt;&gt;""),1,0)</f>
        <v/>
      </c>
      <c r="AD241" s="17">
        <f>IF(OR(A241="",D241=""),0,IF(AND(ISNUMBER(Baux!$H$21),D241&gt;Baux!$H$21),0,1))</f>
        <v/>
      </c>
    </row>
    <row r="242">
      <c r="A242" s="17">
        <f>IF(Baux!$A$22="","",Baux!$A$22)</f>
        <v/>
      </c>
      <c r="B242" s="17">
        <f>IF(A242="","",Baux!$B$22)</f>
        <v/>
      </c>
      <c r="C242" s="17" t="n">
        <v>1</v>
      </c>
      <c r="D242" s="15">
        <f>IF(OR(A242="",Baux!$F$22="",Baux!$O$22=""),"",EDATE(Baux!$F$22,12*Baux!$O$22*C242))</f>
        <v/>
      </c>
      <c r="E242" s="17">
        <f>IF(AD242=0,"",Baux!$M$22)</f>
        <v/>
      </c>
      <c r="F242" s="17">
        <f>IF(AD242=0,"",IFERROR(TEXT(VALUE(LEFT(Baux!$N$22,4))+C242*Baux!$O$22,"0")&amp;RIGHT(Baux!$N$22,3),""))</f>
        <v/>
      </c>
      <c r="G242" s="25">
        <f>IF(AD242=0,"",IF(F242="","",IF(SUMIFS(Indices_long!$C:$C,Indices_long!$A:$A,E242,Indices_long!$B:$B,F242)=0,"",SUMIFS(Indices_long!$C:$C,Indices_long!$A:$A,E242,Indices_long!$B:$B,F242))))</f>
        <v/>
      </c>
      <c r="H242" s="17">
        <f>IF(AD242=0,"",Baux!$N$22)</f>
        <v/>
      </c>
      <c r="I242" s="25">
        <f>IF(AD242=0,"",IF(H242="","",IF(SUMIFS(Indices_long!$C:$C,Indices_long!$A:$A,E242,Indices_long!$B:$B,H242)=0,"",SUMIFS(Indices_long!$C:$C,Indices_long!$A:$A,E242,Indices_long!$B:$B,H242))))</f>
        <v/>
      </c>
      <c r="J242" s="26">
        <f>IF(OR(G242="",I242=""),"",G242/I242)</f>
        <v/>
      </c>
      <c r="K242" s="13" t="n"/>
      <c r="L242" s="27">
        <f>IF(AD242=0,"",Baux!$I$22)</f>
        <v/>
      </c>
      <c r="M242" s="27">
        <f>IF(OR(J242="",L242=""),"",ROUND(L242*J242,2))</f>
        <v/>
      </c>
      <c r="N242" s="27">
        <f>IF(AD242=0,"",IF(LEFT(K242,5)="Geler",O242,IF(M242="","",IF(Baux!$Q$22="",M242,MIN(M242,ROUND(L242*(1+Baux!$Q$22/100)^IF(Baux!$P$22="Base fixe",C242*Baux!$O$22,VALUE(LEFT(F242,4))-VALUE(LEFT(H242,4))),2))))))</f>
        <v/>
      </c>
      <c r="O242" s="27">
        <f>IF(AD242=0,"",Baux!$I$22)</f>
        <v/>
      </c>
      <c r="P242" s="28">
        <f>IF(OR(N242="",O242=""),"",N242/O242-1)</f>
        <v/>
      </c>
      <c r="Q242" s="27">
        <f>IF(N242="","",N242/12)</f>
        <v/>
      </c>
      <c r="R242" s="27">
        <f>IF(N242="","",N242/IF(Baux!$L$22="Mensuelle",12,IF(Baux!$L$22="Trimestrielle",4,IF(Baux!$L$22="Semestrielle",2,1))))</f>
        <v/>
      </c>
      <c r="S242" s="27">
        <f>IF(AD242=0,"",IF(Baux!$J$22="",0,Baux!$J$22)/IF(Baux!$L$22="Mensuelle",12,IF(Baux!$L$22="Trimestrielle",4,IF(Baux!$L$22="Semestrielle",2,1))))</f>
        <v/>
      </c>
      <c r="T242" s="27">
        <f>IF(R242="","",(R242+S242)*Baux!$K$22/100)</f>
        <v/>
      </c>
      <c r="U242" s="27">
        <f>IF(R242="","",R242+S242+T242)</f>
        <v/>
      </c>
      <c r="V242" s="17">
        <f>IF(AD242=0,"",IF(LEFT(K242,5)="Geler","❄ Gelée",IF(G242="",IF(D242&lt;=TODAY(),"⚠ Indice attendu","À venir"),IF(D242&lt;=TODAY(),"✔ Calculable","Indice connu – à venir"))))</f>
        <v/>
      </c>
      <c r="W242" s="29" t="n"/>
      <c r="X242" s="13" t="n"/>
      <c r="Y242" s="14" t="n"/>
      <c r="Z242" s="14" t="n"/>
      <c r="AA242" s="13" t="n"/>
      <c r="AB242" s="17">
        <f>IF(A242="","",A242&amp;"#"&amp;C242)</f>
        <v/>
      </c>
      <c r="AC242" s="17">
        <f>IF(AND(AD242=1,D242&lt;=TODAY(),N242&lt;&gt;""),1,0)</f>
        <v/>
      </c>
      <c r="AD242" s="17">
        <f>IF(OR(A242="",D242=""),0,IF(AND(ISNUMBER(Baux!$H$22),D242&gt;Baux!$H$22),0,1))</f>
        <v/>
      </c>
    </row>
    <row r="243">
      <c r="A243" s="17">
        <f>IF(Baux!$A$22="","",Baux!$A$22)</f>
        <v/>
      </c>
      <c r="B243" s="17">
        <f>IF(A243="","",Baux!$B$22)</f>
        <v/>
      </c>
      <c r="C243" s="17" t="n">
        <v>2</v>
      </c>
      <c r="D243" s="15">
        <f>IF(OR(A243="",Baux!$F$22="",Baux!$O$22=""),"",EDATE(Baux!$F$22,12*Baux!$O$22*C243))</f>
        <v/>
      </c>
      <c r="E243" s="17">
        <f>IF(AD243=0,"",Baux!$M$22)</f>
        <v/>
      </c>
      <c r="F243" s="17">
        <f>IF(AD243=0,"",IFERROR(TEXT(VALUE(LEFT(Baux!$N$22,4))+C243*Baux!$O$22,"0")&amp;RIGHT(Baux!$N$22,3),""))</f>
        <v/>
      </c>
      <c r="G243" s="25">
        <f>IF(AD243=0,"",IF(F243="","",IF(SUMIFS(Indices_long!$C:$C,Indices_long!$A:$A,E243,Indices_long!$B:$B,F243)=0,"",SUMIFS(Indices_long!$C:$C,Indices_long!$A:$A,E243,Indices_long!$B:$B,F243))))</f>
        <v/>
      </c>
      <c r="H243" s="17">
        <f>IF(AD243=0,"",IF(Baux!$P$22="Base fixe",Baux!$N$22,IF(K242="Geler – rattrapage possible",H242,F242)))</f>
        <v/>
      </c>
      <c r="I243" s="25">
        <f>IF(AD243=0,"",IF(H243="","",IF(SUMIFS(Indices_long!$C:$C,Indices_long!$A:$A,E243,Indices_long!$B:$B,H243)=0,"",SUMIFS(Indices_long!$C:$C,Indices_long!$A:$A,E243,Indices_long!$B:$B,H243))))</f>
        <v/>
      </c>
      <c r="J243" s="26">
        <f>IF(OR(G243="",I243=""),"",G243/I243)</f>
        <v/>
      </c>
      <c r="K243" s="13" t="n"/>
      <c r="L243" s="27">
        <f>IF(AD243=0,"",IF(Baux!$P$22="Base fixe",Baux!$I$22,N242))</f>
        <v/>
      </c>
      <c r="M243" s="27">
        <f>IF(OR(J243="",L243=""),"",ROUND(L243*J243,2))</f>
        <v/>
      </c>
      <c r="N243" s="27">
        <f>IF(AD243=0,"",IF(LEFT(K243,5)="Geler",O243,IF(M243="","",IF(Baux!$Q$22="",M243,MIN(M243,ROUND(L243*(1+Baux!$Q$22/100)^IF(Baux!$P$22="Base fixe",C243*Baux!$O$22,VALUE(LEFT(F243,4))-VALUE(LEFT(H243,4))),2))))))</f>
        <v/>
      </c>
      <c r="O243" s="27">
        <f>IF(AD243=0,"",N242)</f>
        <v/>
      </c>
      <c r="P243" s="28">
        <f>IF(OR(N243="",O243=""),"",N243/O243-1)</f>
        <v/>
      </c>
      <c r="Q243" s="27">
        <f>IF(N243="","",N243/12)</f>
        <v/>
      </c>
      <c r="R243" s="27">
        <f>IF(N243="","",N243/IF(Baux!$L$22="Mensuelle",12,IF(Baux!$L$22="Trimestrielle",4,IF(Baux!$L$22="Semestrielle",2,1))))</f>
        <v/>
      </c>
      <c r="S243" s="27">
        <f>IF(AD243=0,"",IF(Baux!$J$22="",0,Baux!$J$22)/IF(Baux!$L$22="Mensuelle",12,IF(Baux!$L$22="Trimestrielle",4,IF(Baux!$L$22="Semestrielle",2,1))))</f>
        <v/>
      </c>
      <c r="T243" s="27">
        <f>IF(R243="","",(R243+S243)*Baux!$K$22/100)</f>
        <v/>
      </c>
      <c r="U243" s="27">
        <f>IF(R243="","",R243+S243+T243)</f>
        <v/>
      </c>
      <c r="V243" s="17">
        <f>IF(AD243=0,"",IF(LEFT(K243,5)="Geler","❄ Gelée",IF(G243="",IF(D243&lt;=TODAY(),"⚠ Indice attendu","À venir"),IF(D243&lt;=TODAY(),"✔ Calculable","Indice connu – à venir"))))</f>
        <v/>
      </c>
      <c r="W243" s="29" t="n"/>
      <c r="X243" s="13" t="n"/>
      <c r="Y243" s="14" t="n"/>
      <c r="Z243" s="14" t="n"/>
      <c r="AA243" s="13" t="n"/>
      <c r="AB243" s="17">
        <f>IF(A243="","",A243&amp;"#"&amp;C243)</f>
        <v/>
      </c>
      <c r="AC243" s="17">
        <f>IF(AND(AD243=1,D243&lt;=TODAY(),N243&lt;&gt;""),1,0)</f>
        <v/>
      </c>
      <c r="AD243" s="17">
        <f>IF(OR(A243="",D243=""),0,IF(AND(ISNUMBER(Baux!$H$22),D243&gt;Baux!$H$22),0,1))</f>
        <v/>
      </c>
    </row>
    <row r="244">
      <c r="A244" s="17">
        <f>IF(Baux!$A$22="","",Baux!$A$22)</f>
        <v/>
      </c>
      <c r="B244" s="17">
        <f>IF(A244="","",Baux!$B$22)</f>
        <v/>
      </c>
      <c r="C244" s="17" t="n">
        <v>3</v>
      </c>
      <c r="D244" s="15">
        <f>IF(OR(A244="",Baux!$F$22="",Baux!$O$22=""),"",EDATE(Baux!$F$22,12*Baux!$O$22*C244))</f>
        <v/>
      </c>
      <c r="E244" s="17">
        <f>IF(AD244=0,"",Baux!$M$22)</f>
        <v/>
      </c>
      <c r="F244" s="17">
        <f>IF(AD244=0,"",IFERROR(TEXT(VALUE(LEFT(Baux!$N$22,4))+C244*Baux!$O$22,"0")&amp;RIGHT(Baux!$N$22,3),""))</f>
        <v/>
      </c>
      <c r="G244" s="25">
        <f>IF(AD244=0,"",IF(F244="","",IF(SUMIFS(Indices_long!$C:$C,Indices_long!$A:$A,E244,Indices_long!$B:$B,F244)=0,"",SUMIFS(Indices_long!$C:$C,Indices_long!$A:$A,E244,Indices_long!$B:$B,F244))))</f>
        <v/>
      </c>
      <c r="H244" s="17">
        <f>IF(AD244=0,"",IF(Baux!$P$22="Base fixe",Baux!$N$22,IF(K243="Geler – rattrapage possible",H243,F243)))</f>
        <v/>
      </c>
      <c r="I244" s="25">
        <f>IF(AD244=0,"",IF(H244="","",IF(SUMIFS(Indices_long!$C:$C,Indices_long!$A:$A,E244,Indices_long!$B:$B,H244)=0,"",SUMIFS(Indices_long!$C:$C,Indices_long!$A:$A,E244,Indices_long!$B:$B,H244))))</f>
        <v/>
      </c>
      <c r="J244" s="26">
        <f>IF(OR(G244="",I244=""),"",G244/I244)</f>
        <v/>
      </c>
      <c r="K244" s="13" t="n"/>
      <c r="L244" s="27">
        <f>IF(AD244=0,"",IF(Baux!$P$22="Base fixe",Baux!$I$22,N243))</f>
        <v/>
      </c>
      <c r="M244" s="27">
        <f>IF(OR(J244="",L244=""),"",ROUND(L244*J244,2))</f>
        <v/>
      </c>
      <c r="N244" s="27">
        <f>IF(AD244=0,"",IF(LEFT(K244,5)="Geler",O244,IF(M244="","",IF(Baux!$Q$22="",M244,MIN(M244,ROUND(L244*(1+Baux!$Q$22/100)^IF(Baux!$P$22="Base fixe",C244*Baux!$O$22,VALUE(LEFT(F244,4))-VALUE(LEFT(H244,4))),2))))))</f>
        <v/>
      </c>
      <c r="O244" s="27">
        <f>IF(AD244=0,"",N243)</f>
        <v/>
      </c>
      <c r="P244" s="28">
        <f>IF(OR(N244="",O244=""),"",N244/O244-1)</f>
        <v/>
      </c>
      <c r="Q244" s="27">
        <f>IF(N244="","",N244/12)</f>
        <v/>
      </c>
      <c r="R244" s="27">
        <f>IF(N244="","",N244/IF(Baux!$L$22="Mensuelle",12,IF(Baux!$L$22="Trimestrielle",4,IF(Baux!$L$22="Semestrielle",2,1))))</f>
        <v/>
      </c>
      <c r="S244" s="27">
        <f>IF(AD244=0,"",IF(Baux!$J$22="",0,Baux!$J$22)/IF(Baux!$L$22="Mensuelle",12,IF(Baux!$L$22="Trimestrielle",4,IF(Baux!$L$22="Semestrielle",2,1))))</f>
        <v/>
      </c>
      <c r="T244" s="27">
        <f>IF(R244="","",(R244+S244)*Baux!$K$22/100)</f>
        <v/>
      </c>
      <c r="U244" s="27">
        <f>IF(R244="","",R244+S244+T244)</f>
        <v/>
      </c>
      <c r="V244" s="17">
        <f>IF(AD244=0,"",IF(LEFT(K244,5)="Geler","❄ Gelée",IF(G244="",IF(D244&lt;=TODAY(),"⚠ Indice attendu","À venir"),IF(D244&lt;=TODAY(),"✔ Calculable","Indice connu – à venir"))))</f>
        <v/>
      </c>
      <c r="W244" s="29" t="n"/>
      <c r="X244" s="13" t="n"/>
      <c r="Y244" s="14" t="n"/>
      <c r="Z244" s="14" t="n"/>
      <c r="AA244" s="13" t="n"/>
      <c r="AB244" s="17">
        <f>IF(A244="","",A244&amp;"#"&amp;C244)</f>
        <v/>
      </c>
      <c r="AC244" s="17">
        <f>IF(AND(AD244=1,D244&lt;=TODAY(),N244&lt;&gt;""),1,0)</f>
        <v/>
      </c>
      <c r="AD244" s="17">
        <f>IF(OR(A244="",D244=""),0,IF(AND(ISNUMBER(Baux!$H$22),D244&gt;Baux!$H$22),0,1))</f>
        <v/>
      </c>
    </row>
    <row r="245">
      <c r="A245" s="17">
        <f>IF(Baux!$A$22="","",Baux!$A$22)</f>
        <v/>
      </c>
      <c r="B245" s="17">
        <f>IF(A245="","",Baux!$B$22)</f>
        <v/>
      </c>
      <c r="C245" s="17" t="n">
        <v>4</v>
      </c>
      <c r="D245" s="15">
        <f>IF(OR(A245="",Baux!$F$22="",Baux!$O$22=""),"",EDATE(Baux!$F$22,12*Baux!$O$22*C245))</f>
        <v/>
      </c>
      <c r="E245" s="17">
        <f>IF(AD245=0,"",Baux!$M$22)</f>
        <v/>
      </c>
      <c r="F245" s="17">
        <f>IF(AD245=0,"",IFERROR(TEXT(VALUE(LEFT(Baux!$N$22,4))+C245*Baux!$O$22,"0")&amp;RIGHT(Baux!$N$22,3),""))</f>
        <v/>
      </c>
      <c r="G245" s="25">
        <f>IF(AD245=0,"",IF(F245="","",IF(SUMIFS(Indices_long!$C:$C,Indices_long!$A:$A,E245,Indices_long!$B:$B,F245)=0,"",SUMIFS(Indices_long!$C:$C,Indices_long!$A:$A,E245,Indices_long!$B:$B,F245))))</f>
        <v/>
      </c>
      <c r="H245" s="17">
        <f>IF(AD245=0,"",IF(Baux!$P$22="Base fixe",Baux!$N$22,IF(K244="Geler – rattrapage possible",H244,F244)))</f>
        <v/>
      </c>
      <c r="I245" s="25">
        <f>IF(AD245=0,"",IF(H245="","",IF(SUMIFS(Indices_long!$C:$C,Indices_long!$A:$A,E245,Indices_long!$B:$B,H245)=0,"",SUMIFS(Indices_long!$C:$C,Indices_long!$A:$A,E245,Indices_long!$B:$B,H245))))</f>
        <v/>
      </c>
      <c r="J245" s="26">
        <f>IF(OR(G245="",I245=""),"",G245/I245)</f>
        <v/>
      </c>
      <c r="K245" s="13" t="n"/>
      <c r="L245" s="27">
        <f>IF(AD245=0,"",IF(Baux!$P$22="Base fixe",Baux!$I$22,N244))</f>
        <v/>
      </c>
      <c r="M245" s="27">
        <f>IF(OR(J245="",L245=""),"",ROUND(L245*J245,2))</f>
        <v/>
      </c>
      <c r="N245" s="27">
        <f>IF(AD245=0,"",IF(LEFT(K245,5)="Geler",O245,IF(M245="","",IF(Baux!$Q$22="",M245,MIN(M245,ROUND(L245*(1+Baux!$Q$22/100)^IF(Baux!$P$22="Base fixe",C245*Baux!$O$22,VALUE(LEFT(F245,4))-VALUE(LEFT(H245,4))),2))))))</f>
        <v/>
      </c>
      <c r="O245" s="27">
        <f>IF(AD245=0,"",N244)</f>
        <v/>
      </c>
      <c r="P245" s="28">
        <f>IF(OR(N245="",O245=""),"",N245/O245-1)</f>
        <v/>
      </c>
      <c r="Q245" s="27">
        <f>IF(N245="","",N245/12)</f>
        <v/>
      </c>
      <c r="R245" s="27">
        <f>IF(N245="","",N245/IF(Baux!$L$22="Mensuelle",12,IF(Baux!$L$22="Trimestrielle",4,IF(Baux!$L$22="Semestrielle",2,1))))</f>
        <v/>
      </c>
      <c r="S245" s="27">
        <f>IF(AD245=0,"",IF(Baux!$J$22="",0,Baux!$J$22)/IF(Baux!$L$22="Mensuelle",12,IF(Baux!$L$22="Trimestrielle",4,IF(Baux!$L$22="Semestrielle",2,1))))</f>
        <v/>
      </c>
      <c r="T245" s="27">
        <f>IF(R245="","",(R245+S245)*Baux!$K$22/100)</f>
        <v/>
      </c>
      <c r="U245" s="27">
        <f>IF(R245="","",R245+S245+T245)</f>
        <v/>
      </c>
      <c r="V245" s="17">
        <f>IF(AD245=0,"",IF(LEFT(K245,5)="Geler","❄ Gelée",IF(G245="",IF(D245&lt;=TODAY(),"⚠ Indice attendu","À venir"),IF(D245&lt;=TODAY(),"✔ Calculable","Indice connu – à venir"))))</f>
        <v/>
      </c>
      <c r="W245" s="29" t="n"/>
      <c r="X245" s="13" t="n"/>
      <c r="Y245" s="14" t="n"/>
      <c r="Z245" s="14" t="n"/>
      <c r="AA245" s="13" t="n"/>
      <c r="AB245" s="17">
        <f>IF(A245="","",A245&amp;"#"&amp;C245)</f>
        <v/>
      </c>
      <c r="AC245" s="17">
        <f>IF(AND(AD245=1,D245&lt;=TODAY(),N245&lt;&gt;""),1,0)</f>
        <v/>
      </c>
      <c r="AD245" s="17">
        <f>IF(OR(A245="",D245=""),0,IF(AND(ISNUMBER(Baux!$H$22),D245&gt;Baux!$H$22),0,1))</f>
        <v/>
      </c>
    </row>
    <row r="246">
      <c r="A246" s="17">
        <f>IF(Baux!$A$22="","",Baux!$A$22)</f>
        <v/>
      </c>
      <c r="B246" s="17">
        <f>IF(A246="","",Baux!$B$22)</f>
        <v/>
      </c>
      <c r="C246" s="17" t="n">
        <v>5</v>
      </c>
      <c r="D246" s="15">
        <f>IF(OR(A246="",Baux!$F$22="",Baux!$O$22=""),"",EDATE(Baux!$F$22,12*Baux!$O$22*C246))</f>
        <v/>
      </c>
      <c r="E246" s="17">
        <f>IF(AD246=0,"",Baux!$M$22)</f>
        <v/>
      </c>
      <c r="F246" s="17">
        <f>IF(AD246=0,"",IFERROR(TEXT(VALUE(LEFT(Baux!$N$22,4))+C246*Baux!$O$22,"0")&amp;RIGHT(Baux!$N$22,3),""))</f>
        <v/>
      </c>
      <c r="G246" s="25">
        <f>IF(AD246=0,"",IF(F246="","",IF(SUMIFS(Indices_long!$C:$C,Indices_long!$A:$A,E246,Indices_long!$B:$B,F246)=0,"",SUMIFS(Indices_long!$C:$C,Indices_long!$A:$A,E246,Indices_long!$B:$B,F246))))</f>
        <v/>
      </c>
      <c r="H246" s="17">
        <f>IF(AD246=0,"",IF(Baux!$P$22="Base fixe",Baux!$N$22,IF(K245="Geler – rattrapage possible",H245,F245)))</f>
        <v/>
      </c>
      <c r="I246" s="25">
        <f>IF(AD246=0,"",IF(H246="","",IF(SUMIFS(Indices_long!$C:$C,Indices_long!$A:$A,E246,Indices_long!$B:$B,H246)=0,"",SUMIFS(Indices_long!$C:$C,Indices_long!$A:$A,E246,Indices_long!$B:$B,H246))))</f>
        <v/>
      </c>
      <c r="J246" s="26">
        <f>IF(OR(G246="",I246=""),"",G246/I246)</f>
        <v/>
      </c>
      <c r="K246" s="13" t="n"/>
      <c r="L246" s="27">
        <f>IF(AD246=0,"",IF(Baux!$P$22="Base fixe",Baux!$I$22,N245))</f>
        <v/>
      </c>
      <c r="M246" s="27">
        <f>IF(OR(J246="",L246=""),"",ROUND(L246*J246,2))</f>
        <v/>
      </c>
      <c r="N246" s="27">
        <f>IF(AD246=0,"",IF(LEFT(K246,5)="Geler",O246,IF(M246="","",IF(Baux!$Q$22="",M246,MIN(M246,ROUND(L246*(1+Baux!$Q$22/100)^IF(Baux!$P$22="Base fixe",C246*Baux!$O$22,VALUE(LEFT(F246,4))-VALUE(LEFT(H246,4))),2))))))</f>
        <v/>
      </c>
      <c r="O246" s="27">
        <f>IF(AD246=0,"",N245)</f>
        <v/>
      </c>
      <c r="P246" s="28">
        <f>IF(OR(N246="",O246=""),"",N246/O246-1)</f>
        <v/>
      </c>
      <c r="Q246" s="27">
        <f>IF(N246="","",N246/12)</f>
        <v/>
      </c>
      <c r="R246" s="27">
        <f>IF(N246="","",N246/IF(Baux!$L$22="Mensuelle",12,IF(Baux!$L$22="Trimestrielle",4,IF(Baux!$L$22="Semestrielle",2,1))))</f>
        <v/>
      </c>
      <c r="S246" s="27">
        <f>IF(AD246=0,"",IF(Baux!$J$22="",0,Baux!$J$22)/IF(Baux!$L$22="Mensuelle",12,IF(Baux!$L$22="Trimestrielle",4,IF(Baux!$L$22="Semestrielle",2,1))))</f>
        <v/>
      </c>
      <c r="T246" s="27">
        <f>IF(R246="","",(R246+S246)*Baux!$K$22/100)</f>
        <v/>
      </c>
      <c r="U246" s="27">
        <f>IF(R246="","",R246+S246+T246)</f>
        <v/>
      </c>
      <c r="V246" s="17">
        <f>IF(AD246=0,"",IF(LEFT(K246,5)="Geler","❄ Gelée",IF(G246="",IF(D246&lt;=TODAY(),"⚠ Indice attendu","À venir"),IF(D246&lt;=TODAY(),"✔ Calculable","Indice connu – à venir"))))</f>
        <v/>
      </c>
      <c r="W246" s="29" t="n"/>
      <c r="X246" s="13" t="n"/>
      <c r="Y246" s="14" t="n"/>
      <c r="Z246" s="14" t="n"/>
      <c r="AA246" s="13" t="n"/>
      <c r="AB246" s="17">
        <f>IF(A246="","",A246&amp;"#"&amp;C246)</f>
        <v/>
      </c>
      <c r="AC246" s="17">
        <f>IF(AND(AD246=1,D246&lt;=TODAY(),N246&lt;&gt;""),1,0)</f>
        <v/>
      </c>
      <c r="AD246" s="17">
        <f>IF(OR(A246="",D246=""),0,IF(AND(ISNUMBER(Baux!$H$22),D246&gt;Baux!$H$22),0,1))</f>
        <v/>
      </c>
    </row>
    <row r="247">
      <c r="A247" s="17">
        <f>IF(Baux!$A$22="","",Baux!$A$22)</f>
        <v/>
      </c>
      <c r="B247" s="17">
        <f>IF(A247="","",Baux!$B$22)</f>
        <v/>
      </c>
      <c r="C247" s="17" t="n">
        <v>6</v>
      </c>
      <c r="D247" s="15">
        <f>IF(OR(A247="",Baux!$F$22="",Baux!$O$22=""),"",EDATE(Baux!$F$22,12*Baux!$O$22*C247))</f>
        <v/>
      </c>
      <c r="E247" s="17">
        <f>IF(AD247=0,"",Baux!$M$22)</f>
        <v/>
      </c>
      <c r="F247" s="17">
        <f>IF(AD247=0,"",IFERROR(TEXT(VALUE(LEFT(Baux!$N$22,4))+C247*Baux!$O$22,"0")&amp;RIGHT(Baux!$N$22,3),""))</f>
        <v/>
      </c>
      <c r="G247" s="25">
        <f>IF(AD247=0,"",IF(F247="","",IF(SUMIFS(Indices_long!$C:$C,Indices_long!$A:$A,E247,Indices_long!$B:$B,F247)=0,"",SUMIFS(Indices_long!$C:$C,Indices_long!$A:$A,E247,Indices_long!$B:$B,F247))))</f>
        <v/>
      </c>
      <c r="H247" s="17">
        <f>IF(AD247=0,"",IF(Baux!$P$22="Base fixe",Baux!$N$22,IF(K246="Geler – rattrapage possible",H246,F246)))</f>
        <v/>
      </c>
      <c r="I247" s="25">
        <f>IF(AD247=0,"",IF(H247="","",IF(SUMIFS(Indices_long!$C:$C,Indices_long!$A:$A,E247,Indices_long!$B:$B,H247)=0,"",SUMIFS(Indices_long!$C:$C,Indices_long!$A:$A,E247,Indices_long!$B:$B,H247))))</f>
        <v/>
      </c>
      <c r="J247" s="26">
        <f>IF(OR(G247="",I247=""),"",G247/I247)</f>
        <v/>
      </c>
      <c r="K247" s="13" t="n"/>
      <c r="L247" s="27">
        <f>IF(AD247=0,"",IF(Baux!$P$22="Base fixe",Baux!$I$22,N246))</f>
        <v/>
      </c>
      <c r="M247" s="27">
        <f>IF(OR(J247="",L247=""),"",ROUND(L247*J247,2))</f>
        <v/>
      </c>
      <c r="N247" s="27">
        <f>IF(AD247=0,"",IF(LEFT(K247,5)="Geler",O247,IF(M247="","",IF(Baux!$Q$22="",M247,MIN(M247,ROUND(L247*(1+Baux!$Q$22/100)^IF(Baux!$P$22="Base fixe",C247*Baux!$O$22,VALUE(LEFT(F247,4))-VALUE(LEFT(H247,4))),2))))))</f>
        <v/>
      </c>
      <c r="O247" s="27">
        <f>IF(AD247=0,"",N246)</f>
        <v/>
      </c>
      <c r="P247" s="28">
        <f>IF(OR(N247="",O247=""),"",N247/O247-1)</f>
        <v/>
      </c>
      <c r="Q247" s="27">
        <f>IF(N247="","",N247/12)</f>
        <v/>
      </c>
      <c r="R247" s="27">
        <f>IF(N247="","",N247/IF(Baux!$L$22="Mensuelle",12,IF(Baux!$L$22="Trimestrielle",4,IF(Baux!$L$22="Semestrielle",2,1))))</f>
        <v/>
      </c>
      <c r="S247" s="27">
        <f>IF(AD247=0,"",IF(Baux!$J$22="",0,Baux!$J$22)/IF(Baux!$L$22="Mensuelle",12,IF(Baux!$L$22="Trimestrielle",4,IF(Baux!$L$22="Semestrielle",2,1))))</f>
        <v/>
      </c>
      <c r="T247" s="27">
        <f>IF(R247="","",(R247+S247)*Baux!$K$22/100)</f>
        <v/>
      </c>
      <c r="U247" s="27">
        <f>IF(R247="","",R247+S247+T247)</f>
        <v/>
      </c>
      <c r="V247" s="17">
        <f>IF(AD247=0,"",IF(LEFT(K247,5)="Geler","❄ Gelée",IF(G247="",IF(D247&lt;=TODAY(),"⚠ Indice attendu","À venir"),IF(D247&lt;=TODAY(),"✔ Calculable","Indice connu – à venir"))))</f>
        <v/>
      </c>
      <c r="W247" s="29" t="n"/>
      <c r="X247" s="13" t="n"/>
      <c r="Y247" s="14" t="n"/>
      <c r="Z247" s="14" t="n"/>
      <c r="AA247" s="13" t="n"/>
      <c r="AB247" s="17">
        <f>IF(A247="","",A247&amp;"#"&amp;C247)</f>
        <v/>
      </c>
      <c r="AC247" s="17">
        <f>IF(AND(AD247=1,D247&lt;=TODAY(),N247&lt;&gt;""),1,0)</f>
        <v/>
      </c>
      <c r="AD247" s="17">
        <f>IF(OR(A247="",D247=""),0,IF(AND(ISNUMBER(Baux!$H$22),D247&gt;Baux!$H$22),0,1))</f>
        <v/>
      </c>
    </row>
    <row r="248">
      <c r="A248" s="17">
        <f>IF(Baux!$A$22="","",Baux!$A$22)</f>
        <v/>
      </c>
      <c r="B248" s="17">
        <f>IF(A248="","",Baux!$B$22)</f>
        <v/>
      </c>
      <c r="C248" s="17" t="n">
        <v>7</v>
      </c>
      <c r="D248" s="15">
        <f>IF(OR(A248="",Baux!$F$22="",Baux!$O$22=""),"",EDATE(Baux!$F$22,12*Baux!$O$22*C248))</f>
        <v/>
      </c>
      <c r="E248" s="17">
        <f>IF(AD248=0,"",Baux!$M$22)</f>
        <v/>
      </c>
      <c r="F248" s="17">
        <f>IF(AD248=0,"",IFERROR(TEXT(VALUE(LEFT(Baux!$N$22,4))+C248*Baux!$O$22,"0")&amp;RIGHT(Baux!$N$22,3),""))</f>
        <v/>
      </c>
      <c r="G248" s="25">
        <f>IF(AD248=0,"",IF(F248="","",IF(SUMIFS(Indices_long!$C:$C,Indices_long!$A:$A,E248,Indices_long!$B:$B,F248)=0,"",SUMIFS(Indices_long!$C:$C,Indices_long!$A:$A,E248,Indices_long!$B:$B,F248))))</f>
        <v/>
      </c>
      <c r="H248" s="17">
        <f>IF(AD248=0,"",IF(Baux!$P$22="Base fixe",Baux!$N$22,IF(K247="Geler – rattrapage possible",H247,F247)))</f>
        <v/>
      </c>
      <c r="I248" s="25">
        <f>IF(AD248=0,"",IF(H248="","",IF(SUMIFS(Indices_long!$C:$C,Indices_long!$A:$A,E248,Indices_long!$B:$B,H248)=0,"",SUMIFS(Indices_long!$C:$C,Indices_long!$A:$A,E248,Indices_long!$B:$B,H248))))</f>
        <v/>
      </c>
      <c r="J248" s="26">
        <f>IF(OR(G248="",I248=""),"",G248/I248)</f>
        <v/>
      </c>
      <c r="K248" s="13" t="n"/>
      <c r="L248" s="27">
        <f>IF(AD248=0,"",IF(Baux!$P$22="Base fixe",Baux!$I$22,N247))</f>
        <v/>
      </c>
      <c r="M248" s="27">
        <f>IF(OR(J248="",L248=""),"",ROUND(L248*J248,2))</f>
        <v/>
      </c>
      <c r="N248" s="27">
        <f>IF(AD248=0,"",IF(LEFT(K248,5)="Geler",O248,IF(M248="","",IF(Baux!$Q$22="",M248,MIN(M248,ROUND(L248*(1+Baux!$Q$22/100)^IF(Baux!$P$22="Base fixe",C248*Baux!$O$22,VALUE(LEFT(F248,4))-VALUE(LEFT(H248,4))),2))))))</f>
        <v/>
      </c>
      <c r="O248" s="27">
        <f>IF(AD248=0,"",N247)</f>
        <v/>
      </c>
      <c r="P248" s="28">
        <f>IF(OR(N248="",O248=""),"",N248/O248-1)</f>
        <v/>
      </c>
      <c r="Q248" s="27">
        <f>IF(N248="","",N248/12)</f>
        <v/>
      </c>
      <c r="R248" s="27">
        <f>IF(N248="","",N248/IF(Baux!$L$22="Mensuelle",12,IF(Baux!$L$22="Trimestrielle",4,IF(Baux!$L$22="Semestrielle",2,1))))</f>
        <v/>
      </c>
      <c r="S248" s="27">
        <f>IF(AD248=0,"",IF(Baux!$J$22="",0,Baux!$J$22)/IF(Baux!$L$22="Mensuelle",12,IF(Baux!$L$22="Trimestrielle",4,IF(Baux!$L$22="Semestrielle",2,1))))</f>
        <v/>
      </c>
      <c r="T248" s="27">
        <f>IF(R248="","",(R248+S248)*Baux!$K$22/100)</f>
        <v/>
      </c>
      <c r="U248" s="27">
        <f>IF(R248="","",R248+S248+T248)</f>
        <v/>
      </c>
      <c r="V248" s="17">
        <f>IF(AD248=0,"",IF(LEFT(K248,5)="Geler","❄ Gelée",IF(G248="",IF(D248&lt;=TODAY(),"⚠ Indice attendu","À venir"),IF(D248&lt;=TODAY(),"✔ Calculable","Indice connu – à venir"))))</f>
        <v/>
      </c>
      <c r="W248" s="29" t="n"/>
      <c r="X248" s="13" t="n"/>
      <c r="Y248" s="14" t="n"/>
      <c r="Z248" s="14" t="n"/>
      <c r="AA248" s="13" t="n"/>
      <c r="AB248" s="17">
        <f>IF(A248="","",A248&amp;"#"&amp;C248)</f>
        <v/>
      </c>
      <c r="AC248" s="17">
        <f>IF(AND(AD248=1,D248&lt;=TODAY(),N248&lt;&gt;""),1,0)</f>
        <v/>
      </c>
      <c r="AD248" s="17">
        <f>IF(OR(A248="",D248=""),0,IF(AND(ISNUMBER(Baux!$H$22),D248&gt;Baux!$H$22),0,1))</f>
        <v/>
      </c>
    </row>
    <row r="249">
      <c r="A249" s="17">
        <f>IF(Baux!$A$22="","",Baux!$A$22)</f>
        <v/>
      </c>
      <c r="B249" s="17">
        <f>IF(A249="","",Baux!$B$22)</f>
        <v/>
      </c>
      <c r="C249" s="17" t="n">
        <v>8</v>
      </c>
      <c r="D249" s="15">
        <f>IF(OR(A249="",Baux!$F$22="",Baux!$O$22=""),"",EDATE(Baux!$F$22,12*Baux!$O$22*C249))</f>
        <v/>
      </c>
      <c r="E249" s="17">
        <f>IF(AD249=0,"",Baux!$M$22)</f>
        <v/>
      </c>
      <c r="F249" s="17">
        <f>IF(AD249=0,"",IFERROR(TEXT(VALUE(LEFT(Baux!$N$22,4))+C249*Baux!$O$22,"0")&amp;RIGHT(Baux!$N$22,3),""))</f>
        <v/>
      </c>
      <c r="G249" s="25">
        <f>IF(AD249=0,"",IF(F249="","",IF(SUMIFS(Indices_long!$C:$C,Indices_long!$A:$A,E249,Indices_long!$B:$B,F249)=0,"",SUMIFS(Indices_long!$C:$C,Indices_long!$A:$A,E249,Indices_long!$B:$B,F249))))</f>
        <v/>
      </c>
      <c r="H249" s="17">
        <f>IF(AD249=0,"",IF(Baux!$P$22="Base fixe",Baux!$N$22,IF(K248="Geler – rattrapage possible",H248,F248)))</f>
        <v/>
      </c>
      <c r="I249" s="25">
        <f>IF(AD249=0,"",IF(H249="","",IF(SUMIFS(Indices_long!$C:$C,Indices_long!$A:$A,E249,Indices_long!$B:$B,H249)=0,"",SUMIFS(Indices_long!$C:$C,Indices_long!$A:$A,E249,Indices_long!$B:$B,H249))))</f>
        <v/>
      </c>
      <c r="J249" s="26">
        <f>IF(OR(G249="",I249=""),"",G249/I249)</f>
        <v/>
      </c>
      <c r="K249" s="13" t="n"/>
      <c r="L249" s="27">
        <f>IF(AD249=0,"",IF(Baux!$P$22="Base fixe",Baux!$I$22,N248))</f>
        <v/>
      </c>
      <c r="M249" s="27">
        <f>IF(OR(J249="",L249=""),"",ROUND(L249*J249,2))</f>
        <v/>
      </c>
      <c r="N249" s="27">
        <f>IF(AD249=0,"",IF(LEFT(K249,5)="Geler",O249,IF(M249="","",IF(Baux!$Q$22="",M249,MIN(M249,ROUND(L249*(1+Baux!$Q$22/100)^IF(Baux!$P$22="Base fixe",C249*Baux!$O$22,VALUE(LEFT(F249,4))-VALUE(LEFT(H249,4))),2))))))</f>
        <v/>
      </c>
      <c r="O249" s="27">
        <f>IF(AD249=0,"",N248)</f>
        <v/>
      </c>
      <c r="P249" s="28">
        <f>IF(OR(N249="",O249=""),"",N249/O249-1)</f>
        <v/>
      </c>
      <c r="Q249" s="27">
        <f>IF(N249="","",N249/12)</f>
        <v/>
      </c>
      <c r="R249" s="27">
        <f>IF(N249="","",N249/IF(Baux!$L$22="Mensuelle",12,IF(Baux!$L$22="Trimestrielle",4,IF(Baux!$L$22="Semestrielle",2,1))))</f>
        <v/>
      </c>
      <c r="S249" s="27">
        <f>IF(AD249=0,"",IF(Baux!$J$22="",0,Baux!$J$22)/IF(Baux!$L$22="Mensuelle",12,IF(Baux!$L$22="Trimestrielle",4,IF(Baux!$L$22="Semestrielle",2,1))))</f>
        <v/>
      </c>
      <c r="T249" s="27">
        <f>IF(R249="","",(R249+S249)*Baux!$K$22/100)</f>
        <v/>
      </c>
      <c r="U249" s="27">
        <f>IF(R249="","",R249+S249+T249)</f>
        <v/>
      </c>
      <c r="V249" s="17">
        <f>IF(AD249=0,"",IF(LEFT(K249,5)="Geler","❄ Gelée",IF(G249="",IF(D249&lt;=TODAY(),"⚠ Indice attendu","À venir"),IF(D249&lt;=TODAY(),"✔ Calculable","Indice connu – à venir"))))</f>
        <v/>
      </c>
      <c r="W249" s="29" t="n"/>
      <c r="X249" s="13" t="n"/>
      <c r="Y249" s="14" t="n"/>
      <c r="Z249" s="14" t="n"/>
      <c r="AA249" s="13" t="n"/>
      <c r="AB249" s="17">
        <f>IF(A249="","",A249&amp;"#"&amp;C249)</f>
        <v/>
      </c>
      <c r="AC249" s="17">
        <f>IF(AND(AD249=1,D249&lt;=TODAY(),N249&lt;&gt;""),1,0)</f>
        <v/>
      </c>
      <c r="AD249" s="17">
        <f>IF(OR(A249="",D249=""),0,IF(AND(ISNUMBER(Baux!$H$22),D249&gt;Baux!$H$22),0,1))</f>
        <v/>
      </c>
    </row>
    <row r="250">
      <c r="A250" s="17">
        <f>IF(Baux!$A$22="","",Baux!$A$22)</f>
        <v/>
      </c>
      <c r="B250" s="17">
        <f>IF(A250="","",Baux!$B$22)</f>
        <v/>
      </c>
      <c r="C250" s="17" t="n">
        <v>9</v>
      </c>
      <c r="D250" s="15">
        <f>IF(OR(A250="",Baux!$F$22="",Baux!$O$22=""),"",EDATE(Baux!$F$22,12*Baux!$O$22*C250))</f>
        <v/>
      </c>
      <c r="E250" s="17">
        <f>IF(AD250=0,"",Baux!$M$22)</f>
        <v/>
      </c>
      <c r="F250" s="17">
        <f>IF(AD250=0,"",IFERROR(TEXT(VALUE(LEFT(Baux!$N$22,4))+C250*Baux!$O$22,"0")&amp;RIGHT(Baux!$N$22,3),""))</f>
        <v/>
      </c>
      <c r="G250" s="25">
        <f>IF(AD250=0,"",IF(F250="","",IF(SUMIFS(Indices_long!$C:$C,Indices_long!$A:$A,E250,Indices_long!$B:$B,F250)=0,"",SUMIFS(Indices_long!$C:$C,Indices_long!$A:$A,E250,Indices_long!$B:$B,F250))))</f>
        <v/>
      </c>
      <c r="H250" s="17">
        <f>IF(AD250=0,"",IF(Baux!$P$22="Base fixe",Baux!$N$22,IF(K249="Geler – rattrapage possible",H249,F249)))</f>
        <v/>
      </c>
      <c r="I250" s="25">
        <f>IF(AD250=0,"",IF(H250="","",IF(SUMIFS(Indices_long!$C:$C,Indices_long!$A:$A,E250,Indices_long!$B:$B,H250)=0,"",SUMIFS(Indices_long!$C:$C,Indices_long!$A:$A,E250,Indices_long!$B:$B,H250))))</f>
        <v/>
      </c>
      <c r="J250" s="26">
        <f>IF(OR(G250="",I250=""),"",G250/I250)</f>
        <v/>
      </c>
      <c r="K250" s="13" t="n"/>
      <c r="L250" s="27">
        <f>IF(AD250=0,"",IF(Baux!$P$22="Base fixe",Baux!$I$22,N249))</f>
        <v/>
      </c>
      <c r="M250" s="27">
        <f>IF(OR(J250="",L250=""),"",ROUND(L250*J250,2))</f>
        <v/>
      </c>
      <c r="N250" s="27">
        <f>IF(AD250=0,"",IF(LEFT(K250,5)="Geler",O250,IF(M250="","",IF(Baux!$Q$22="",M250,MIN(M250,ROUND(L250*(1+Baux!$Q$22/100)^IF(Baux!$P$22="Base fixe",C250*Baux!$O$22,VALUE(LEFT(F250,4))-VALUE(LEFT(H250,4))),2))))))</f>
        <v/>
      </c>
      <c r="O250" s="27">
        <f>IF(AD250=0,"",N249)</f>
        <v/>
      </c>
      <c r="P250" s="28">
        <f>IF(OR(N250="",O250=""),"",N250/O250-1)</f>
        <v/>
      </c>
      <c r="Q250" s="27">
        <f>IF(N250="","",N250/12)</f>
        <v/>
      </c>
      <c r="R250" s="27">
        <f>IF(N250="","",N250/IF(Baux!$L$22="Mensuelle",12,IF(Baux!$L$22="Trimestrielle",4,IF(Baux!$L$22="Semestrielle",2,1))))</f>
        <v/>
      </c>
      <c r="S250" s="27">
        <f>IF(AD250=0,"",IF(Baux!$J$22="",0,Baux!$J$22)/IF(Baux!$L$22="Mensuelle",12,IF(Baux!$L$22="Trimestrielle",4,IF(Baux!$L$22="Semestrielle",2,1))))</f>
        <v/>
      </c>
      <c r="T250" s="27">
        <f>IF(R250="","",(R250+S250)*Baux!$K$22/100)</f>
        <v/>
      </c>
      <c r="U250" s="27">
        <f>IF(R250="","",R250+S250+T250)</f>
        <v/>
      </c>
      <c r="V250" s="17">
        <f>IF(AD250=0,"",IF(LEFT(K250,5)="Geler","❄ Gelée",IF(G250="",IF(D250&lt;=TODAY(),"⚠ Indice attendu","À venir"),IF(D250&lt;=TODAY(),"✔ Calculable","Indice connu – à venir"))))</f>
        <v/>
      </c>
      <c r="W250" s="29" t="n"/>
      <c r="X250" s="13" t="n"/>
      <c r="Y250" s="14" t="n"/>
      <c r="Z250" s="14" t="n"/>
      <c r="AA250" s="13" t="n"/>
      <c r="AB250" s="17">
        <f>IF(A250="","",A250&amp;"#"&amp;C250)</f>
        <v/>
      </c>
      <c r="AC250" s="17">
        <f>IF(AND(AD250=1,D250&lt;=TODAY(),N250&lt;&gt;""),1,0)</f>
        <v/>
      </c>
      <c r="AD250" s="17">
        <f>IF(OR(A250="",D250=""),0,IF(AND(ISNUMBER(Baux!$H$22),D250&gt;Baux!$H$22),0,1))</f>
        <v/>
      </c>
    </row>
    <row r="251">
      <c r="A251" s="17">
        <f>IF(Baux!$A$22="","",Baux!$A$22)</f>
        <v/>
      </c>
      <c r="B251" s="17">
        <f>IF(A251="","",Baux!$B$22)</f>
        <v/>
      </c>
      <c r="C251" s="17" t="n">
        <v>10</v>
      </c>
      <c r="D251" s="15">
        <f>IF(OR(A251="",Baux!$F$22="",Baux!$O$22=""),"",EDATE(Baux!$F$22,12*Baux!$O$22*C251))</f>
        <v/>
      </c>
      <c r="E251" s="17">
        <f>IF(AD251=0,"",Baux!$M$22)</f>
        <v/>
      </c>
      <c r="F251" s="17">
        <f>IF(AD251=0,"",IFERROR(TEXT(VALUE(LEFT(Baux!$N$22,4))+C251*Baux!$O$22,"0")&amp;RIGHT(Baux!$N$22,3),""))</f>
        <v/>
      </c>
      <c r="G251" s="25">
        <f>IF(AD251=0,"",IF(F251="","",IF(SUMIFS(Indices_long!$C:$C,Indices_long!$A:$A,E251,Indices_long!$B:$B,F251)=0,"",SUMIFS(Indices_long!$C:$C,Indices_long!$A:$A,E251,Indices_long!$B:$B,F251))))</f>
        <v/>
      </c>
      <c r="H251" s="17">
        <f>IF(AD251=0,"",IF(Baux!$P$22="Base fixe",Baux!$N$22,IF(K250="Geler – rattrapage possible",H250,F250)))</f>
        <v/>
      </c>
      <c r="I251" s="25">
        <f>IF(AD251=0,"",IF(H251="","",IF(SUMIFS(Indices_long!$C:$C,Indices_long!$A:$A,E251,Indices_long!$B:$B,H251)=0,"",SUMIFS(Indices_long!$C:$C,Indices_long!$A:$A,E251,Indices_long!$B:$B,H251))))</f>
        <v/>
      </c>
      <c r="J251" s="26">
        <f>IF(OR(G251="",I251=""),"",G251/I251)</f>
        <v/>
      </c>
      <c r="K251" s="13" t="n"/>
      <c r="L251" s="27">
        <f>IF(AD251=0,"",IF(Baux!$P$22="Base fixe",Baux!$I$22,N250))</f>
        <v/>
      </c>
      <c r="M251" s="27">
        <f>IF(OR(J251="",L251=""),"",ROUND(L251*J251,2))</f>
        <v/>
      </c>
      <c r="N251" s="27">
        <f>IF(AD251=0,"",IF(LEFT(K251,5)="Geler",O251,IF(M251="","",IF(Baux!$Q$22="",M251,MIN(M251,ROUND(L251*(1+Baux!$Q$22/100)^IF(Baux!$P$22="Base fixe",C251*Baux!$O$22,VALUE(LEFT(F251,4))-VALUE(LEFT(H251,4))),2))))))</f>
        <v/>
      </c>
      <c r="O251" s="27">
        <f>IF(AD251=0,"",N250)</f>
        <v/>
      </c>
      <c r="P251" s="28">
        <f>IF(OR(N251="",O251=""),"",N251/O251-1)</f>
        <v/>
      </c>
      <c r="Q251" s="27">
        <f>IF(N251="","",N251/12)</f>
        <v/>
      </c>
      <c r="R251" s="27">
        <f>IF(N251="","",N251/IF(Baux!$L$22="Mensuelle",12,IF(Baux!$L$22="Trimestrielle",4,IF(Baux!$L$22="Semestrielle",2,1))))</f>
        <v/>
      </c>
      <c r="S251" s="27">
        <f>IF(AD251=0,"",IF(Baux!$J$22="",0,Baux!$J$22)/IF(Baux!$L$22="Mensuelle",12,IF(Baux!$L$22="Trimestrielle",4,IF(Baux!$L$22="Semestrielle",2,1))))</f>
        <v/>
      </c>
      <c r="T251" s="27">
        <f>IF(R251="","",(R251+S251)*Baux!$K$22/100)</f>
        <v/>
      </c>
      <c r="U251" s="27">
        <f>IF(R251="","",R251+S251+T251)</f>
        <v/>
      </c>
      <c r="V251" s="17">
        <f>IF(AD251=0,"",IF(LEFT(K251,5)="Geler","❄ Gelée",IF(G251="",IF(D251&lt;=TODAY(),"⚠ Indice attendu","À venir"),IF(D251&lt;=TODAY(),"✔ Calculable","Indice connu – à venir"))))</f>
        <v/>
      </c>
      <c r="W251" s="29" t="n"/>
      <c r="X251" s="13" t="n"/>
      <c r="Y251" s="14" t="n"/>
      <c r="Z251" s="14" t="n"/>
      <c r="AA251" s="13" t="n"/>
      <c r="AB251" s="17">
        <f>IF(A251="","",A251&amp;"#"&amp;C251)</f>
        <v/>
      </c>
      <c r="AC251" s="17">
        <f>IF(AND(AD251=1,D251&lt;=TODAY(),N251&lt;&gt;""),1,0)</f>
        <v/>
      </c>
      <c r="AD251" s="17">
        <f>IF(OR(A251="",D251=""),0,IF(AND(ISNUMBER(Baux!$H$22),D251&gt;Baux!$H$22),0,1))</f>
        <v/>
      </c>
    </row>
    <row r="252">
      <c r="A252" s="17">
        <f>IF(Baux!$A$22="","",Baux!$A$22)</f>
        <v/>
      </c>
      <c r="B252" s="17">
        <f>IF(A252="","",Baux!$B$22)</f>
        <v/>
      </c>
      <c r="C252" s="17" t="n">
        <v>11</v>
      </c>
      <c r="D252" s="15">
        <f>IF(OR(A252="",Baux!$F$22="",Baux!$O$22=""),"",EDATE(Baux!$F$22,12*Baux!$O$22*C252))</f>
        <v/>
      </c>
      <c r="E252" s="17">
        <f>IF(AD252=0,"",Baux!$M$22)</f>
        <v/>
      </c>
      <c r="F252" s="17">
        <f>IF(AD252=0,"",IFERROR(TEXT(VALUE(LEFT(Baux!$N$22,4))+C252*Baux!$O$22,"0")&amp;RIGHT(Baux!$N$22,3),""))</f>
        <v/>
      </c>
      <c r="G252" s="25">
        <f>IF(AD252=0,"",IF(F252="","",IF(SUMIFS(Indices_long!$C:$C,Indices_long!$A:$A,E252,Indices_long!$B:$B,F252)=0,"",SUMIFS(Indices_long!$C:$C,Indices_long!$A:$A,E252,Indices_long!$B:$B,F252))))</f>
        <v/>
      </c>
      <c r="H252" s="17">
        <f>IF(AD252=0,"",IF(Baux!$P$22="Base fixe",Baux!$N$22,IF(K251="Geler – rattrapage possible",H251,F251)))</f>
        <v/>
      </c>
      <c r="I252" s="25">
        <f>IF(AD252=0,"",IF(H252="","",IF(SUMIFS(Indices_long!$C:$C,Indices_long!$A:$A,E252,Indices_long!$B:$B,H252)=0,"",SUMIFS(Indices_long!$C:$C,Indices_long!$A:$A,E252,Indices_long!$B:$B,H252))))</f>
        <v/>
      </c>
      <c r="J252" s="26">
        <f>IF(OR(G252="",I252=""),"",G252/I252)</f>
        <v/>
      </c>
      <c r="K252" s="13" t="n"/>
      <c r="L252" s="27">
        <f>IF(AD252=0,"",IF(Baux!$P$22="Base fixe",Baux!$I$22,N251))</f>
        <v/>
      </c>
      <c r="M252" s="27">
        <f>IF(OR(J252="",L252=""),"",ROUND(L252*J252,2))</f>
        <v/>
      </c>
      <c r="N252" s="27">
        <f>IF(AD252=0,"",IF(LEFT(K252,5)="Geler",O252,IF(M252="","",IF(Baux!$Q$22="",M252,MIN(M252,ROUND(L252*(1+Baux!$Q$22/100)^IF(Baux!$P$22="Base fixe",C252*Baux!$O$22,VALUE(LEFT(F252,4))-VALUE(LEFT(H252,4))),2))))))</f>
        <v/>
      </c>
      <c r="O252" s="27">
        <f>IF(AD252=0,"",N251)</f>
        <v/>
      </c>
      <c r="P252" s="28">
        <f>IF(OR(N252="",O252=""),"",N252/O252-1)</f>
        <v/>
      </c>
      <c r="Q252" s="27">
        <f>IF(N252="","",N252/12)</f>
        <v/>
      </c>
      <c r="R252" s="27">
        <f>IF(N252="","",N252/IF(Baux!$L$22="Mensuelle",12,IF(Baux!$L$22="Trimestrielle",4,IF(Baux!$L$22="Semestrielle",2,1))))</f>
        <v/>
      </c>
      <c r="S252" s="27">
        <f>IF(AD252=0,"",IF(Baux!$J$22="",0,Baux!$J$22)/IF(Baux!$L$22="Mensuelle",12,IF(Baux!$L$22="Trimestrielle",4,IF(Baux!$L$22="Semestrielle",2,1))))</f>
        <v/>
      </c>
      <c r="T252" s="27">
        <f>IF(R252="","",(R252+S252)*Baux!$K$22/100)</f>
        <v/>
      </c>
      <c r="U252" s="27">
        <f>IF(R252="","",R252+S252+T252)</f>
        <v/>
      </c>
      <c r="V252" s="17">
        <f>IF(AD252=0,"",IF(LEFT(K252,5)="Geler","❄ Gelée",IF(G252="",IF(D252&lt;=TODAY(),"⚠ Indice attendu","À venir"),IF(D252&lt;=TODAY(),"✔ Calculable","Indice connu – à venir"))))</f>
        <v/>
      </c>
      <c r="W252" s="29" t="n"/>
      <c r="X252" s="13" t="n"/>
      <c r="Y252" s="14" t="n"/>
      <c r="Z252" s="14" t="n"/>
      <c r="AA252" s="13" t="n"/>
      <c r="AB252" s="17">
        <f>IF(A252="","",A252&amp;"#"&amp;C252)</f>
        <v/>
      </c>
      <c r="AC252" s="17">
        <f>IF(AND(AD252=1,D252&lt;=TODAY(),N252&lt;&gt;""),1,0)</f>
        <v/>
      </c>
      <c r="AD252" s="17">
        <f>IF(OR(A252="",D252=""),0,IF(AND(ISNUMBER(Baux!$H$22),D252&gt;Baux!$H$22),0,1))</f>
        <v/>
      </c>
    </row>
    <row r="253">
      <c r="A253" s="17">
        <f>IF(Baux!$A$22="","",Baux!$A$22)</f>
        <v/>
      </c>
      <c r="B253" s="17">
        <f>IF(A253="","",Baux!$B$22)</f>
        <v/>
      </c>
      <c r="C253" s="17" t="n">
        <v>12</v>
      </c>
      <c r="D253" s="15">
        <f>IF(OR(A253="",Baux!$F$22="",Baux!$O$22=""),"",EDATE(Baux!$F$22,12*Baux!$O$22*C253))</f>
        <v/>
      </c>
      <c r="E253" s="17">
        <f>IF(AD253=0,"",Baux!$M$22)</f>
        <v/>
      </c>
      <c r="F253" s="17">
        <f>IF(AD253=0,"",IFERROR(TEXT(VALUE(LEFT(Baux!$N$22,4))+C253*Baux!$O$22,"0")&amp;RIGHT(Baux!$N$22,3),""))</f>
        <v/>
      </c>
      <c r="G253" s="25">
        <f>IF(AD253=0,"",IF(F253="","",IF(SUMIFS(Indices_long!$C:$C,Indices_long!$A:$A,E253,Indices_long!$B:$B,F253)=0,"",SUMIFS(Indices_long!$C:$C,Indices_long!$A:$A,E253,Indices_long!$B:$B,F253))))</f>
        <v/>
      </c>
      <c r="H253" s="17">
        <f>IF(AD253=0,"",IF(Baux!$P$22="Base fixe",Baux!$N$22,IF(K252="Geler – rattrapage possible",H252,F252)))</f>
        <v/>
      </c>
      <c r="I253" s="25">
        <f>IF(AD253=0,"",IF(H253="","",IF(SUMIFS(Indices_long!$C:$C,Indices_long!$A:$A,E253,Indices_long!$B:$B,H253)=0,"",SUMIFS(Indices_long!$C:$C,Indices_long!$A:$A,E253,Indices_long!$B:$B,H253))))</f>
        <v/>
      </c>
      <c r="J253" s="26">
        <f>IF(OR(G253="",I253=""),"",G253/I253)</f>
        <v/>
      </c>
      <c r="K253" s="13" t="n"/>
      <c r="L253" s="27">
        <f>IF(AD253=0,"",IF(Baux!$P$22="Base fixe",Baux!$I$22,N252))</f>
        <v/>
      </c>
      <c r="M253" s="27">
        <f>IF(OR(J253="",L253=""),"",ROUND(L253*J253,2))</f>
        <v/>
      </c>
      <c r="N253" s="27">
        <f>IF(AD253=0,"",IF(LEFT(K253,5)="Geler",O253,IF(M253="","",IF(Baux!$Q$22="",M253,MIN(M253,ROUND(L253*(1+Baux!$Q$22/100)^IF(Baux!$P$22="Base fixe",C253*Baux!$O$22,VALUE(LEFT(F253,4))-VALUE(LEFT(H253,4))),2))))))</f>
        <v/>
      </c>
      <c r="O253" s="27">
        <f>IF(AD253=0,"",N252)</f>
        <v/>
      </c>
      <c r="P253" s="28">
        <f>IF(OR(N253="",O253=""),"",N253/O253-1)</f>
        <v/>
      </c>
      <c r="Q253" s="27">
        <f>IF(N253="","",N253/12)</f>
        <v/>
      </c>
      <c r="R253" s="27">
        <f>IF(N253="","",N253/IF(Baux!$L$22="Mensuelle",12,IF(Baux!$L$22="Trimestrielle",4,IF(Baux!$L$22="Semestrielle",2,1))))</f>
        <v/>
      </c>
      <c r="S253" s="27">
        <f>IF(AD253=0,"",IF(Baux!$J$22="",0,Baux!$J$22)/IF(Baux!$L$22="Mensuelle",12,IF(Baux!$L$22="Trimestrielle",4,IF(Baux!$L$22="Semestrielle",2,1))))</f>
        <v/>
      </c>
      <c r="T253" s="27">
        <f>IF(R253="","",(R253+S253)*Baux!$K$22/100)</f>
        <v/>
      </c>
      <c r="U253" s="27">
        <f>IF(R253="","",R253+S253+T253)</f>
        <v/>
      </c>
      <c r="V253" s="17">
        <f>IF(AD253=0,"",IF(LEFT(K253,5)="Geler","❄ Gelée",IF(G253="",IF(D253&lt;=TODAY(),"⚠ Indice attendu","À venir"),IF(D253&lt;=TODAY(),"✔ Calculable","Indice connu – à venir"))))</f>
        <v/>
      </c>
      <c r="W253" s="29" t="n"/>
      <c r="X253" s="13" t="n"/>
      <c r="Y253" s="14" t="n"/>
      <c r="Z253" s="14" t="n"/>
      <c r="AA253" s="13" t="n"/>
      <c r="AB253" s="17">
        <f>IF(A253="","",A253&amp;"#"&amp;C253)</f>
        <v/>
      </c>
      <c r="AC253" s="17">
        <f>IF(AND(AD253=1,D253&lt;=TODAY(),N253&lt;&gt;""),1,0)</f>
        <v/>
      </c>
      <c r="AD253" s="17">
        <f>IF(OR(A253="",D253=""),0,IF(AND(ISNUMBER(Baux!$H$22),D253&gt;Baux!$H$22),0,1))</f>
        <v/>
      </c>
    </row>
    <row r="254">
      <c r="A254" s="17">
        <f>IF(Baux!$A$23="","",Baux!$A$23)</f>
        <v/>
      </c>
      <c r="B254" s="17">
        <f>IF(A254="","",Baux!$B$23)</f>
        <v/>
      </c>
      <c r="C254" s="17" t="n">
        <v>1</v>
      </c>
      <c r="D254" s="15">
        <f>IF(OR(A254="",Baux!$F$23="",Baux!$O$23=""),"",EDATE(Baux!$F$23,12*Baux!$O$23*C254))</f>
        <v/>
      </c>
      <c r="E254" s="17">
        <f>IF(AD254=0,"",Baux!$M$23)</f>
        <v/>
      </c>
      <c r="F254" s="17">
        <f>IF(AD254=0,"",IFERROR(TEXT(VALUE(LEFT(Baux!$N$23,4))+C254*Baux!$O$23,"0")&amp;RIGHT(Baux!$N$23,3),""))</f>
        <v/>
      </c>
      <c r="G254" s="25">
        <f>IF(AD254=0,"",IF(F254="","",IF(SUMIFS(Indices_long!$C:$C,Indices_long!$A:$A,E254,Indices_long!$B:$B,F254)=0,"",SUMIFS(Indices_long!$C:$C,Indices_long!$A:$A,E254,Indices_long!$B:$B,F254))))</f>
        <v/>
      </c>
      <c r="H254" s="17">
        <f>IF(AD254=0,"",Baux!$N$23)</f>
        <v/>
      </c>
      <c r="I254" s="25">
        <f>IF(AD254=0,"",IF(H254="","",IF(SUMIFS(Indices_long!$C:$C,Indices_long!$A:$A,E254,Indices_long!$B:$B,H254)=0,"",SUMIFS(Indices_long!$C:$C,Indices_long!$A:$A,E254,Indices_long!$B:$B,H254))))</f>
        <v/>
      </c>
      <c r="J254" s="26">
        <f>IF(OR(G254="",I254=""),"",G254/I254)</f>
        <v/>
      </c>
      <c r="K254" s="13" t="n"/>
      <c r="L254" s="27">
        <f>IF(AD254=0,"",Baux!$I$23)</f>
        <v/>
      </c>
      <c r="M254" s="27">
        <f>IF(OR(J254="",L254=""),"",ROUND(L254*J254,2))</f>
        <v/>
      </c>
      <c r="N254" s="27">
        <f>IF(AD254=0,"",IF(LEFT(K254,5)="Geler",O254,IF(M254="","",IF(Baux!$Q$23="",M254,MIN(M254,ROUND(L254*(1+Baux!$Q$23/100)^IF(Baux!$P$23="Base fixe",C254*Baux!$O$23,VALUE(LEFT(F254,4))-VALUE(LEFT(H254,4))),2))))))</f>
        <v/>
      </c>
      <c r="O254" s="27">
        <f>IF(AD254=0,"",Baux!$I$23)</f>
        <v/>
      </c>
      <c r="P254" s="28">
        <f>IF(OR(N254="",O254=""),"",N254/O254-1)</f>
        <v/>
      </c>
      <c r="Q254" s="27">
        <f>IF(N254="","",N254/12)</f>
        <v/>
      </c>
      <c r="R254" s="27">
        <f>IF(N254="","",N254/IF(Baux!$L$23="Mensuelle",12,IF(Baux!$L$23="Trimestrielle",4,IF(Baux!$L$23="Semestrielle",2,1))))</f>
        <v/>
      </c>
      <c r="S254" s="27">
        <f>IF(AD254=0,"",IF(Baux!$J$23="",0,Baux!$J$23)/IF(Baux!$L$23="Mensuelle",12,IF(Baux!$L$23="Trimestrielle",4,IF(Baux!$L$23="Semestrielle",2,1))))</f>
        <v/>
      </c>
      <c r="T254" s="27">
        <f>IF(R254="","",(R254+S254)*Baux!$K$23/100)</f>
        <v/>
      </c>
      <c r="U254" s="27">
        <f>IF(R254="","",R254+S254+T254)</f>
        <v/>
      </c>
      <c r="V254" s="17">
        <f>IF(AD254=0,"",IF(LEFT(K254,5)="Geler","❄ Gelée",IF(G254="",IF(D254&lt;=TODAY(),"⚠ Indice attendu","À venir"),IF(D254&lt;=TODAY(),"✔ Calculable","Indice connu – à venir"))))</f>
        <v/>
      </c>
      <c r="W254" s="29" t="n"/>
      <c r="X254" s="13" t="n"/>
      <c r="Y254" s="14" t="n"/>
      <c r="Z254" s="14" t="n"/>
      <c r="AA254" s="13" t="n"/>
      <c r="AB254" s="17">
        <f>IF(A254="","",A254&amp;"#"&amp;C254)</f>
        <v/>
      </c>
      <c r="AC254" s="17">
        <f>IF(AND(AD254=1,D254&lt;=TODAY(),N254&lt;&gt;""),1,0)</f>
        <v/>
      </c>
      <c r="AD254" s="17">
        <f>IF(OR(A254="",D254=""),0,IF(AND(ISNUMBER(Baux!$H$23),D254&gt;Baux!$H$23),0,1))</f>
        <v/>
      </c>
    </row>
    <row r="255">
      <c r="A255" s="17">
        <f>IF(Baux!$A$23="","",Baux!$A$23)</f>
        <v/>
      </c>
      <c r="B255" s="17">
        <f>IF(A255="","",Baux!$B$23)</f>
        <v/>
      </c>
      <c r="C255" s="17" t="n">
        <v>2</v>
      </c>
      <c r="D255" s="15">
        <f>IF(OR(A255="",Baux!$F$23="",Baux!$O$23=""),"",EDATE(Baux!$F$23,12*Baux!$O$23*C255))</f>
        <v/>
      </c>
      <c r="E255" s="17">
        <f>IF(AD255=0,"",Baux!$M$23)</f>
        <v/>
      </c>
      <c r="F255" s="17">
        <f>IF(AD255=0,"",IFERROR(TEXT(VALUE(LEFT(Baux!$N$23,4))+C255*Baux!$O$23,"0")&amp;RIGHT(Baux!$N$23,3),""))</f>
        <v/>
      </c>
      <c r="G255" s="25">
        <f>IF(AD255=0,"",IF(F255="","",IF(SUMIFS(Indices_long!$C:$C,Indices_long!$A:$A,E255,Indices_long!$B:$B,F255)=0,"",SUMIFS(Indices_long!$C:$C,Indices_long!$A:$A,E255,Indices_long!$B:$B,F255))))</f>
        <v/>
      </c>
      <c r="H255" s="17">
        <f>IF(AD255=0,"",IF(Baux!$P$23="Base fixe",Baux!$N$23,IF(K254="Geler – rattrapage possible",H254,F254)))</f>
        <v/>
      </c>
      <c r="I255" s="25">
        <f>IF(AD255=0,"",IF(H255="","",IF(SUMIFS(Indices_long!$C:$C,Indices_long!$A:$A,E255,Indices_long!$B:$B,H255)=0,"",SUMIFS(Indices_long!$C:$C,Indices_long!$A:$A,E255,Indices_long!$B:$B,H255))))</f>
        <v/>
      </c>
      <c r="J255" s="26">
        <f>IF(OR(G255="",I255=""),"",G255/I255)</f>
        <v/>
      </c>
      <c r="K255" s="13" t="n"/>
      <c r="L255" s="27">
        <f>IF(AD255=0,"",IF(Baux!$P$23="Base fixe",Baux!$I$23,N254))</f>
        <v/>
      </c>
      <c r="M255" s="27">
        <f>IF(OR(J255="",L255=""),"",ROUND(L255*J255,2))</f>
        <v/>
      </c>
      <c r="N255" s="27">
        <f>IF(AD255=0,"",IF(LEFT(K255,5)="Geler",O255,IF(M255="","",IF(Baux!$Q$23="",M255,MIN(M255,ROUND(L255*(1+Baux!$Q$23/100)^IF(Baux!$P$23="Base fixe",C255*Baux!$O$23,VALUE(LEFT(F255,4))-VALUE(LEFT(H255,4))),2))))))</f>
        <v/>
      </c>
      <c r="O255" s="27">
        <f>IF(AD255=0,"",N254)</f>
        <v/>
      </c>
      <c r="P255" s="28">
        <f>IF(OR(N255="",O255=""),"",N255/O255-1)</f>
        <v/>
      </c>
      <c r="Q255" s="27">
        <f>IF(N255="","",N255/12)</f>
        <v/>
      </c>
      <c r="R255" s="27">
        <f>IF(N255="","",N255/IF(Baux!$L$23="Mensuelle",12,IF(Baux!$L$23="Trimestrielle",4,IF(Baux!$L$23="Semestrielle",2,1))))</f>
        <v/>
      </c>
      <c r="S255" s="27">
        <f>IF(AD255=0,"",IF(Baux!$J$23="",0,Baux!$J$23)/IF(Baux!$L$23="Mensuelle",12,IF(Baux!$L$23="Trimestrielle",4,IF(Baux!$L$23="Semestrielle",2,1))))</f>
        <v/>
      </c>
      <c r="T255" s="27">
        <f>IF(R255="","",(R255+S255)*Baux!$K$23/100)</f>
        <v/>
      </c>
      <c r="U255" s="27">
        <f>IF(R255="","",R255+S255+T255)</f>
        <v/>
      </c>
      <c r="V255" s="17">
        <f>IF(AD255=0,"",IF(LEFT(K255,5)="Geler","❄ Gelée",IF(G255="",IF(D255&lt;=TODAY(),"⚠ Indice attendu","À venir"),IF(D255&lt;=TODAY(),"✔ Calculable","Indice connu – à venir"))))</f>
        <v/>
      </c>
      <c r="W255" s="29" t="n"/>
      <c r="X255" s="13" t="n"/>
      <c r="Y255" s="14" t="n"/>
      <c r="Z255" s="14" t="n"/>
      <c r="AA255" s="13" t="n"/>
      <c r="AB255" s="17">
        <f>IF(A255="","",A255&amp;"#"&amp;C255)</f>
        <v/>
      </c>
      <c r="AC255" s="17">
        <f>IF(AND(AD255=1,D255&lt;=TODAY(),N255&lt;&gt;""),1,0)</f>
        <v/>
      </c>
      <c r="AD255" s="17">
        <f>IF(OR(A255="",D255=""),0,IF(AND(ISNUMBER(Baux!$H$23),D255&gt;Baux!$H$23),0,1))</f>
        <v/>
      </c>
    </row>
    <row r="256">
      <c r="A256" s="17">
        <f>IF(Baux!$A$23="","",Baux!$A$23)</f>
        <v/>
      </c>
      <c r="B256" s="17">
        <f>IF(A256="","",Baux!$B$23)</f>
        <v/>
      </c>
      <c r="C256" s="17" t="n">
        <v>3</v>
      </c>
      <c r="D256" s="15">
        <f>IF(OR(A256="",Baux!$F$23="",Baux!$O$23=""),"",EDATE(Baux!$F$23,12*Baux!$O$23*C256))</f>
        <v/>
      </c>
      <c r="E256" s="17">
        <f>IF(AD256=0,"",Baux!$M$23)</f>
        <v/>
      </c>
      <c r="F256" s="17">
        <f>IF(AD256=0,"",IFERROR(TEXT(VALUE(LEFT(Baux!$N$23,4))+C256*Baux!$O$23,"0")&amp;RIGHT(Baux!$N$23,3),""))</f>
        <v/>
      </c>
      <c r="G256" s="25">
        <f>IF(AD256=0,"",IF(F256="","",IF(SUMIFS(Indices_long!$C:$C,Indices_long!$A:$A,E256,Indices_long!$B:$B,F256)=0,"",SUMIFS(Indices_long!$C:$C,Indices_long!$A:$A,E256,Indices_long!$B:$B,F256))))</f>
        <v/>
      </c>
      <c r="H256" s="17">
        <f>IF(AD256=0,"",IF(Baux!$P$23="Base fixe",Baux!$N$23,IF(K255="Geler – rattrapage possible",H255,F255)))</f>
        <v/>
      </c>
      <c r="I256" s="25">
        <f>IF(AD256=0,"",IF(H256="","",IF(SUMIFS(Indices_long!$C:$C,Indices_long!$A:$A,E256,Indices_long!$B:$B,H256)=0,"",SUMIFS(Indices_long!$C:$C,Indices_long!$A:$A,E256,Indices_long!$B:$B,H256))))</f>
        <v/>
      </c>
      <c r="J256" s="26">
        <f>IF(OR(G256="",I256=""),"",G256/I256)</f>
        <v/>
      </c>
      <c r="K256" s="13" t="n"/>
      <c r="L256" s="27">
        <f>IF(AD256=0,"",IF(Baux!$P$23="Base fixe",Baux!$I$23,N255))</f>
        <v/>
      </c>
      <c r="M256" s="27">
        <f>IF(OR(J256="",L256=""),"",ROUND(L256*J256,2))</f>
        <v/>
      </c>
      <c r="N256" s="27">
        <f>IF(AD256=0,"",IF(LEFT(K256,5)="Geler",O256,IF(M256="","",IF(Baux!$Q$23="",M256,MIN(M256,ROUND(L256*(1+Baux!$Q$23/100)^IF(Baux!$P$23="Base fixe",C256*Baux!$O$23,VALUE(LEFT(F256,4))-VALUE(LEFT(H256,4))),2))))))</f>
        <v/>
      </c>
      <c r="O256" s="27">
        <f>IF(AD256=0,"",N255)</f>
        <v/>
      </c>
      <c r="P256" s="28">
        <f>IF(OR(N256="",O256=""),"",N256/O256-1)</f>
        <v/>
      </c>
      <c r="Q256" s="27">
        <f>IF(N256="","",N256/12)</f>
        <v/>
      </c>
      <c r="R256" s="27">
        <f>IF(N256="","",N256/IF(Baux!$L$23="Mensuelle",12,IF(Baux!$L$23="Trimestrielle",4,IF(Baux!$L$23="Semestrielle",2,1))))</f>
        <v/>
      </c>
      <c r="S256" s="27">
        <f>IF(AD256=0,"",IF(Baux!$J$23="",0,Baux!$J$23)/IF(Baux!$L$23="Mensuelle",12,IF(Baux!$L$23="Trimestrielle",4,IF(Baux!$L$23="Semestrielle",2,1))))</f>
        <v/>
      </c>
      <c r="T256" s="27">
        <f>IF(R256="","",(R256+S256)*Baux!$K$23/100)</f>
        <v/>
      </c>
      <c r="U256" s="27">
        <f>IF(R256="","",R256+S256+T256)</f>
        <v/>
      </c>
      <c r="V256" s="17">
        <f>IF(AD256=0,"",IF(LEFT(K256,5)="Geler","❄ Gelée",IF(G256="",IF(D256&lt;=TODAY(),"⚠ Indice attendu","À venir"),IF(D256&lt;=TODAY(),"✔ Calculable","Indice connu – à venir"))))</f>
        <v/>
      </c>
      <c r="W256" s="29" t="n"/>
      <c r="X256" s="13" t="n"/>
      <c r="Y256" s="14" t="n"/>
      <c r="Z256" s="14" t="n"/>
      <c r="AA256" s="13" t="n"/>
      <c r="AB256" s="17">
        <f>IF(A256="","",A256&amp;"#"&amp;C256)</f>
        <v/>
      </c>
      <c r="AC256" s="17">
        <f>IF(AND(AD256=1,D256&lt;=TODAY(),N256&lt;&gt;""),1,0)</f>
        <v/>
      </c>
      <c r="AD256" s="17">
        <f>IF(OR(A256="",D256=""),0,IF(AND(ISNUMBER(Baux!$H$23),D256&gt;Baux!$H$23),0,1))</f>
        <v/>
      </c>
    </row>
    <row r="257">
      <c r="A257" s="17">
        <f>IF(Baux!$A$23="","",Baux!$A$23)</f>
        <v/>
      </c>
      <c r="B257" s="17">
        <f>IF(A257="","",Baux!$B$23)</f>
        <v/>
      </c>
      <c r="C257" s="17" t="n">
        <v>4</v>
      </c>
      <c r="D257" s="15">
        <f>IF(OR(A257="",Baux!$F$23="",Baux!$O$23=""),"",EDATE(Baux!$F$23,12*Baux!$O$23*C257))</f>
        <v/>
      </c>
      <c r="E257" s="17">
        <f>IF(AD257=0,"",Baux!$M$23)</f>
        <v/>
      </c>
      <c r="F257" s="17">
        <f>IF(AD257=0,"",IFERROR(TEXT(VALUE(LEFT(Baux!$N$23,4))+C257*Baux!$O$23,"0")&amp;RIGHT(Baux!$N$23,3),""))</f>
        <v/>
      </c>
      <c r="G257" s="25">
        <f>IF(AD257=0,"",IF(F257="","",IF(SUMIFS(Indices_long!$C:$C,Indices_long!$A:$A,E257,Indices_long!$B:$B,F257)=0,"",SUMIFS(Indices_long!$C:$C,Indices_long!$A:$A,E257,Indices_long!$B:$B,F257))))</f>
        <v/>
      </c>
      <c r="H257" s="17">
        <f>IF(AD257=0,"",IF(Baux!$P$23="Base fixe",Baux!$N$23,IF(K256="Geler – rattrapage possible",H256,F256)))</f>
        <v/>
      </c>
      <c r="I257" s="25">
        <f>IF(AD257=0,"",IF(H257="","",IF(SUMIFS(Indices_long!$C:$C,Indices_long!$A:$A,E257,Indices_long!$B:$B,H257)=0,"",SUMIFS(Indices_long!$C:$C,Indices_long!$A:$A,E257,Indices_long!$B:$B,H257))))</f>
        <v/>
      </c>
      <c r="J257" s="26">
        <f>IF(OR(G257="",I257=""),"",G257/I257)</f>
        <v/>
      </c>
      <c r="K257" s="13" t="n"/>
      <c r="L257" s="27">
        <f>IF(AD257=0,"",IF(Baux!$P$23="Base fixe",Baux!$I$23,N256))</f>
        <v/>
      </c>
      <c r="M257" s="27">
        <f>IF(OR(J257="",L257=""),"",ROUND(L257*J257,2))</f>
        <v/>
      </c>
      <c r="N257" s="27">
        <f>IF(AD257=0,"",IF(LEFT(K257,5)="Geler",O257,IF(M257="","",IF(Baux!$Q$23="",M257,MIN(M257,ROUND(L257*(1+Baux!$Q$23/100)^IF(Baux!$P$23="Base fixe",C257*Baux!$O$23,VALUE(LEFT(F257,4))-VALUE(LEFT(H257,4))),2))))))</f>
        <v/>
      </c>
      <c r="O257" s="27">
        <f>IF(AD257=0,"",N256)</f>
        <v/>
      </c>
      <c r="P257" s="28">
        <f>IF(OR(N257="",O257=""),"",N257/O257-1)</f>
        <v/>
      </c>
      <c r="Q257" s="27">
        <f>IF(N257="","",N257/12)</f>
        <v/>
      </c>
      <c r="R257" s="27">
        <f>IF(N257="","",N257/IF(Baux!$L$23="Mensuelle",12,IF(Baux!$L$23="Trimestrielle",4,IF(Baux!$L$23="Semestrielle",2,1))))</f>
        <v/>
      </c>
      <c r="S257" s="27">
        <f>IF(AD257=0,"",IF(Baux!$J$23="",0,Baux!$J$23)/IF(Baux!$L$23="Mensuelle",12,IF(Baux!$L$23="Trimestrielle",4,IF(Baux!$L$23="Semestrielle",2,1))))</f>
        <v/>
      </c>
      <c r="T257" s="27">
        <f>IF(R257="","",(R257+S257)*Baux!$K$23/100)</f>
        <v/>
      </c>
      <c r="U257" s="27">
        <f>IF(R257="","",R257+S257+T257)</f>
        <v/>
      </c>
      <c r="V257" s="17">
        <f>IF(AD257=0,"",IF(LEFT(K257,5)="Geler","❄ Gelée",IF(G257="",IF(D257&lt;=TODAY(),"⚠ Indice attendu","À venir"),IF(D257&lt;=TODAY(),"✔ Calculable","Indice connu – à venir"))))</f>
        <v/>
      </c>
      <c r="W257" s="29" t="n"/>
      <c r="X257" s="13" t="n"/>
      <c r="Y257" s="14" t="n"/>
      <c r="Z257" s="14" t="n"/>
      <c r="AA257" s="13" t="n"/>
      <c r="AB257" s="17">
        <f>IF(A257="","",A257&amp;"#"&amp;C257)</f>
        <v/>
      </c>
      <c r="AC257" s="17">
        <f>IF(AND(AD257=1,D257&lt;=TODAY(),N257&lt;&gt;""),1,0)</f>
        <v/>
      </c>
      <c r="AD257" s="17">
        <f>IF(OR(A257="",D257=""),0,IF(AND(ISNUMBER(Baux!$H$23),D257&gt;Baux!$H$23),0,1))</f>
        <v/>
      </c>
    </row>
    <row r="258">
      <c r="A258" s="17">
        <f>IF(Baux!$A$23="","",Baux!$A$23)</f>
        <v/>
      </c>
      <c r="B258" s="17">
        <f>IF(A258="","",Baux!$B$23)</f>
        <v/>
      </c>
      <c r="C258" s="17" t="n">
        <v>5</v>
      </c>
      <c r="D258" s="15">
        <f>IF(OR(A258="",Baux!$F$23="",Baux!$O$23=""),"",EDATE(Baux!$F$23,12*Baux!$O$23*C258))</f>
        <v/>
      </c>
      <c r="E258" s="17">
        <f>IF(AD258=0,"",Baux!$M$23)</f>
        <v/>
      </c>
      <c r="F258" s="17">
        <f>IF(AD258=0,"",IFERROR(TEXT(VALUE(LEFT(Baux!$N$23,4))+C258*Baux!$O$23,"0")&amp;RIGHT(Baux!$N$23,3),""))</f>
        <v/>
      </c>
      <c r="G258" s="25">
        <f>IF(AD258=0,"",IF(F258="","",IF(SUMIFS(Indices_long!$C:$C,Indices_long!$A:$A,E258,Indices_long!$B:$B,F258)=0,"",SUMIFS(Indices_long!$C:$C,Indices_long!$A:$A,E258,Indices_long!$B:$B,F258))))</f>
        <v/>
      </c>
      <c r="H258" s="17">
        <f>IF(AD258=0,"",IF(Baux!$P$23="Base fixe",Baux!$N$23,IF(K257="Geler – rattrapage possible",H257,F257)))</f>
        <v/>
      </c>
      <c r="I258" s="25">
        <f>IF(AD258=0,"",IF(H258="","",IF(SUMIFS(Indices_long!$C:$C,Indices_long!$A:$A,E258,Indices_long!$B:$B,H258)=0,"",SUMIFS(Indices_long!$C:$C,Indices_long!$A:$A,E258,Indices_long!$B:$B,H258))))</f>
        <v/>
      </c>
      <c r="J258" s="26">
        <f>IF(OR(G258="",I258=""),"",G258/I258)</f>
        <v/>
      </c>
      <c r="K258" s="13" t="n"/>
      <c r="L258" s="27">
        <f>IF(AD258=0,"",IF(Baux!$P$23="Base fixe",Baux!$I$23,N257))</f>
        <v/>
      </c>
      <c r="M258" s="27">
        <f>IF(OR(J258="",L258=""),"",ROUND(L258*J258,2))</f>
        <v/>
      </c>
      <c r="N258" s="27">
        <f>IF(AD258=0,"",IF(LEFT(K258,5)="Geler",O258,IF(M258="","",IF(Baux!$Q$23="",M258,MIN(M258,ROUND(L258*(1+Baux!$Q$23/100)^IF(Baux!$P$23="Base fixe",C258*Baux!$O$23,VALUE(LEFT(F258,4))-VALUE(LEFT(H258,4))),2))))))</f>
        <v/>
      </c>
      <c r="O258" s="27">
        <f>IF(AD258=0,"",N257)</f>
        <v/>
      </c>
      <c r="P258" s="28">
        <f>IF(OR(N258="",O258=""),"",N258/O258-1)</f>
        <v/>
      </c>
      <c r="Q258" s="27">
        <f>IF(N258="","",N258/12)</f>
        <v/>
      </c>
      <c r="R258" s="27">
        <f>IF(N258="","",N258/IF(Baux!$L$23="Mensuelle",12,IF(Baux!$L$23="Trimestrielle",4,IF(Baux!$L$23="Semestrielle",2,1))))</f>
        <v/>
      </c>
      <c r="S258" s="27">
        <f>IF(AD258=0,"",IF(Baux!$J$23="",0,Baux!$J$23)/IF(Baux!$L$23="Mensuelle",12,IF(Baux!$L$23="Trimestrielle",4,IF(Baux!$L$23="Semestrielle",2,1))))</f>
        <v/>
      </c>
      <c r="T258" s="27">
        <f>IF(R258="","",(R258+S258)*Baux!$K$23/100)</f>
        <v/>
      </c>
      <c r="U258" s="27">
        <f>IF(R258="","",R258+S258+T258)</f>
        <v/>
      </c>
      <c r="V258" s="17">
        <f>IF(AD258=0,"",IF(LEFT(K258,5)="Geler","❄ Gelée",IF(G258="",IF(D258&lt;=TODAY(),"⚠ Indice attendu","À venir"),IF(D258&lt;=TODAY(),"✔ Calculable","Indice connu – à venir"))))</f>
        <v/>
      </c>
      <c r="W258" s="29" t="n"/>
      <c r="X258" s="13" t="n"/>
      <c r="Y258" s="14" t="n"/>
      <c r="Z258" s="14" t="n"/>
      <c r="AA258" s="13" t="n"/>
      <c r="AB258" s="17">
        <f>IF(A258="","",A258&amp;"#"&amp;C258)</f>
        <v/>
      </c>
      <c r="AC258" s="17">
        <f>IF(AND(AD258=1,D258&lt;=TODAY(),N258&lt;&gt;""),1,0)</f>
        <v/>
      </c>
      <c r="AD258" s="17">
        <f>IF(OR(A258="",D258=""),0,IF(AND(ISNUMBER(Baux!$H$23),D258&gt;Baux!$H$23),0,1))</f>
        <v/>
      </c>
    </row>
    <row r="259">
      <c r="A259" s="17">
        <f>IF(Baux!$A$23="","",Baux!$A$23)</f>
        <v/>
      </c>
      <c r="B259" s="17">
        <f>IF(A259="","",Baux!$B$23)</f>
        <v/>
      </c>
      <c r="C259" s="17" t="n">
        <v>6</v>
      </c>
      <c r="D259" s="15">
        <f>IF(OR(A259="",Baux!$F$23="",Baux!$O$23=""),"",EDATE(Baux!$F$23,12*Baux!$O$23*C259))</f>
        <v/>
      </c>
      <c r="E259" s="17">
        <f>IF(AD259=0,"",Baux!$M$23)</f>
        <v/>
      </c>
      <c r="F259" s="17">
        <f>IF(AD259=0,"",IFERROR(TEXT(VALUE(LEFT(Baux!$N$23,4))+C259*Baux!$O$23,"0")&amp;RIGHT(Baux!$N$23,3),""))</f>
        <v/>
      </c>
      <c r="G259" s="25">
        <f>IF(AD259=0,"",IF(F259="","",IF(SUMIFS(Indices_long!$C:$C,Indices_long!$A:$A,E259,Indices_long!$B:$B,F259)=0,"",SUMIFS(Indices_long!$C:$C,Indices_long!$A:$A,E259,Indices_long!$B:$B,F259))))</f>
        <v/>
      </c>
      <c r="H259" s="17">
        <f>IF(AD259=0,"",IF(Baux!$P$23="Base fixe",Baux!$N$23,IF(K258="Geler – rattrapage possible",H258,F258)))</f>
        <v/>
      </c>
      <c r="I259" s="25">
        <f>IF(AD259=0,"",IF(H259="","",IF(SUMIFS(Indices_long!$C:$C,Indices_long!$A:$A,E259,Indices_long!$B:$B,H259)=0,"",SUMIFS(Indices_long!$C:$C,Indices_long!$A:$A,E259,Indices_long!$B:$B,H259))))</f>
        <v/>
      </c>
      <c r="J259" s="26">
        <f>IF(OR(G259="",I259=""),"",G259/I259)</f>
        <v/>
      </c>
      <c r="K259" s="13" t="n"/>
      <c r="L259" s="27">
        <f>IF(AD259=0,"",IF(Baux!$P$23="Base fixe",Baux!$I$23,N258))</f>
        <v/>
      </c>
      <c r="M259" s="27">
        <f>IF(OR(J259="",L259=""),"",ROUND(L259*J259,2))</f>
        <v/>
      </c>
      <c r="N259" s="27">
        <f>IF(AD259=0,"",IF(LEFT(K259,5)="Geler",O259,IF(M259="","",IF(Baux!$Q$23="",M259,MIN(M259,ROUND(L259*(1+Baux!$Q$23/100)^IF(Baux!$P$23="Base fixe",C259*Baux!$O$23,VALUE(LEFT(F259,4))-VALUE(LEFT(H259,4))),2))))))</f>
        <v/>
      </c>
      <c r="O259" s="27">
        <f>IF(AD259=0,"",N258)</f>
        <v/>
      </c>
      <c r="P259" s="28">
        <f>IF(OR(N259="",O259=""),"",N259/O259-1)</f>
        <v/>
      </c>
      <c r="Q259" s="27">
        <f>IF(N259="","",N259/12)</f>
        <v/>
      </c>
      <c r="R259" s="27">
        <f>IF(N259="","",N259/IF(Baux!$L$23="Mensuelle",12,IF(Baux!$L$23="Trimestrielle",4,IF(Baux!$L$23="Semestrielle",2,1))))</f>
        <v/>
      </c>
      <c r="S259" s="27">
        <f>IF(AD259=0,"",IF(Baux!$J$23="",0,Baux!$J$23)/IF(Baux!$L$23="Mensuelle",12,IF(Baux!$L$23="Trimestrielle",4,IF(Baux!$L$23="Semestrielle",2,1))))</f>
        <v/>
      </c>
      <c r="T259" s="27">
        <f>IF(R259="","",(R259+S259)*Baux!$K$23/100)</f>
        <v/>
      </c>
      <c r="U259" s="27">
        <f>IF(R259="","",R259+S259+T259)</f>
        <v/>
      </c>
      <c r="V259" s="17">
        <f>IF(AD259=0,"",IF(LEFT(K259,5)="Geler","❄ Gelée",IF(G259="",IF(D259&lt;=TODAY(),"⚠ Indice attendu","À venir"),IF(D259&lt;=TODAY(),"✔ Calculable","Indice connu – à venir"))))</f>
        <v/>
      </c>
      <c r="W259" s="29" t="n"/>
      <c r="X259" s="13" t="n"/>
      <c r="Y259" s="14" t="n"/>
      <c r="Z259" s="14" t="n"/>
      <c r="AA259" s="13" t="n"/>
      <c r="AB259" s="17">
        <f>IF(A259="","",A259&amp;"#"&amp;C259)</f>
        <v/>
      </c>
      <c r="AC259" s="17">
        <f>IF(AND(AD259=1,D259&lt;=TODAY(),N259&lt;&gt;""),1,0)</f>
        <v/>
      </c>
      <c r="AD259" s="17">
        <f>IF(OR(A259="",D259=""),0,IF(AND(ISNUMBER(Baux!$H$23),D259&gt;Baux!$H$23),0,1))</f>
        <v/>
      </c>
    </row>
    <row r="260">
      <c r="A260" s="17">
        <f>IF(Baux!$A$23="","",Baux!$A$23)</f>
        <v/>
      </c>
      <c r="B260" s="17">
        <f>IF(A260="","",Baux!$B$23)</f>
        <v/>
      </c>
      <c r="C260" s="17" t="n">
        <v>7</v>
      </c>
      <c r="D260" s="15">
        <f>IF(OR(A260="",Baux!$F$23="",Baux!$O$23=""),"",EDATE(Baux!$F$23,12*Baux!$O$23*C260))</f>
        <v/>
      </c>
      <c r="E260" s="17">
        <f>IF(AD260=0,"",Baux!$M$23)</f>
        <v/>
      </c>
      <c r="F260" s="17">
        <f>IF(AD260=0,"",IFERROR(TEXT(VALUE(LEFT(Baux!$N$23,4))+C260*Baux!$O$23,"0")&amp;RIGHT(Baux!$N$23,3),""))</f>
        <v/>
      </c>
      <c r="G260" s="25">
        <f>IF(AD260=0,"",IF(F260="","",IF(SUMIFS(Indices_long!$C:$C,Indices_long!$A:$A,E260,Indices_long!$B:$B,F260)=0,"",SUMIFS(Indices_long!$C:$C,Indices_long!$A:$A,E260,Indices_long!$B:$B,F260))))</f>
        <v/>
      </c>
      <c r="H260" s="17">
        <f>IF(AD260=0,"",IF(Baux!$P$23="Base fixe",Baux!$N$23,IF(K259="Geler – rattrapage possible",H259,F259)))</f>
        <v/>
      </c>
      <c r="I260" s="25">
        <f>IF(AD260=0,"",IF(H260="","",IF(SUMIFS(Indices_long!$C:$C,Indices_long!$A:$A,E260,Indices_long!$B:$B,H260)=0,"",SUMIFS(Indices_long!$C:$C,Indices_long!$A:$A,E260,Indices_long!$B:$B,H260))))</f>
        <v/>
      </c>
      <c r="J260" s="26">
        <f>IF(OR(G260="",I260=""),"",G260/I260)</f>
        <v/>
      </c>
      <c r="K260" s="13" t="n"/>
      <c r="L260" s="27">
        <f>IF(AD260=0,"",IF(Baux!$P$23="Base fixe",Baux!$I$23,N259))</f>
        <v/>
      </c>
      <c r="M260" s="27">
        <f>IF(OR(J260="",L260=""),"",ROUND(L260*J260,2))</f>
        <v/>
      </c>
      <c r="N260" s="27">
        <f>IF(AD260=0,"",IF(LEFT(K260,5)="Geler",O260,IF(M260="","",IF(Baux!$Q$23="",M260,MIN(M260,ROUND(L260*(1+Baux!$Q$23/100)^IF(Baux!$P$23="Base fixe",C260*Baux!$O$23,VALUE(LEFT(F260,4))-VALUE(LEFT(H260,4))),2))))))</f>
        <v/>
      </c>
      <c r="O260" s="27">
        <f>IF(AD260=0,"",N259)</f>
        <v/>
      </c>
      <c r="P260" s="28">
        <f>IF(OR(N260="",O260=""),"",N260/O260-1)</f>
        <v/>
      </c>
      <c r="Q260" s="27">
        <f>IF(N260="","",N260/12)</f>
        <v/>
      </c>
      <c r="R260" s="27">
        <f>IF(N260="","",N260/IF(Baux!$L$23="Mensuelle",12,IF(Baux!$L$23="Trimestrielle",4,IF(Baux!$L$23="Semestrielle",2,1))))</f>
        <v/>
      </c>
      <c r="S260" s="27">
        <f>IF(AD260=0,"",IF(Baux!$J$23="",0,Baux!$J$23)/IF(Baux!$L$23="Mensuelle",12,IF(Baux!$L$23="Trimestrielle",4,IF(Baux!$L$23="Semestrielle",2,1))))</f>
        <v/>
      </c>
      <c r="T260" s="27">
        <f>IF(R260="","",(R260+S260)*Baux!$K$23/100)</f>
        <v/>
      </c>
      <c r="U260" s="27">
        <f>IF(R260="","",R260+S260+T260)</f>
        <v/>
      </c>
      <c r="V260" s="17">
        <f>IF(AD260=0,"",IF(LEFT(K260,5)="Geler","❄ Gelée",IF(G260="",IF(D260&lt;=TODAY(),"⚠ Indice attendu","À venir"),IF(D260&lt;=TODAY(),"✔ Calculable","Indice connu – à venir"))))</f>
        <v/>
      </c>
      <c r="W260" s="29" t="n"/>
      <c r="X260" s="13" t="n"/>
      <c r="Y260" s="14" t="n"/>
      <c r="Z260" s="14" t="n"/>
      <c r="AA260" s="13" t="n"/>
      <c r="AB260" s="17">
        <f>IF(A260="","",A260&amp;"#"&amp;C260)</f>
        <v/>
      </c>
      <c r="AC260" s="17">
        <f>IF(AND(AD260=1,D260&lt;=TODAY(),N260&lt;&gt;""),1,0)</f>
        <v/>
      </c>
      <c r="AD260" s="17">
        <f>IF(OR(A260="",D260=""),0,IF(AND(ISNUMBER(Baux!$H$23),D260&gt;Baux!$H$23),0,1))</f>
        <v/>
      </c>
    </row>
    <row r="261">
      <c r="A261" s="17">
        <f>IF(Baux!$A$23="","",Baux!$A$23)</f>
        <v/>
      </c>
      <c r="B261" s="17">
        <f>IF(A261="","",Baux!$B$23)</f>
        <v/>
      </c>
      <c r="C261" s="17" t="n">
        <v>8</v>
      </c>
      <c r="D261" s="15">
        <f>IF(OR(A261="",Baux!$F$23="",Baux!$O$23=""),"",EDATE(Baux!$F$23,12*Baux!$O$23*C261))</f>
        <v/>
      </c>
      <c r="E261" s="17">
        <f>IF(AD261=0,"",Baux!$M$23)</f>
        <v/>
      </c>
      <c r="F261" s="17">
        <f>IF(AD261=0,"",IFERROR(TEXT(VALUE(LEFT(Baux!$N$23,4))+C261*Baux!$O$23,"0")&amp;RIGHT(Baux!$N$23,3),""))</f>
        <v/>
      </c>
      <c r="G261" s="25">
        <f>IF(AD261=0,"",IF(F261="","",IF(SUMIFS(Indices_long!$C:$C,Indices_long!$A:$A,E261,Indices_long!$B:$B,F261)=0,"",SUMIFS(Indices_long!$C:$C,Indices_long!$A:$A,E261,Indices_long!$B:$B,F261))))</f>
        <v/>
      </c>
      <c r="H261" s="17">
        <f>IF(AD261=0,"",IF(Baux!$P$23="Base fixe",Baux!$N$23,IF(K260="Geler – rattrapage possible",H260,F260)))</f>
        <v/>
      </c>
      <c r="I261" s="25">
        <f>IF(AD261=0,"",IF(H261="","",IF(SUMIFS(Indices_long!$C:$C,Indices_long!$A:$A,E261,Indices_long!$B:$B,H261)=0,"",SUMIFS(Indices_long!$C:$C,Indices_long!$A:$A,E261,Indices_long!$B:$B,H261))))</f>
        <v/>
      </c>
      <c r="J261" s="26">
        <f>IF(OR(G261="",I261=""),"",G261/I261)</f>
        <v/>
      </c>
      <c r="K261" s="13" t="n"/>
      <c r="L261" s="27">
        <f>IF(AD261=0,"",IF(Baux!$P$23="Base fixe",Baux!$I$23,N260))</f>
        <v/>
      </c>
      <c r="M261" s="27">
        <f>IF(OR(J261="",L261=""),"",ROUND(L261*J261,2))</f>
        <v/>
      </c>
      <c r="N261" s="27">
        <f>IF(AD261=0,"",IF(LEFT(K261,5)="Geler",O261,IF(M261="","",IF(Baux!$Q$23="",M261,MIN(M261,ROUND(L261*(1+Baux!$Q$23/100)^IF(Baux!$P$23="Base fixe",C261*Baux!$O$23,VALUE(LEFT(F261,4))-VALUE(LEFT(H261,4))),2))))))</f>
        <v/>
      </c>
      <c r="O261" s="27">
        <f>IF(AD261=0,"",N260)</f>
        <v/>
      </c>
      <c r="P261" s="28">
        <f>IF(OR(N261="",O261=""),"",N261/O261-1)</f>
        <v/>
      </c>
      <c r="Q261" s="27">
        <f>IF(N261="","",N261/12)</f>
        <v/>
      </c>
      <c r="R261" s="27">
        <f>IF(N261="","",N261/IF(Baux!$L$23="Mensuelle",12,IF(Baux!$L$23="Trimestrielle",4,IF(Baux!$L$23="Semestrielle",2,1))))</f>
        <v/>
      </c>
      <c r="S261" s="27">
        <f>IF(AD261=0,"",IF(Baux!$J$23="",0,Baux!$J$23)/IF(Baux!$L$23="Mensuelle",12,IF(Baux!$L$23="Trimestrielle",4,IF(Baux!$L$23="Semestrielle",2,1))))</f>
        <v/>
      </c>
      <c r="T261" s="27">
        <f>IF(R261="","",(R261+S261)*Baux!$K$23/100)</f>
        <v/>
      </c>
      <c r="U261" s="27">
        <f>IF(R261="","",R261+S261+T261)</f>
        <v/>
      </c>
      <c r="V261" s="17">
        <f>IF(AD261=0,"",IF(LEFT(K261,5)="Geler","❄ Gelée",IF(G261="",IF(D261&lt;=TODAY(),"⚠ Indice attendu","À venir"),IF(D261&lt;=TODAY(),"✔ Calculable","Indice connu – à venir"))))</f>
        <v/>
      </c>
      <c r="W261" s="29" t="n"/>
      <c r="X261" s="13" t="n"/>
      <c r="Y261" s="14" t="n"/>
      <c r="Z261" s="14" t="n"/>
      <c r="AA261" s="13" t="n"/>
      <c r="AB261" s="17">
        <f>IF(A261="","",A261&amp;"#"&amp;C261)</f>
        <v/>
      </c>
      <c r="AC261" s="17">
        <f>IF(AND(AD261=1,D261&lt;=TODAY(),N261&lt;&gt;""),1,0)</f>
        <v/>
      </c>
      <c r="AD261" s="17">
        <f>IF(OR(A261="",D261=""),0,IF(AND(ISNUMBER(Baux!$H$23),D261&gt;Baux!$H$23),0,1))</f>
        <v/>
      </c>
    </row>
    <row r="262">
      <c r="A262" s="17">
        <f>IF(Baux!$A$23="","",Baux!$A$23)</f>
        <v/>
      </c>
      <c r="B262" s="17">
        <f>IF(A262="","",Baux!$B$23)</f>
        <v/>
      </c>
      <c r="C262" s="17" t="n">
        <v>9</v>
      </c>
      <c r="D262" s="15">
        <f>IF(OR(A262="",Baux!$F$23="",Baux!$O$23=""),"",EDATE(Baux!$F$23,12*Baux!$O$23*C262))</f>
        <v/>
      </c>
      <c r="E262" s="17">
        <f>IF(AD262=0,"",Baux!$M$23)</f>
        <v/>
      </c>
      <c r="F262" s="17">
        <f>IF(AD262=0,"",IFERROR(TEXT(VALUE(LEFT(Baux!$N$23,4))+C262*Baux!$O$23,"0")&amp;RIGHT(Baux!$N$23,3),""))</f>
        <v/>
      </c>
      <c r="G262" s="25">
        <f>IF(AD262=0,"",IF(F262="","",IF(SUMIFS(Indices_long!$C:$C,Indices_long!$A:$A,E262,Indices_long!$B:$B,F262)=0,"",SUMIFS(Indices_long!$C:$C,Indices_long!$A:$A,E262,Indices_long!$B:$B,F262))))</f>
        <v/>
      </c>
      <c r="H262" s="17">
        <f>IF(AD262=0,"",IF(Baux!$P$23="Base fixe",Baux!$N$23,IF(K261="Geler – rattrapage possible",H261,F261)))</f>
        <v/>
      </c>
      <c r="I262" s="25">
        <f>IF(AD262=0,"",IF(H262="","",IF(SUMIFS(Indices_long!$C:$C,Indices_long!$A:$A,E262,Indices_long!$B:$B,H262)=0,"",SUMIFS(Indices_long!$C:$C,Indices_long!$A:$A,E262,Indices_long!$B:$B,H262))))</f>
        <v/>
      </c>
      <c r="J262" s="26">
        <f>IF(OR(G262="",I262=""),"",G262/I262)</f>
        <v/>
      </c>
      <c r="K262" s="13" t="n"/>
      <c r="L262" s="27">
        <f>IF(AD262=0,"",IF(Baux!$P$23="Base fixe",Baux!$I$23,N261))</f>
        <v/>
      </c>
      <c r="M262" s="27">
        <f>IF(OR(J262="",L262=""),"",ROUND(L262*J262,2))</f>
        <v/>
      </c>
      <c r="N262" s="27">
        <f>IF(AD262=0,"",IF(LEFT(K262,5)="Geler",O262,IF(M262="","",IF(Baux!$Q$23="",M262,MIN(M262,ROUND(L262*(1+Baux!$Q$23/100)^IF(Baux!$P$23="Base fixe",C262*Baux!$O$23,VALUE(LEFT(F262,4))-VALUE(LEFT(H262,4))),2))))))</f>
        <v/>
      </c>
      <c r="O262" s="27">
        <f>IF(AD262=0,"",N261)</f>
        <v/>
      </c>
      <c r="P262" s="28">
        <f>IF(OR(N262="",O262=""),"",N262/O262-1)</f>
        <v/>
      </c>
      <c r="Q262" s="27">
        <f>IF(N262="","",N262/12)</f>
        <v/>
      </c>
      <c r="R262" s="27">
        <f>IF(N262="","",N262/IF(Baux!$L$23="Mensuelle",12,IF(Baux!$L$23="Trimestrielle",4,IF(Baux!$L$23="Semestrielle",2,1))))</f>
        <v/>
      </c>
      <c r="S262" s="27">
        <f>IF(AD262=0,"",IF(Baux!$J$23="",0,Baux!$J$23)/IF(Baux!$L$23="Mensuelle",12,IF(Baux!$L$23="Trimestrielle",4,IF(Baux!$L$23="Semestrielle",2,1))))</f>
        <v/>
      </c>
      <c r="T262" s="27">
        <f>IF(R262="","",(R262+S262)*Baux!$K$23/100)</f>
        <v/>
      </c>
      <c r="U262" s="27">
        <f>IF(R262="","",R262+S262+T262)</f>
        <v/>
      </c>
      <c r="V262" s="17">
        <f>IF(AD262=0,"",IF(LEFT(K262,5)="Geler","❄ Gelée",IF(G262="",IF(D262&lt;=TODAY(),"⚠ Indice attendu","À venir"),IF(D262&lt;=TODAY(),"✔ Calculable","Indice connu – à venir"))))</f>
        <v/>
      </c>
      <c r="W262" s="29" t="n"/>
      <c r="X262" s="13" t="n"/>
      <c r="Y262" s="14" t="n"/>
      <c r="Z262" s="14" t="n"/>
      <c r="AA262" s="13" t="n"/>
      <c r="AB262" s="17">
        <f>IF(A262="","",A262&amp;"#"&amp;C262)</f>
        <v/>
      </c>
      <c r="AC262" s="17">
        <f>IF(AND(AD262=1,D262&lt;=TODAY(),N262&lt;&gt;""),1,0)</f>
        <v/>
      </c>
      <c r="AD262" s="17">
        <f>IF(OR(A262="",D262=""),0,IF(AND(ISNUMBER(Baux!$H$23),D262&gt;Baux!$H$23),0,1))</f>
        <v/>
      </c>
    </row>
    <row r="263">
      <c r="A263" s="17">
        <f>IF(Baux!$A$23="","",Baux!$A$23)</f>
        <v/>
      </c>
      <c r="B263" s="17">
        <f>IF(A263="","",Baux!$B$23)</f>
        <v/>
      </c>
      <c r="C263" s="17" t="n">
        <v>10</v>
      </c>
      <c r="D263" s="15">
        <f>IF(OR(A263="",Baux!$F$23="",Baux!$O$23=""),"",EDATE(Baux!$F$23,12*Baux!$O$23*C263))</f>
        <v/>
      </c>
      <c r="E263" s="17">
        <f>IF(AD263=0,"",Baux!$M$23)</f>
        <v/>
      </c>
      <c r="F263" s="17">
        <f>IF(AD263=0,"",IFERROR(TEXT(VALUE(LEFT(Baux!$N$23,4))+C263*Baux!$O$23,"0")&amp;RIGHT(Baux!$N$23,3),""))</f>
        <v/>
      </c>
      <c r="G263" s="25">
        <f>IF(AD263=0,"",IF(F263="","",IF(SUMIFS(Indices_long!$C:$C,Indices_long!$A:$A,E263,Indices_long!$B:$B,F263)=0,"",SUMIFS(Indices_long!$C:$C,Indices_long!$A:$A,E263,Indices_long!$B:$B,F263))))</f>
        <v/>
      </c>
      <c r="H263" s="17">
        <f>IF(AD263=0,"",IF(Baux!$P$23="Base fixe",Baux!$N$23,IF(K262="Geler – rattrapage possible",H262,F262)))</f>
        <v/>
      </c>
      <c r="I263" s="25">
        <f>IF(AD263=0,"",IF(H263="","",IF(SUMIFS(Indices_long!$C:$C,Indices_long!$A:$A,E263,Indices_long!$B:$B,H263)=0,"",SUMIFS(Indices_long!$C:$C,Indices_long!$A:$A,E263,Indices_long!$B:$B,H263))))</f>
        <v/>
      </c>
      <c r="J263" s="26">
        <f>IF(OR(G263="",I263=""),"",G263/I263)</f>
        <v/>
      </c>
      <c r="K263" s="13" t="n"/>
      <c r="L263" s="27">
        <f>IF(AD263=0,"",IF(Baux!$P$23="Base fixe",Baux!$I$23,N262))</f>
        <v/>
      </c>
      <c r="M263" s="27">
        <f>IF(OR(J263="",L263=""),"",ROUND(L263*J263,2))</f>
        <v/>
      </c>
      <c r="N263" s="27">
        <f>IF(AD263=0,"",IF(LEFT(K263,5)="Geler",O263,IF(M263="","",IF(Baux!$Q$23="",M263,MIN(M263,ROUND(L263*(1+Baux!$Q$23/100)^IF(Baux!$P$23="Base fixe",C263*Baux!$O$23,VALUE(LEFT(F263,4))-VALUE(LEFT(H263,4))),2))))))</f>
        <v/>
      </c>
      <c r="O263" s="27">
        <f>IF(AD263=0,"",N262)</f>
        <v/>
      </c>
      <c r="P263" s="28">
        <f>IF(OR(N263="",O263=""),"",N263/O263-1)</f>
        <v/>
      </c>
      <c r="Q263" s="27">
        <f>IF(N263="","",N263/12)</f>
        <v/>
      </c>
      <c r="R263" s="27">
        <f>IF(N263="","",N263/IF(Baux!$L$23="Mensuelle",12,IF(Baux!$L$23="Trimestrielle",4,IF(Baux!$L$23="Semestrielle",2,1))))</f>
        <v/>
      </c>
      <c r="S263" s="27">
        <f>IF(AD263=0,"",IF(Baux!$J$23="",0,Baux!$J$23)/IF(Baux!$L$23="Mensuelle",12,IF(Baux!$L$23="Trimestrielle",4,IF(Baux!$L$23="Semestrielle",2,1))))</f>
        <v/>
      </c>
      <c r="T263" s="27">
        <f>IF(R263="","",(R263+S263)*Baux!$K$23/100)</f>
        <v/>
      </c>
      <c r="U263" s="27">
        <f>IF(R263="","",R263+S263+T263)</f>
        <v/>
      </c>
      <c r="V263" s="17">
        <f>IF(AD263=0,"",IF(LEFT(K263,5)="Geler","❄ Gelée",IF(G263="",IF(D263&lt;=TODAY(),"⚠ Indice attendu","À venir"),IF(D263&lt;=TODAY(),"✔ Calculable","Indice connu – à venir"))))</f>
        <v/>
      </c>
      <c r="W263" s="29" t="n"/>
      <c r="X263" s="13" t="n"/>
      <c r="Y263" s="14" t="n"/>
      <c r="Z263" s="14" t="n"/>
      <c r="AA263" s="13" t="n"/>
      <c r="AB263" s="17">
        <f>IF(A263="","",A263&amp;"#"&amp;C263)</f>
        <v/>
      </c>
      <c r="AC263" s="17">
        <f>IF(AND(AD263=1,D263&lt;=TODAY(),N263&lt;&gt;""),1,0)</f>
        <v/>
      </c>
      <c r="AD263" s="17">
        <f>IF(OR(A263="",D263=""),0,IF(AND(ISNUMBER(Baux!$H$23),D263&gt;Baux!$H$23),0,1))</f>
        <v/>
      </c>
    </row>
    <row r="264">
      <c r="A264" s="17">
        <f>IF(Baux!$A$23="","",Baux!$A$23)</f>
        <v/>
      </c>
      <c r="B264" s="17">
        <f>IF(A264="","",Baux!$B$23)</f>
        <v/>
      </c>
      <c r="C264" s="17" t="n">
        <v>11</v>
      </c>
      <c r="D264" s="15">
        <f>IF(OR(A264="",Baux!$F$23="",Baux!$O$23=""),"",EDATE(Baux!$F$23,12*Baux!$O$23*C264))</f>
        <v/>
      </c>
      <c r="E264" s="17">
        <f>IF(AD264=0,"",Baux!$M$23)</f>
        <v/>
      </c>
      <c r="F264" s="17">
        <f>IF(AD264=0,"",IFERROR(TEXT(VALUE(LEFT(Baux!$N$23,4))+C264*Baux!$O$23,"0")&amp;RIGHT(Baux!$N$23,3),""))</f>
        <v/>
      </c>
      <c r="G264" s="25">
        <f>IF(AD264=0,"",IF(F264="","",IF(SUMIFS(Indices_long!$C:$C,Indices_long!$A:$A,E264,Indices_long!$B:$B,F264)=0,"",SUMIFS(Indices_long!$C:$C,Indices_long!$A:$A,E264,Indices_long!$B:$B,F264))))</f>
        <v/>
      </c>
      <c r="H264" s="17">
        <f>IF(AD264=0,"",IF(Baux!$P$23="Base fixe",Baux!$N$23,IF(K263="Geler – rattrapage possible",H263,F263)))</f>
        <v/>
      </c>
      <c r="I264" s="25">
        <f>IF(AD264=0,"",IF(H264="","",IF(SUMIFS(Indices_long!$C:$C,Indices_long!$A:$A,E264,Indices_long!$B:$B,H264)=0,"",SUMIFS(Indices_long!$C:$C,Indices_long!$A:$A,E264,Indices_long!$B:$B,H264))))</f>
        <v/>
      </c>
      <c r="J264" s="26">
        <f>IF(OR(G264="",I264=""),"",G264/I264)</f>
        <v/>
      </c>
      <c r="K264" s="13" t="n"/>
      <c r="L264" s="27">
        <f>IF(AD264=0,"",IF(Baux!$P$23="Base fixe",Baux!$I$23,N263))</f>
        <v/>
      </c>
      <c r="M264" s="27">
        <f>IF(OR(J264="",L264=""),"",ROUND(L264*J264,2))</f>
        <v/>
      </c>
      <c r="N264" s="27">
        <f>IF(AD264=0,"",IF(LEFT(K264,5)="Geler",O264,IF(M264="","",IF(Baux!$Q$23="",M264,MIN(M264,ROUND(L264*(1+Baux!$Q$23/100)^IF(Baux!$P$23="Base fixe",C264*Baux!$O$23,VALUE(LEFT(F264,4))-VALUE(LEFT(H264,4))),2))))))</f>
        <v/>
      </c>
      <c r="O264" s="27">
        <f>IF(AD264=0,"",N263)</f>
        <v/>
      </c>
      <c r="P264" s="28">
        <f>IF(OR(N264="",O264=""),"",N264/O264-1)</f>
        <v/>
      </c>
      <c r="Q264" s="27">
        <f>IF(N264="","",N264/12)</f>
        <v/>
      </c>
      <c r="R264" s="27">
        <f>IF(N264="","",N264/IF(Baux!$L$23="Mensuelle",12,IF(Baux!$L$23="Trimestrielle",4,IF(Baux!$L$23="Semestrielle",2,1))))</f>
        <v/>
      </c>
      <c r="S264" s="27">
        <f>IF(AD264=0,"",IF(Baux!$J$23="",0,Baux!$J$23)/IF(Baux!$L$23="Mensuelle",12,IF(Baux!$L$23="Trimestrielle",4,IF(Baux!$L$23="Semestrielle",2,1))))</f>
        <v/>
      </c>
      <c r="T264" s="27">
        <f>IF(R264="","",(R264+S264)*Baux!$K$23/100)</f>
        <v/>
      </c>
      <c r="U264" s="27">
        <f>IF(R264="","",R264+S264+T264)</f>
        <v/>
      </c>
      <c r="V264" s="17">
        <f>IF(AD264=0,"",IF(LEFT(K264,5)="Geler","❄ Gelée",IF(G264="",IF(D264&lt;=TODAY(),"⚠ Indice attendu","À venir"),IF(D264&lt;=TODAY(),"✔ Calculable","Indice connu – à venir"))))</f>
        <v/>
      </c>
      <c r="W264" s="29" t="n"/>
      <c r="X264" s="13" t="n"/>
      <c r="Y264" s="14" t="n"/>
      <c r="Z264" s="14" t="n"/>
      <c r="AA264" s="13" t="n"/>
      <c r="AB264" s="17">
        <f>IF(A264="","",A264&amp;"#"&amp;C264)</f>
        <v/>
      </c>
      <c r="AC264" s="17">
        <f>IF(AND(AD264=1,D264&lt;=TODAY(),N264&lt;&gt;""),1,0)</f>
        <v/>
      </c>
      <c r="AD264" s="17">
        <f>IF(OR(A264="",D264=""),0,IF(AND(ISNUMBER(Baux!$H$23),D264&gt;Baux!$H$23),0,1))</f>
        <v/>
      </c>
    </row>
    <row r="265">
      <c r="A265" s="17">
        <f>IF(Baux!$A$23="","",Baux!$A$23)</f>
        <v/>
      </c>
      <c r="B265" s="17">
        <f>IF(A265="","",Baux!$B$23)</f>
        <v/>
      </c>
      <c r="C265" s="17" t="n">
        <v>12</v>
      </c>
      <c r="D265" s="15">
        <f>IF(OR(A265="",Baux!$F$23="",Baux!$O$23=""),"",EDATE(Baux!$F$23,12*Baux!$O$23*C265))</f>
        <v/>
      </c>
      <c r="E265" s="17">
        <f>IF(AD265=0,"",Baux!$M$23)</f>
        <v/>
      </c>
      <c r="F265" s="17">
        <f>IF(AD265=0,"",IFERROR(TEXT(VALUE(LEFT(Baux!$N$23,4))+C265*Baux!$O$23,"0")&amp;RIGHT(Baux!$N$23,3),""))</f>
        <v/>
      </c>
      <c r="G265" s="25">
        <f>IF(AD265=0,"",IF(F265="","",IF(SUMIFS(Indices_long!$C:$C,Indices_long!$A:$A,E265,Indices_long!$B:$B,F265)=0,"",SUMIFS(Indices_long!$C:$C,Indices_long!$A:$A,E265,Indices_long!$B:$B,F265))))</f>
        <v/>
      </c>
      <c r="H265" s="17">
        <f>IF(AD265=0,"",IF(Baux!$P$23="Base fixe",Baux!$N$23,IF(K264="Geler – rattrapage possible",H264,F264)))</f>
        <v/>
      </c>
      <c r="I265" s="25">
        <f>IF(AD265=0,"",IF(H265="","",IF(SUMIFS(Indices_long!$C:$C,Indices_long!$A:$A,E265,Indices_long!$B:$B,H265)=0,"",SUMIFS(Indices_long!$C:$C,Indices_long!$A:$A,E265,Indices_long!$B:$B,H265))))</f>
        <v/>
      </c>
      <c r="J265" s="26">
        <f>IF(OR(G265="",I265=""),"",G265/I265)</f>
        <v/>
      </c>
      <c r="K265" s="13" t="n"/>
      <c r="L265" s="27">
        <f>IF(AD265=0,"",IF(Baux!$P$23="Base fixe",Baux!$I$23,N264))</f>
        <v/>
      </c>
      <c r="M265" s="27">
        <f>IF(OR(J265="",L265=""),"",ROUND(L265*J265,2))</f>
        <v/>
      </c>
      <c r="N265" s="27">
        <f>IF(AD265=0,"",IF(LEFT(K265,5)="Geler",O265,IF(M265="","",IF(Baux!$Q$23="",M265,MIN(M265,ROUND(L265*(1+Baux!$Q$23/100)^IF(Baux!$P$23="Base fixe",C265*Baux!$O$23,VALUE(LEFT(F265,4))-VALUE(LEFT(H265,4))),2))))))</f>
        <v/>
      </c>
      <c r="O265" s="27">
        <f>IF(AD265=0,"",N264)</f>
        <v/>
      </c>
      <c r="P265" s="28">
        <f>IF(OR(N265="",O265=""),"",N265/O265-1)</f>
        <v/>
      </c>
      <c r="Q265" s="27">
        <f>IF(N265="","",N265/12)</f>
        <v/>
      </c>
      <c r="R265" s="27">
        <f>IF(N265="","",N265/IF(Baux!$L$23="Mensuelle",12,IF(Baux!$L$23="Trimestrielle",4,IF(Baux!$L$23="Semestrielle",2,1))))</f>
        <v/>
      </c>
      <c r="S265" s="27">
        <f>IF(AD265=0,"",IF(Baux!$J$23="",0,Baux!$J$23)/IF(Baux!$L$23="Mensuelle",12,IF(Baux!$L$23="Trimestrielle",4,IF(Baux!$L$23="Semestrielle",2,1))))</f>
        <v/>
      </c>
      <c r="T265" s="27">
        <f>IF(R265="","",(R265+S265)*Baux!$K$23/100)</f>
        <v/>
      </c>
      <c r="U265" s="27">
        <f>IF(R265="","",R265+S265+T265)</f>
        <v/>
      </c>
      <c r="V265" s="17">
        <f>IF(AD265=0,"",IF(LEFT(K265,5)="Geler","❄ Gelée",IF(G265="",IF(D265&lt;=TODAY(),"⚠ Indice attendu","À venir"),IF(D265&lt;=TODAY(),"✔ Calculable","Indice connu – à venir"))))</f>
        <v/>
      </c>
      <c r="W265" s="29" t="n"/>
      <c r="X265" s="13" t="n"/>
      <c r="Y265" s="14" t="n"/>
      <c r="Z265" s="14" t="n"/>
      <c r="AA265" s="13" t="n"/>
      <c r="AB265" s="17">
        <f>IF(A265="","",A265&amp;"#"&amp;C265)</f>
        <v/>
      </c>
      <c r="AC265" s="17">
        <f>IF(AND(AD265=1,D265&lt;=TODAY(),N265&lt;&gt;""),1,0)</f>
        <v/>
      </c>
      <c r="AD265" s="17">
        <f>IF(OR(A265="",D265=""),0,IF(AND(ISNUMBER(Baux!$H$23),D265&gt;Baux!$H$23),0,1))</f>
        <v/>
      </c>
    </row>
    <row r="266">
      <c r="A266" s="17">
        <f>IF(Baux!$A$24="","",Baux!$A$24)</f>
        <v/>
      </c>
      <c r="B266" s="17">
        <f>IF(A266="","",Baux!$B$24)</f>
        <v/>
      </c>
      <c r="C266" s="17" t="n">
        <v>1</v>
      </c>
      <c r="D266" s="15">
        <f>IF(OR(A266="",Baux!$F$24="",Baux!$O$24=""),"",EDATE(Baux!$F$24,12*Baux!$O$24*C266))</f>
        <v/>
      </c>
      <c r="E266" s="17">
        <f>IF(AD266=0,"",Baux!$M$24)</f>
        <v/>
      </c>
      <c r="F266" s="17">
        <f>IF(AD266=0,"",IFERROR(TEXT(VALUE(LEFT(Baux!$N$24,4))+C266*Baux!$O$24,"0")&amp;RIGHT(Baux!$N$24,3),""))</f>
        <v/>
      </c>
      <c r="G266" s="25">
        <f>IF(AD266=0,"",IF(F266="","",IF(SUMIFS(Indices_long!$C:$C,Indices_long!$A:$A,E266,Indices_long!$B:$B,F266)=0,"",SUMIFS(Indices_long!$C:$C,Indices_long!$A:$A,E266,Indices_long!$B:$B,F266))))</f>
        <v/>
      </c>
      <c r="H266" s="17">
        <f>IF(AD266=0,"",Baux!$N$24)</f>
        <v/>
      </c>
      <c r="I266" s="25">
        <f>IF(AD266=0,"",IF(H266="","",IF(SUMIFS(Indices_long!$C:$C,Indices_long!$A:$A,E266,Indices_long!$B:$B,H266)=0,"",SUMIFS(Indices_long!$C:$C,Indices_long!$A:$A,E266,Indices_long!$B:$B,H266))))</f>
        <v/>
      </c>
      <c r="J266" s="26">
        <f>IF(OR(G266="",I266=""),"",G266/I266)</f>
        <v/>
      </c>
      <c r="K266" s="13" t="n"/>
      <c r="L266" s="27">
        <f>IF(AD266=0,"",Baux!$I$24)</f>
        <v/>
      </c>
      <c r="M266" s="27">
        <f>IF(OR(J266="",L266=""),"",ROUND(L266*J266,2))</f>
        <v/>
      </c>
      <c r="N266" s="27">
        <f>IF(AD266=0,"",IF(LEFT(K266,5)="Geler",O266,IF(M266="","",IF(Baux!$Q$24="",M266,MIN(M266,ROUND(L266*(1+Baux!$Q$24/100)^IF(Baux!$P$24="Base fixe",C266*Baux!$O$24,VALUE(LEFT(F266,4))-VALUE(LEFT(H266,4))),2))))))</f>
        <v/>
      </c>
      <c r="O266" s="27">
        <f>IF(AD266=0,"",Baux!$I$24)</f>
        <v/>
      </c>
      <c r="P266" s="28">
        <f>IF(OR(N266="",O266=""),"",N266/O266-1)</f>
        <v/>
      </c>
      <c r="Q266" s="27">
        <f>IF(N266="","",N266/12)</f>
        <v/>
      </c>
      <c r="R266" s="27">
        <f>IF(N266="","",N266/IF(Baux!$L$24="Mensuelle",12,IF(Baux!$L$24="Trimestrielle",4,IF(Baux!$L$24="Semestrielle",2,1))))</f>
        <v/>
      </c>
      <c r="S266" s="27">
        <f>IF(AD266=0,"",IF(Baux!$J$24="",0,Baux!$J$24)/IF(Baux!$L$24="Mensuelle",12,IF(Baux!$L$24="Trimestrielle",4,IF(Baux!$L$24="Semestrielle",2,1))))</f>
        <v/>
      </c>
      <c r="T266" s="27">
        <f>IF(R266="","",(R266+S266)*Baux!$K$24/100)</f>
        <v/>
      </c>
      <c r="U266" s="27">
        <f>IF(R266="","",R266+S266+T266)</f>
        <v/>
      </c>
      <c r="V266" s="17">
        <f>IF(AD266=0,"",IF(LEFT(K266,5)="Geler","❄ Gelée",IF(G266="",IF(D266&lt;=TODAY(),"⚠ Indice attendu","À venir"),IF(D266&lt;=TODAY(),"✔ Calculable","Indice connu – à venir"))))</f>
        <v/>
      </c>
      <c r="W266" s="29" t="n"/>
      <c r="X266" s="13" t="n"/>
      <c r="Y266" s="14" t="n"/>
      <c r="Z266" s="14" t="n"/>
      <c r="AA266" s="13" t="n"/>
      <c r="AB266" s="17">
        <f>IF(A266="","",A266&amp;"#"&amp;C266)</f>
        <v/>
      </c>
      <c r="AC266" s="17">
        <f>IF(AND(AD266=1,D266&lt;=TODAY(),N266&lt;&gt;""),1,0)</f>
        <v/>
      </c>
      <c r="AD266" s="17">
        <f>IF(OR(A266="",D266=""),0,IF(AND(ISNUMBER(Baux!$H$24),D266&gt;Baux!$H$24),0,1))</f>
        <v/>
      </c>
    </row>
    <row r="267">
      <c r="A267" s="17">
        <f>IF(Baux!$A$24="","",Baux!$A$24)</f>
        <v/>
      </c>
      <c r="B267" s="17">
        <f>IF(A267="","",Baux!$B$24)</f>
        <v/>
      </c>
      <c r="C267" s="17" t="n">
        <v>2</v>
      </c>
      <c r="D267" s="15">
        <f>IF(OR(A267="",Baux!$F$24="",Baux!$O$24=""),"",EDATE(Baux!$F$24,12*Baux!$O$24*C267))</f>
        <v/>
      </c>
      <c r="E267" s="17">
        <f>IF(AD267=0,"",Baux!$M$24)</f>
        <v/>
      </c>
      <c r="F267" s="17">
        <f>IF(AD267=0,"",IFERROR(TEXT(VALUE(LEFT(Baux!$N$24,4))+C267*Baux!$O$24,"0")&amp;RIGHT(Baux!$N$24,3),""))</f>
        <v/>
      </c>
      <c r="G267" s="25">
        <f>IF(AD267=0,"",IF(F267="","",IF(SUMIFS(Indices_long!$C:$C,Indices_long!$A:$A,E267,Indices_long!$B:$B,F267)=0,"",SUMIFS(Indices_long!$C:$C,Indices_long!$A:$A,E267,Indices_long!$B:$B,F267))))</f>
        <v/>
      </c>
      <c r="H267" s="17">
        <f>IF(AD267=0,"",IF(Baux!$P$24="Base fixe",Baux!$N$24,IF(K266="Geler – rattrapage possible",H266,F266)))</f>
        <v/>
      </c>
      <c r="I267" s="25">
        <f>IF(AD267=0,"",IF(H267="","",IF(SUMIFS(Indices_long!$C:$C,Indices_long!$A:$A,E267,Indices_long!$B:$B,H267)=0,"",SUMIFS(Indices_long!$C:$C,Indices_long!$A:$A,E267,Indices_long!$B:$B,H267))))</f>
        <v/>
      </c>
      <c r="J267" s="26">
        <f>IF(OR(G267="",I267=""),"",G267/I267)</f>
        <v/>
      </c>
      <c r="K267" s="13" t="n"/>
      <c r="L267" s="27">
        <f>IF(AD267=0,"",IF(Baux!$P$24="Base fixe",Baux!$I$24,N266))</f>
        <v/>
      </c>
      <c r="M267" s="27">
        <f>IF(OR(J267="",L267=""),"",ROUND(L267*J267,2))</f>
        <v/>
      </c>
      <c r="N267" s="27">
        <f>IF(AD267=0,"",IF(LEFT(K267,5)="Geler",O267,IF(M267="","",IF(Baux!$Q$24="",M267,MIN(M267,ROUND(L267*(1+Baux!$Q$24/100)^IF(Baux!$P$24="Base fixe",C267*Baux!$O$24,VALUE(LEFT(F267,4))-VALUE(LEFT(H267,4))),2))))))</f>
        <v/>
      </c>
      <c r="O267" s="27">
        <f>IF(AD267=0,"",N266)</f>
        <v/>
      </c>
      <c r="P267" s="28">
        <f>IF(OR(N267="",O267=""),"",N267/O267-1)</f>
        <v/>
      </c>
      <c r="Q267" s="27">
        <f>IF(N267="","",N267/12)</f>
        <v/>
      </c>
      <c r="R267" s="27">
        <f>IF(N267="","",N267/IF(Baux!$L$24="Mensuelle",12,IF(Baux!$L$24="Trimestrielle",4,IF(Baux!$L$24="Semestrielle",2,1))))</f>
        <v/>
      </c>
      <c r="S267" s="27">
        <f>IF(AD267=0,"",IF(Baux!$J$24="",0,Baux!$J$24)/IF(Baux!$L$24="Mensuelle",12,IF(Baux!$L$24="Trimestrielle",4,IF(Baux!$L$24="Semestrielle",2,1))))</f>
        <v/>
      </c>
      <c r="T267" s="27">
        <f>IF(R267="","",(R267+S267)*Baux!$K$24/100)</f>
        <v/>
      </c>
      <c r="U267" s="27">
        <f>IF(R267="","",R267+S267+T267)</f>
        <v/>
      </c>
      <c r="V267" s="17">
        <f>IF(AD267=0,"",IF(LEFT(K267,5)="Geler","❄ Gelée",IF(G267="",IF(D267&lt;=TODAY(),"⚠ Indice attendu","À venir"),IF(D267&lt;=TODAY(),"✔ Calculable","Indice connu – à venir"))))</f>
        <v/>
      </c>
      <c r="W267" s="29" t="n"/>
      <c r="X267" s="13" t="n"/>
      <c r="Y267" s="14" t="n"/>
      <c r="Z267" s="14" t="n"/>
      <c r="AA267" s="13" t="n"/>
      <c r="AB267" s="17">
        <f>IF(A267="","",A267&amp;"#"&amp;C267)</f>
        <v/>
      </c>
      <c r="AC267" s="17">
        <f>IF(AND(AD267=1,D267&lt;=TODAY(),N267&lt;&gt;""),1,0)</f>
        <v/>
      </c>
      <c r="AD267" s="17">
        <f>IF(OR(A267="",D267=""),0,IF(AND(ISNUMBER(Baux!$H$24),D267&gt;Baux!$H$24),0,1))</f>
        <v/>
      </c>
    </row>
    <row r="268">
      <c r="A268" s="17">
        <f>IF(Baux!$A$24="","",Baux!$A$24)</f>
        <v/>
      </c>
      <c r="B268" s="17">
        <f>IF(A268="","",Baux!$B$24)</f>
        <v/>
      </c>
      <c r="C268" s="17" t="n">
        <v>3</v>
      </c>
      <c r="D268" s="15">
        <f>IF(OR(A268="",Baux!$F$24="",Baux!$O$24=""),"",EDATE(Baux!$F$24,12*Baux!$O$24*C268))</f>
        <v/>
      </c>
      <c r="E268" s="17">
        <f>IF(AD268=0,"",Baux!$M$24)</f>
        <v/>
      </c>
      <c r="F268" s="17">
        <f>IF(AD268=0,"",IFERROR(TEXT(VALUE(LEFT(Baux!$N$24,4))+C268*Baux!$O$24,"0")&amp;RIGHT(Baux!$N$24,3),""))</f>
        <v/>
      </c>
      <c r="G268" s="25">
        <f>IF(AD268=0,"",IF(F268="","",IF(SUMIFS(Indices_long!$C:$C,Indices_long!$A:$A,E268,Indices_long!$B:$B,F268)=0,"",SUMIFS(Indices_long!$C:$C,Indices_long!$A:$A,E268,Indices_long!$B:$B,F268))))</f>
        <v/>
      </c>
      <c r="H268" s="17">
        <f>IF(AD268=0,"",IF(Baux!$P$24="Base fixe",Baux!$N$24,IF(K267="Geler – rattrapage possible",H267,F267)))</f>
        <v/>
      </c>
      <c r="I268" s="25">
        <f>IF(AD268=0,"",IF(H268="","",IF(SUMIFS(Indices_long!$C:$C,Indices_long!$A:$A,E268,Indices_long!$B:$B,H268)=0,"",SUMIFS(Indices_long!$C:$C,Indices_long!$A:$A,E268,Indices_long!$B:$B,H268))))</f>
        <v/>
      </c>
      <c r="J268" s="26">
        <f>IF(OR(G268="",I268=""),"",G268/I268)</f>
        <v/>
      </c>
      <c r="K268" s="13" t="n"/>
      <c r="L268" s="27">
        <f>IF(AD268=0,"",IF(Baux!$P$24="Base fixe",Baux!$I$24,N267))</f>
        <v/>
      </c>
      <c r="M268" s="27">
        <f>IF(OR(J268="",L268=""),"",ROUND(L268*J268,2))</f>
        <v/>
      </c>
      <c r="N268" s="27">
        <f>IF(AD268=0,"",IF(LEFT(K268,5)="Geler",O268,IF(M268="","",IF(Baux!$Q$24="",M268,MIN(M268,ROUND(L268*(1+Baux!$Q$24/100)^IF(Baux!$P$24="Base fixe",C268*Baux!$O$24,VALUE(LEFT(F268,4))-VALUE(LEFT(H268,4))),2))))))</f>
        <v/>
      </c>
      <c r="O268" s="27">
        <f>IF(AD268=0,"",N267)</f>
        <v/>
      </c>
      <c r="P268" s="28">
        <f>IF(OR(N268="",O268=""),"",N268/O268-1)</f>
        <v/>
      </c>
      <c r="Q268" s="27">
        <f>IF(N268="","",N268/12)</f>
        <v/>
      </c>
      <c r="R268" s="27">
        <f>IF(N268="","",N268/IF(Baux!$L$24="Mensuelle",12,IF(Baux!$L$24="Trimestrielle",4,IF(Baux!$L$24="Semestrielle",2,1))))</f>
        <v/>
      </c>
      <c r="S268" s="27">
        <f>IF(AD268=0,"",IF(Baux!$J$24="",0,Baux!$J$24)/IF(Baux!$L$24="Mensuelle",12,IF(Baux!$L$24="Trimestrielle",4,IF(Baux!$L$24="Semestrielle",2,1))))</f>
        <v/>
      </c>
      <c r="T268" s="27">
        <f>IF(R268="","",(R268+S268)*Baux!$K$24/100)</f>
        <v/>
      </c>
      <c r="U268" s="27">
        <f>IF(R268="","",R268+S268+T268)</f>
        <v/>
      </c>
      <c r="V268" s="17">
        <f>IF(AD268=0,"",IF(LEFT(K268,5)="Geler","❄ Gelée",IF(G268="",IF(D268&lt;=TODAY(),"⚠ Indice attendu","À venir"),IF(D268&lt;=TODAY(),"✔ Calculable","Indice connu – à venir"))))</f>
        <v/>
      </c>
      <c r="W268" s="29" t="n"/>
      <c r="X268" s="13" t="n"/>
      <c r="Y268" s="14" t="n"/>
      <c r="Z268" s="14" t="n"/>
      <c r="AA268" s="13" t="n"/>
      <c r="AB268" s="17">
        <f>IF(A268="","",A268&amp;"#"&amp;C268)</f>
        <v/>
      </c>
      <c r="AC268" s="17">
        <f>IF(AND(AD268=1,D268&lt;=TODAY(),N268&lt;&gt;""),1,0)</f>
        <v/>
      </c>
      <c r="AD268" s="17">
        <f>IF(OR(A268="",D268=""),0,IF(AND(ISNUMBER(Baux!$H$24),D268&gt;Baux!$H$24),0,1))</f>
        <v/>
      </c>
    </row>
    <row r="269">
      <c r="A269" s="17">
        <f>IF(Baux!$A$24="","",Baux!$A$24)</f>
        <v/>
      </c>
      <c r="B269" s="17">
        <f>IF(A269="","",Baux!$B$24)</f>
        <v/>
      </c>
      <c r="C269" s="17" t="n">
        <v>4</v>
      </c>
      <c r="D269" s="15">
        <f>IF(OR(A269="",Baux!$F$24="",Baux!$O$24=""),"",EDATE(Baux!$F$24,12*Baux!$O$24*C269))</f>
        <v/>
      </c>
      <c r="E269" s="17">
        <f>IF(AD269=0,"",Baux!$M$24)</f>
        <v/>
      </c>
      <c r="F269" s="17">
        <f>IF(AD269=0,"",IFERROR(TEXT(VALUE(LEFT(Baux!$N$24,4))+C269*Baux!$O$24,"0")&amp;RIGHT(Baux!$N$24,3),""))</f>
        <v/>
      </c>
      <c r="G269" s="25">
        <f>IF(AD269=0,"",IF(F269="","",IF(SUMIFS(Indices_long!$C:$C,Indices_long!$A:$A,E269,Indices_long!$B:$B,F269)=0,"",SUMIFS(Indices_long!$C:$C,Indices_long!$A:$A,E269,Indices_long!$B:$B,F269))))</f>
        <v/>
      </c>
      <c r="H269" s="17">
        <f>IF(AD269=0,"",IF(Baux!$P$24="Base fixe",Baux!$N$24,IF(K268="Geler – rattrapage possible",H268,F268)))</f>
        <v/>
      </c>
      <c r="I269" s="25">
        <f>IF(AD269=0,"",IF(H269="","",IF(SUMIFS(Indices_long!$C:$C,Indices_long!$A:$A,E269,Indices_long!$B:$B,H269)=0,"",SUMIFS(Indices_long!$C:$C,Indices_long!$A:$A,E269,Indices_long!$B:$B,H269))))</f>
        <v/>
      </c>
      <c r="J269" s="26">
        <f>IF(OR(G269="",I269=""),"",G269/I269)</f>
        <v/>
      </c>
      <c r="K269" s="13" t="n"/>
      <c r="L269" s="27">
        <f>IF(AD269=0,"",IF(Baux!$P$24="Base fixe",Baux!$I$24,N268))</f>
        <v/>
      </c>
      <c r="M269" s="27">
        <f>IF(OR(J269="",L269=""),"",ROUND(L269*J269,2))</f>
        <v/>
      </c>
      <c r="N269" s="27">
        <f>IF(AD269=0,"",IF(LEFT(K269,5)="Geler",O269,IF(M269="","",IF(Baux!$Q$24="",M269,MIN(M269,ROUND(L269*(1+Baux!$Q$24/100)^IF(Baux!$P$24="Base fixe",C269*Baux!$O$24,VALUE(LEFT(F269,4))-VALUE(LEFT(H269,4))),2))))))</f>
        <v/>
      </c>
      <c r="O269" s="27">
        <f>IF(AD269=0,"",N268)</f>
        <v/>
      </c>
      <c r="P269" s="28">
        <f>IF(OR(N269="",O269=""),"",N269/O269-1)</f>
        <v/>
      </c>
      <c r="Q269" s="27">
        <f>IF(N269="","",N269/12)</f>
        <v/>
      </c>
      <c r="R269" s="27">
        <f>IF(N269="","",N269/IF(Baux!$L$24="Mensuelle",12,IF(Baux!$L$24="Trimestrielle",4,IF(Baux!$L$24="Semestrielle",2,1))))</f>
        <v/>
      </c>
      <c r="S269" s="27">
        <f>IF(AD269=0,"",IF(Baux!$J$24="",0,Baux!$J$24)/IF(Baux!$L$24="Mensuelle",12,IF(Baux!$L$24="Trimestrielle",4,IF(Baux!$L$24="Semestrielle",2,1))))</f>
        <v/>
      </c>
      <c r="T269" s="27">
        <f>IF(R269="","",(R269+S269)*Baux!$K$24/100)</f>
        <v/>
      </c>
      <c r="U269" s="27">
        <f>IF(R269="","",R269+S269+T269)</f>
        <v/>
      </c>
      <c r="V269" s="17">
        <f>IF(AD269=0,"",IF(LEFT(K269,5)="Geler","❄ Gelée",IF(G269="",IF(D269&lt;=TODAY(),"⚠ Indice attendu","À venir"),IF(D269&lt;=TODAY(),"✔ Calculable","Indice connu – à venir"))))</f>
        <v/>
      </c>
      <c r="W269" s="29" t="n"/>
      <c r="X269" s="13" t="n"/>
      <c r="Y269" s="14" t="n"/>
      <c r="Z269" s="14" t="n"/>
      <c r="AA269" s="13" t="n"/>
      <c r="AB269" s="17">
        <f>IF(A269="","",A269&amp;"#"&amp;C269)</f>
        <v/>
      </c>
      <c r="AC269" s="17">
        <f>IF(AND(AD269=1,D269&lt;=TODAY(),N269&lt;&gt;""),1,0)</f>
        <v/>
      </c>
      <c r="AD269" s="17">
        <f>IF(OR(A269="",D269=""),0,IF(AND(ISNUMBER(Baux!$H$24),D269&gt;Baux!$H$24),0,1))</f>
        <v/>
      </c>
    </row>
    <row r="270">
      <c r="A270" s="17">
        <f>IF(Baux!$A$24="","",Baux!$A$24)</f>
        <v/>
      </c>
      <c r="B270" s="17">
        <f>IF(A270="","",Baux!$B$24)</f>
        <v/>
      </c>
      <c r="C270" s="17" t="n">
        <v>5</v>
      </c>
      <c r="D270" s="15">
        <f>IF(OR(A270="",Baux!$F$24="",Baux!$O$24=""),"",EDATE(Baux!$F$24,12*Baux!$O$24*C270))</f>
        <v/>
      </c>
      <c r="E270" s="17">
        <f>IF(AD270=0,"",Baux!$M$24)</f>
        <v/>
      </c>
      <c r="F270" s="17">
        <f>IF(AD270=0,"",IFERROR(TEXT(VALUE(LEFT(Baux!$N$24,4))+C270*Baux!$O$24,"0")&amp;RIGHT(Baux!$N$24,3),""))</f>
        <v/>
      </c>
      <c r="G270" s="25">
        <f>IF(AD270=0,"",IF(F270="","",IF(SUMIFS(Indices_long!$C:$C,Indices_long!$A:$A,E270,Indices_long!$B:$B,F270)=0,"",SUMIFS(Indices_long!$C:$C,Indices_long!$A:$A,E270,Indices_long!$B:$B,F270))))</f>
        <v/>
      </c>
      <c r="H270" s="17">
        <f>IF(AD270=0,"",IF(Baux!$P$24="Base fixe",Baux!$N$24,IF(K269="Geler – rattrapage possible",H269,F269)))</f>
        <v/>
      </c>
      <c r="I270" s="25">
        <f>IF(AD270=0,"",IF(H270="","",IF(SUMIFS(Indices_long!$C:$C,Indices_long!$A:$A,E270,Indices_long!$B:$B,H270)=0,"",SUMIFS(Indices_long!$C:$C,Indices_long!$A:$A,E270,Indices_long!$B:$B,H270))))</f>
        <v/>
      </c>
      <c r="J270" s="26">
        <f>IF(OR(G270="",I270=""),"",G270/I270)</f>
        <v/>
      </c>
      <c r="K270" s="13" t="n"/>
      <c r="L270" s="27">
        <f>IF(AD270=0,"",IF(Baux!$P$24="Base fixe",Baux!$I$24,N269))</f>
        <v/>
      </c>
      <c r="M270" s="27">
        <f>IF(OR(J270="",L270=""),"",ROUND(L270*J270,2))</f>
        <v/>
      </c>
      <c r="N270" s="27">
        <f>IF(AD270=0,"",IF(LEFT(K270,5)="Geler",O270,IF(M270="","",IF(Baux!$Q$24="",M270,MIN(M270,ROUND(L270*(1+Baux!$Q$24/100)^IF(Baux!$P$24="Base fixe",C270*Baux!$O$24,VALUE(LEFT(F270,4))-VALUE(LEFT(H270,4))),2))))))</f>
        <v/>
      </c>
      <c r="O270" s="27">
        <f>IF(AD270=0,"",N269)</f>
        <v/>
      </c>
      <c r="P270" s="28">
        <f>IF(OR(N270="",O270=""),"",N270/O270-1)</f>
        <v/>
      </c>
      <c r="Q270" s="27">
        <f>IF(N270="","",N270/12)</f>
        <v/>
      </c>
      <c r="R270" s="27">
        <f>IF(N270="","",N270/IF(Baux!$L$24="Mensuelle",12,IF(Baux!$L$24="Trimestrielle",4,IF(Baux!$L$24="Semestrielle",2,1))))</f>
        <v/>
      </c>
      <c r="S270" s="27">
        <f>IF(AD270=0,"",IF(Baux!$J$24="",0,Baux!$J$24)/IF(Baux!$L$24="Mensuelle",12,IF(Baux!$L$24="Trimestrielle",4,IF(Baux!$L$24="Semestrielle",2,1))))</f>
        <v/>
      </c>
      <c r="T270" s="27">
        <f>IF(R270="","",(R270+S270)*Baux!$K$24/100)</f>
        <v/>
      </c>
      <c r="U270" s="27">
        <f>IF(R270="","",R270+S270+T270)</f>
        <v/>
      </c>
      <c r="V270" s="17">
        <f>IF(AD270=0,"",IF(LEFT(K270,5)="Geler","❄ Gelée",IF(G270="",IF(D270&lt;=TODAY(),"⚠ Indice attendu","À venir"),IF(D270&lt;=TODAY(),"✔ Calculable","Indice connu – à venir"))))</f>
        <v/>
      </c>
      <c r="W270" s="29" t="n"/>
      <c r="X270" s="13" t="n"/>
      <c r="Y270" s="14" t="n"/>
      <c r="Z270" s="14" t="n"/>
      <c r="AA270" s="13" t="n"/>
      <c r="AB270" s="17">
        <f>IF(A270="","",A270&amp;"#"&amp;C270)</f>
        <v/>
      </c>
      <c r="AC270" s="17">
        <f>IF(AND(AD270=1,D270&lt;=TODAY(),N270&lt;&gt;""),1,0)</f>
        <v/>
      </c>
      <c r="AD270" s="17">
        <f>IF(OR(A270="",D270=""),0,IF(AND(ISNUMBER(Baux!$H$24),D270&gt;Baux!$H$24),0,1))</f>
        <v/>
      </c>
    </row>
    <row r="271">
      <c r="A271" s="17">
        <f>IF(Baux!$A$24="","",Baux!$A$24)</f>
        <v/>
      </c>
      <c r="B271" s="17">
        <f>IF(A271="","",Baux!$B$24)</f>
        <v/>
      </c>
      <c r="C271" s="17" t="n">
        <v>6</v>
      </c>
      <c r="D271" s="15">
        <f>IF(OR(A271="",Baux!$F$24="",Baux!$O$24=""),"",EDATE(Baux!$F$24,12*Baux!$O$24*C271))</f>
        <v/>
      </c>
      <c r="E271" s="17">
        <f>IF(AD271=0,"",Baux!$M$24)</f>
        <v/>
      </c>
      <c r="F271" s="17">
        <f>IF(AD271=0,"",IFERROR(TEXT(VALUE(LEFT(Baux!$N$24,4))+C271*Baux!$O$24,"0")&amp;RIGHT(Baux!$N$24,3),""))</f>
        <v/>
      </c>
      <c r="G271" s="25">
        <f>IF(AD271=0,"",IF(F271="","",IF(SUMIFS(Indices_long!$C:$C,Indices_long!$A:$A,E271,Indices_long!$B:$B,F271)=0,"",SUMIFS(Indices_long!$C:$C,Indices_long!$A:$A,E271,Indices_long!$B:$B,F271))))</f>
        <v/>
      </c>
      <c r="H271" s="17">
        <f>IF(AD271=0,"",IF(Baux!$P$24="Base fixe",Baux!$N$24,IF(K270="Geler – rattrapage possible",H270,F270)))</f>
        <v/>
      </c>
      <c r="I271" s="25">
        <f>IF(AD271=0,"",IF(H271="","",IF(SUMIFS(Indices_long!$C:$C,Indices_long!$A:$A,E271,Indices_long!$B:$B,H271)=0,"",SUMIFS(Indices_long!$C:$C,Indices_long!$A:$A,E271,Indices_long!$B:$B,H271))))</f>
        <v/>
      </c>
      <c r="J271" s="26">
        <f>IF(OR(G271="",I271=""),"",G271/I271)</f>
        <v/>
      </c>
      <c r="K271" s="13" t="n"/>
      <c r="L271" s="27">
        <f>IF(AD271=0,"",IF(Baux!$P$24="Base fixe",Baux!$I$24,N270))</f>
        <v/>
      </c>
      <c r="M271" s="27">
        <f>IF(OR(J271="",L271=""),"",ROUND(L271*J271,2))</f>
        <v/>
      </c>
      <c r="N271" s="27">
        <f>IF(AD271=0,"",IF(LEFT(K271,5)="Geler",O271,IF(M271="","",IF(Baux!$Q$24="",M271,MIN(M271,ROUND(L271*(1+Baux!$Q$24/100)^IF(Baux!$P$24="Base fixe",C271*Baux!$O$24,VALUE(LEFT(F271,4))-VALUE(LEFT(H271,4))),2))))))</f>
        <v/>
      </c>
      <c r="O271" s="27">
        <f>IF(AD271=0,"",N270)</f>
        <v/>
      </c>
      <c r="P271" s="28">
        <f>IF(OR(N271="",O271=""),"",N271/O271-1)</f>
        <v/>
      </c>
      <c r="Q271" s="27">
        <f>IF(N271="","",N271/12)</f>
        <v/>
      </c>
      <c r="R271" s="27">
        <f>IF(N271="","",N271/IF(Baux!$L$24="Mensuelle",12,IF(Baux!$L$24="Trimestrielle",4,IF(Baux!$L$24="Semestrielle",2,1))))</f>
        <v/>
      </c>
      <c r="S271" s="27">
        <f>IF(AD271=0,"",IF(Baux!$J$24="",0,Baux!$J$24)/IF(Baux!$L$24="Mensuelle",12,IF(Baux!$L$24="Trimestrielle",4,IF(Baux!$L$24="Semestrielle",2,1))))</f>
        <v/>
      </c>
      <c r="T271" s="27">
        <f>IF(R271="","",(R271+S271)*Baux!$K$24/100)</f>
        <v/>
      </c>
      <c r="U271" s="27">
        <f>IF(R271="","",R271+S271+T271)</f>
        <v/>
      </c>
      <c r="V271" s="17">
        <f>IF(AD271=0,"",IF(LEFT(K271,5)="Geler","❄ Gelée",IF(G271="",IF(D271&lt;=TODAY(),"⚠ Indice attendu","À venir"),IF(D271&lt;=TODAY(),"✔ Calculable","Indice connu – à venir"))))</f>
        <v/>
      </c>
      <c r="W271" s="29" t="n"/>
      <c r="X271" s="13" t="n"/>
      <c r="Y271" s="14" t="n"/>
      <c r="Z271" s="14" t="n"/>
      <c r="AA271" s="13" t="n"/>
      <c r="AB271" s="17">
        <f>IF(A271="","",A271&amp;"#"&amp;C271)</f>
        <v/>
      </c>
      <c r="AC271" s="17">
        <f>IF(AND(AD271=1,D271&lt;=TODAY(),N271&lt;&gt;""),1,0)</f>
        <v/>
      </c>
      <c r="AD271" s="17">
        <f>IF(OR(A271="",D271=""),0,IF(AND(ISNUMBER(Baux!$H$24),D271&gt;Baux!$H$24),0,1))</f>
        <v/>
      </c>
    </row>
    <row r="272">
      <c r="A272" s="17">
        <f>IF(Baux!$A$24="","",Baux!$A$24)</f>
        <v/>
      </c>
      <c r="B272" s="17">
        <f>IF(A272="","",Baux!$B$24)</f>
        <v/>
      </c>
      <c r="C272" s="17" t="n">
        <v>7</v>
      </c>
      <c r="D272" s="15">
        <f>IF(OR(A272="",Baux!$F$24="",Baux!$O$24=""),"",EDATE(Baux!$F$24,12*Baux!$O$24*C272))</f>
        <v/>
      </c>
      <c r="E272" s="17">
        <f>IF(AD272=0,"",Baux!$M$24)</f>
        <v/>
      </c>
      <c r="F272" s="17">
        <f>IF(AD272=0,"",IFERROR(TEXT(VALUE(LEFT(Baux!$N$24,4))+C272*Baux!$O$24,"0")&amp;RIGHT(Baux!$N$24,3),""))</f>
        <v/>
      </c>
      <c r="G272" s="25">
        <f>IF(AD272=0,"",IF(F272="","",IF(SUMIFS(Indices_long!$C:$C,Indices_long!$A:$A,E272,Indices_long!$B:$B,F272)=0,"",SUMIFS(Indices_long!$C:$C,Indices_long!$A:$A,E272,Indices_long!$B:$B,F272))))</f>
        <v/>
      </c>
      <c r="H272" s="17">
        <f>IF(AD272=0,"",IF(Baux!$P$24="Base fixe",Baux!$N$24,IF(K271="Geler – rattrapage possible",H271,F271)))</f>
        <v/>
      </c>
      <c r="I272" s="25">
        <f>IF(AD272=0,"",IF(H272="","",IF(SUMIFS(Indices_long!$C:$C,Indices_long!$A:$A,E272,Indices_long!$B:$B,H272)=0,"",SUMIFS(Indices_long!$C:$C,Indices_long!$A:$A,E272,Indices_long!$B:$B,H272))))</f>
        <v/>
      </c>
      <c r="J272" s="26">
        <f>IF(OR(G272="",I272=""),"",G272/I272)</f>
        <v/>
      </c>
      <c r="K272" s="13" t="n"/>
      <c r="L272" s="27">
        <f>IF(AD272=0,"",IF(Baux!$P$24="Base fixe",Baux!$I$24,N271))</f>
        <v/>
      </c>
      <c r="M272" s="27">
        <f>IF(OR(J272="",L272=""),"",ROUND(L272*J272,2))</f>
        <v/>
      </c>
      <c r="N272" s="27">
        <f>IF(AD272=0,"",IF(LEFT(K272,5)="Geler",O272,IF(M272="","",IF(Baux!$Q$24="",M272,MIN(M272,ROUND(L272*(1+Baux!$Q$24/100)^IF(Baux!$P$24="Base fixe",C272*Baux!$O$24,VALUE(LEFT(F272,4))-VALUE(LEFT(H272,4))),2))))))</f>
        <v/>
      </c>
      <c r="O272" s="27">
        <f>IF(AD272=0,"",N271)</f>
        <v/>
      </c>
      <c r="P272" s="28">
        <f>IF(OR(N272="",O272=""),"",N272/O272-1)</f>
        <v/>
      </c>
      <c r="Q272" s="27">
        <f>IF(N272="","",N272/12)</f>
        <v/>
      </c>
      <c r="R272" s="27">
        <f>IF(N272="","",N272/IF(Baux!$L$24="Mensuelle",12,IF(Baux!$L$24="Trimestrielle",4,IF(Baux!$L$24="Semestrielle",2,1))))</f>
        <v/>
      </c>
      <c r="S272" s="27">
        <f>IF(AD272=0,"",IF(Baux!$J$24="",0,Baux!$J$24)/IF(Baux!$L$24="Mensuelle",12,IF(Baux!$L$24="Trimestrielle",4,IF(Baux!$L$24="Semestrielle",2,1))))</f>
        <v/>
      </c>
      <c r="T272" s="27">
        <f>IF(R272="","",(R272+S272)*Baux!$K$24/100)</f>
        <v/>
      </c>
      <c r="U272" s="27">
        <f>IF(R272="","",R272+S272+T272)</f>
        <v/>
      </c>
      <c r="V272" s="17">
        <f>IF(AD272=0,"",IF(LEFT(K272,5)="Geler","❄ Gelée",IF(G272="",IF(D272&lt;=TODAY(),"⚠ Indice attendu","À venir"),IF(D272&lt;=TODAY(),"✔ Calculable","Indice connu – à venir"))))</f>
        <v/>
      </c>
      <c r="W272" s="29" t="n"/>
      <c r="X272" s="13" t="n"/>
      <c r="Y272" s="14" t="n"/>
      <c r="Z272" s="14" t="n"/>
      <c r="AA272" s="13" t="n"/>
      <c r="AB272" s="17">
        <f>IF(A272="","",A272&amp;"#"&amp;C272)</f>
        <v/>
      </c>
      <c r="AC272" s="17">
        <f>IF(AND(AD272=1,D272&lt;=TODAY(),N272&lt;&gt;""),1,0)</f>
        <v/>
      </c>
      <c r="AD272" s="17">
        <f>IF(OR(A272="",D272=""),0,IF(AND(ISNUMBER(Baux!$H$24),D272&gt;Baux!$H$24),0,1))</f>
        <v/>
      </c>
    </row>
    <row r="273">
      <c r="A273" s="17">
        <f>IF(Baux!$A$24="","",Baux!$A$24)</f>
        <v/>
      </c>
      <c r="B273" s="17">
        <f>IF(A273="","",Baux!$B$24)</f>
        <v/>
      </c>
      <c r="C273" s="17" t="n">
        <v>8</v>
      </c>
      <c r="D273" s="15">
        <f>IF(OR(A273="",Baux!$F$24="",Baux!$O$24=""),"",EDATE(Baux!$F$24,12*Baux!$O$24*C273))</f>
        <v/>
      </c>
      <c r="E273" s="17">
        <f>IF(AD273=0,"",Baux!$M$24)</f>
        <v/>
      </c>
      <c r="F273" s="17">
        <f>IF(AD273=0,"",IFERROR(TEXT(VALUE(LEFT(Baux!$N$24,4))+C273*Baux!$O$24,"0")&amp;RIGHT(Baux!$N$24,3),""))</f>
        <v/>
      </c>
      <c r="G273" s="25">
        <f>IF(AD273=0,"",IF(F273="","",IF(SUMIFS(Indices_long!$C:$C,Indices_long!$A:$A,E273,Indices_long!$B:$B,F273)=0,"",SUMIFS(Indices_long!$C:$C,Indices_long!$A:$A,E273,Indices_long!$B:$B,F273))))</f>
        <v/>
      </c>
      <c r="H273" s="17">
        <f>IF(AD273=0,"",IF(Baux!$P$24="Base fixe",Baux!$N$24,IF(K272="Geler – rattrapage possible",H272,F272)))</f>
        <v/>
      </c>
      <c r="I273" s="25">
        <f>IF(AD273=0,"",IF(H273="","",IF(SUMIFS(Indices_long!$C:$C,Indices_long!$A:$A,E273,Indices_long!$B:$B,H273)=0,"",SUMIFS(Indices_long!$C:$C,Indices_long!$A:$A,E273,Indices_long!$B:$B,H273))))</f>
        <v/>
      </c>
      <c r="J273" s="26">
        <f>IF(OR(G273="",I273=""),"",G273/I273)</f>
        <v/>
      </c>
      <c r="K273" s="13" t="n"/>
      <c r="L273" s="27">
        <f>IF(AD273=0,"",IF(Baux!$P$24="Base fixe",Baux!$I$24,N272))</f>
        <v/>
      </c>
      <c r="M273" s="27">
        <f>IF(OR(J273="",L273=""),"",ROUND(L273*J273,2))</f>
        <v/>
      </c>
      <c r="N273" s="27">
        <f>IF(AD273=0,"",IF(LEFT(K273,5)="Geler",O273,IF(M273="","",IF(Baux!$Q$24="",M273,MIN(M273,ROUND(L273*(1+Baux!$Q$24/100)^IF(Baux!$P$24="Base fixe",C273*Baux!$O$24,VALUE(LEFT(F273,4))-VALUE(LEFT(H273,4))),2))))))</f>
        <v/>
      </c>
      <c r="O273" s="27">
        <f>IF(AD273=0,"",N272)</f>
        <v/>
      </c>
      <c r="P273" s="28">
        <f>IF(OR(N273="",O273=""),"",N273/O273-1)</f>
        <v/>
      </c>
      <c r="Q273" s="27">
        <f>IF(N273="","",N273/12)</f>
        <v/>
      </c>
      <c r="R273" s="27">
        <f>IF(N273="","",N273/IF(Baux!$L$24="Mensuelle",12,IF(Baux!$L$24="Trimestrielle",4,IF(Baux!$L$24="Semestrielle",2,1))))</f>
        <v/>
      </c>
      <c r="S273" s="27">
        <f>IF(AD273=0,"",IF(Baux!$J$24="",0,Baux!$J$24)/IF(Baux!$L$24="Mensuelle",12,IF(Baux!$L$24="Trimestrielle",4,IF(Baux!$L$24="Semestrielle",2,1))))</f>
        <v/>
      </c>
      <c r="T273" s="27">
        <f>IF(R273="","",(R273+S273)*Baux!$K$24/100)</f>
        <v/>
      </c>
      <c r="U273" s="27">
        <f>IF(R273="","",R273+S273+T273)</f>
        <v/>
      </c>
      <c r="V273" s="17">
        <f>IF(AD273=0,"",IF(LEFT(K273,5)="Geler","❄ Gelée",IF(G273="",IF(D273&lt;=TODAY(),"⚠ Indice attendu","À venir"),IF(D273&lt;=TODAY(),"✔ Calculable","Indice connu – à venir"))))</f>
        <v/>
      </c>
      <c r="W273" s="29" t="n"/>
      <c r="X273" s="13" t="n"/>
      <c r="Y273" s="14" t="n"/>
      <c r="Z273" s="14" t="n"/>
      <c r="AA273" s="13" t="n"/>
      <c r="AB273" s="17">
        <f>IF(A273="","",A273&amp;"#"&amp;C273)</f>
        <v/>
      </c>
      <c r="AC273" s="17">
        <f>IF(AND(AD273=1,D273&lt;=TODAY(),N273&lt;&gt;""),1,0)</f>
        <v/>
      </c>
      <c r="AD273" s="17">
        <f>IF(OR(A273="",D273=""),0,IF(AND(ISNUMBER(Baux!$H$24),D273&gt;Baux!$H$24),0,1))</f>
        <v/>
      </c>
    </row>
    <row r="274">
      <c r="A274" s="17">
        <f>IF(Baux!$A$24="","",Baux!$A$24)</f>
        <v/>
      </c>
      <c r="B274" s="17">
        <f>IF(A274="","",Baux!$B$24)</f>
        <v/>
      </c>
      <c r="C274" s="17" t="n">
        <v>9</v>
      </c>
      <c r="D274" s="15">
        <f>IF(OR(A274="",Baux!$F$24="",Baux!$O$24=""),"",EDATE(Baux!$F$24,12*Baux!$O$24*C274))</f>
        <v/>
      </c>
      <c r="E274" s="17">
        <f>IF(AD274=0,"",Baux!$M$24)</f>
        <v/>
      </c>
      <c r="F274" s="17">
        <f>IF(AD274=0,"",IFERROR(TEXT(VALUE(LEFT(Baux!$N$24,4))+C274*Baux!$O$24,"0")&amp;RIGHT(Baux!$N$24,3),""))</f>
        <v/>
      </c>
      <c r="G274" s="25">
        <f>IF(AD274=0,"",IF(F274="","",IF(SUMIFS(Indices_long!$C:$C,Indices_long!$A:$A,E274,Indices_long!$B:$B,F274)=0,"",SUMIFS(Indices_long!$C:$C,Indices_long!$A:$A,E274,Indices_long!$B:$B,F274))))</f>
        <v/>
      </c>
      <c r="H274" s="17">
        <f>IF(AD274=0,"",IF(Baux!$P$24="Base fixe",Baux!$N$24,IF(K273="Geler – rattrapage possible",H273,F273)))</f>
        <v/>
      </c>
      <c r="I274" s="25">
        <f>IF(AD274=0,"",IF(H274="","",IF(SUMIFS(Indices_long!$C:$C,Indices_long!$A:$A,E274,Indices_long!$B:$B,H274)=0,"",SUMIFS(Indices_long!$C:$C,Indices_long!$A:$A,E274,Indices_long!$B:$B,H274))))</f>
        <v/>
      </c>
      <c r="J274" s="26">
        <f>IF(OR(G274="",I274=""),"",G274/I274)</f>
        <v/>
      </c>
      <c r="K274" s="13" t="n"/>
      <c r="L274" s="27">
        <f>IF(AD274=0,"",IF(Baux!$P$24="Base fixe",Baux!$I$24,N273))</f>
        <v/>
      </c>
      <c r="M274" s="27">
        <f>IF(OR(J274="",L274=""),"",ROUND(L274*J274,2))</f>
        <v/>
      </c>
      <c r="N274" s="27">
        <f>IF(AD274=0,"",IF(LEFT(K274,5)="Geler",O274,IF(M274="","",IF(Baux!$Q$24="",M274,MIN(M274,ROUND(L274*(1+Baux!$Q$24/100)^IF(Baux!$P$24="Base fixe",C274*Baux!$O$24,VALUE(LEFT(F274,4))-VALUE(LEFT(H274,4))),2))))))</f>
        <v/>
      </c>
      <c r="O274" s="27">
        <f>IF(AD274=0,"",N273)</f>
        <v/>
      </c>
      <c r="P274" s="28">
        <f>IF(OR(N274="",O274=""),"",N274/O274-1)</f>
        <v/>
      </c>
      <c r="Q274" s="27">
        <f>IF(N274="","",N274/12)</f>
        <v/>
      </c>
      <c r="R274" s="27">
        <f>IF(N274="","",N274/IF(Baux!$L$24="Mensuelle",12,IF(Baux!$L$24="Trimestrielle",4,IF(Baux!$L$24="Semestrielle",2,1))))</f>
        <v/>
      </c>
      <c r="S274" s="27">
        <f>IF(AD274=0,"",IF(Baux!$J$24="",0,Baux!$J$24)/IF(Baux!$L$24="Mensuelle",12,IF(Baux!$L$24="Trimestrielle",4,IF(Baux!$L$24="Semestrielle",2,1))))</f>
        <v/>
      </c>
      <c r="T274" s="27">
        <f>IF(R274="","",(R274+S274)*Baux!$K$24/100)</f>
        <v/>
      </c>
      <c r="U274" s="27">
        <f>IF(R274="","",R274+S274+T274)</f>
        <v/>
      </c>
      <c r="V274" s="17">
        <f>IF(AD274=0,"",IF(LEFT(K274,5)="Geler","❄ Gelée",IF(G274="",IF(D274&lt;=TODAY(),"⚠ Indice attendu","À venir"),IF(D274&lt;=TODAY(),"✔ Calculable","Indice connu – à venir"))))</f>
        <v/>
      </c>
      <c r="W274" s="29" t="n"/>
      <c r="X274" s="13" t="n"/>
      <c r="Y274" s="14" t="n"/>
      <c r="Z274" s="14" t="n"/>
      <c r="AA274" s="13" t="n"/>
      <c r="AB274" s="17">
        <f>IF(A274="","",A274&amp;"#"&amp;C274)</f>
        <v/>
      </c>
      <c r="AC274" s="17">
        <f>IF(AND(AD274=1,D274&lt;=TODAY(),N274&lt;&gt;""),1,0)</f>
        <v/>
      </c>
      <c r="AD274" s="17">
        <f>IF(OR(A274="",D274=""),0,IF(AND(ISNUMBER(Baux!$H$24),D274&gt;Baux!$H$24),0,1))</f>
        <v/>
      </c>
    </row>
    <row r="275">
      <c r="A275" s="17">
        <f>IF(Baux!$A$24="","",Baux!$A$24)</f>
        <v/>
      </c>
      <c r="B275" s="17">
        <f>IF(A275="","",Baux!$B$24)</f>
        <v/>
      </c>
      <c r="C275" s="17" t="n">
        <v>10</v>
      </c>
      <c r="D275" s="15">
        <f>IF(OR(A275="",Baux!$F$24="",Baux!$O$24=""),"",EDATE(Baux!$F$24,12*Baux!$O$24*C275))</f>
        <v/>
      </c>
      <c r="E275" s="17">
        <f>IF(AD275=0,"",Baux!$M$24)</f>
        <v/>
      </c>
      <c r="F275" s="17">
        <f>IF(AD275=0,"",IFERROR(TEXT(VALUE(LEFT(Baux!$N$24,4))+C275*Baux!$O$24,"0")&amp;RIGHT(Baux!$N$24,3),""))</f>
        <v/>
      </c>
      <c r="G275" s="25">
        <f>IF(AD275=0,"",IF(F275="","",IF(SUMIFS(Indices_long!$C:$C,Indices_long!$A:$A,E275,Indices_long!$B:$B,F275)=0,"",SUMIFS(Indices_long!$C:$C,Indices_long!$A:$A,E275,Indices_long!$B:$B,F275))))</f>
        <v/>
      </c>
      <c r="H275" s="17">
        <f>IF(AD275=0,"",IF(Baux!$P$24="Base fixe",Baux!$N$24,IF(K274="Geler – rattrapage possible",H274,F274)))</f>
        <v/>
      </c>
      <c r="I275" s="25">
        <f>IF(AD275=0,"",IF(H275="","",IF(SUMIFS(Indices_long!$C:$C,Indices_long!$A:$A,E275,Indices_long!$B:$B,H275)=0,"",SUMIFS(Indices_long!$C:$C,Indices_long!$A:$A,E275,Indices_long!$B:$B,H275))))</f>
        <v/>
      </c>
      <c r="J275" s="26">
        <f>IF(OR(G275="",I275=""),"",G275/I275)</f>
        <v/>
      </c>
      <c r="K275" s="13" t="n"/>
      <c r="L275" s="27">
        <f>IF(AD275=0,"",IF(Baux!$P$24="Base fixe",Baux!$I$24,N274))</f>
        <v/>
      </c>
      <c r="M275" s="27">
        <f>IF(OR(J275="",L275=""),"",ROUND(L275*J275,2))</f>
        <v/>
      </c>
      <c r="N275" s="27">
        <f>IF(AD275=0,"",IF(LEFT(K275,5)="Geler",O275,IF(M275="","",IF(Baux!$Q$24="",M275,MIN(M275,ROUND(L275*(1+Baux!$Q$24/100)^IF(Baux!$P$24="Base fixe",C275*Baux!$O$24,VALUE(LEFT(F275,4))-VALUE(LEFT(H275,4))),2))))))</f>
        <v/>
      </c>
      <c r="O275" s="27">
        <f>IF(AD275=0,"",N274)</f>
        <v/>
      </c>
      <c r="P275" s="28">
        <f>IF(OR(N275="",O275=""),"",N275/O275-1)</f>
        <v/>
      </c>
      <c r="Q275" s="27">
        <f>IF(N275="","",N275/12)</f>
        <v/>
      </c>
      <c r="R275" s="27">
        <f>IF(N275="","",N275/IF(Baux!$L$24="Mensuelle",12,IF(Baux!$L$24="Trimestrielle",4,IF(Baux!$L$24="Semestrielle",2,1))))</f>
        <v/>
      </c>
      <c r="S275" s="27">
        <f>IF(AD275=0,"",IF(Baux!$J$24="",0,Baux!$J$24)/IF(Baux!$L$24="Mensuelle",12,IF(Baux!$L$24="Trimestrielle",4,IF(Baux!$L$24="Semestrielle",2,1))))</f>
        <v/>
      </c>
      <c r="T275" s="27">
        <f>IF(R275="","",(R275+S275)*Baux!$K$24/100)</f>
        <v/>
      </c>
      <c r="U275" s="27">
        <f>IF(R275="","",R275+S275+T275)</f>
        <v/>
      </c>
      <c r="V275" s="17">
        <f>IF(AD275=0,"",IF(LEFT(K275,5)="Geler","❄ Gelée",IF(G275="",IF(D275&lt;=TODAY(),"⚠ Indice attendu","À venir"),IF(D275&lt;=TODAY(),"✔ Calculable","Indice connu – à venir"))))</f>
        <v/>
      </c>
      <c r="W275" s="29" t="n"/>
      <c r="X275" s="13" t="n"/>
      <c r="Y275" s="14" t="n"/>
      <c r="Z275" s="14" t="n"/>
      <c r="AA275" s="13" t="n"/>
      <c r="AB275" s="17">
        <f>IF(A275="","",A275&amp;"#"&amp;C275)</f>
        <v/>
      </c>
      <c r="AC275" s="17">
        <f>IF(AND(AD275=1,D275&lt;=TODAY(),N275&lt;&gt;""),1,0)</f>
        <v/>
      </c>
      <c r="AD275" s="17">
        <f>IF(OR(A275="",D275=""),0,IF(AND(ISNUMBER(Baux!$H$24),D275&gt;Baux!$H$24),0,1))</f>
        <v/>
      </c>
    </row>
    <row r="276">
      <c r="A276" s="17">
        <f>IF(Baux!$A$24="","",Baux!$A$24)</f>
        <v/>
      </c>
      <c r="B276" s="17">
        <f>IF(A276="","",Baux!$B$24)</f>
        <v/>
      </c>
      <c r="C276" s="17" t="n">
        <v>11</v>
      </c>
      <c r="D276" s="15">
        <f>IF(OR(A276="",Baux!$F$24="",Baux!$O$24=""),"",EDATE(Baux!$F$24,12*Baux!$O$24*C276))</f>
        <v/>
      </c>
      <c r="E276" s="17">
        <f>IF(AD276=0,"",Baux!$M$24)</f>
        <v/>
      </c>
      <c r="F276" s="17">
        <f>IF(AD276=0,"",IFERROR(TEXT(VALUE(LEFT(Baux!$N$24,4))+C276*Baux!$O$24,"0")&amp;RIGHT(Baux!$N$24,3),""))</f>
        <v/>
      </c>
      <c r="G276" s="25">
        <f>IF(AD276=0,"",IF(F276="","",IF(SUMIFS(Indices_long!$C:$C,Indices_long!$A:$A,E276,Indices_long!$B:$B,F276)=0,"",SUMIFS(Indices_long!$C:$C,Indices_long!$A:$A,E276,Indices_long!$B:$B,F276))))</f>
        <v/>
      </c>
      <c r="H276" s="17">
        <f>IF(AD276=0,"",IF(Baux!$P$24="Base fixe",Baux!$N$24,IF(K275="Geler – rattrapage possible",H275,F275)))</f>
        <v/>
      </c>
      <c r="I276" s="25">
        <f>IF(AD276=0,"",IF(H276="","",IF(SUMIFS(Indices_long!$C:$C,Indices_long!$A:$A,E276,Indices_long!$B:$B,H276)=0,"",SUMIFS(Indices_long!$C:$C,Indices_long!$A:$A,E276,Indices_long!$B:$B,H276))))</f>
        <v/>
      </c>
      <c r="J276" s="26">
        <f>IF(OR(G276="",I276=""),"",G276/I276)</f>
        <v/>
      </c>
      <c r="K276" s="13" t="n"/>
      <c r="L276" s="27">
        <f>IF(AD276=0,"",IF(Baux!$P$24="Base fixe",Baux!$I$24,N275))</f>
        <v/>
      </c>
      <c r="M276" s="27">
        <f>IF(OR(J276="",L276=""),"",ROUND(L276*J276,2))</f>
        <v/>
      </c>
      <c r="N276" s="27">
        <f>IF(AD276=0,"",IF(LEFT(K276,5)="Geler",O276,IF(M276="","",IF(Baux!$Q$24="",M276,MIN(M276,ROUND(L276*(1+Baux!$Q$24/100)^IF(Baux!$P$24="Base fixe",C276*Baux!$O$24,VALUE(LEFT(F276,4))-VALUE(LEFT(H276,4))),2))))))</f>
        <v/>
      </c>
      <c r="O276" s="27">
        <f>IF(AD276=0,"",N275)</f>
        <v/>
      </c>
      <c r="P276" s="28">
        <f>IF(OR(N276="",O276=""),"",N276/O276-1)</f>
        <v/>
      </c>
      <c r="Q276" s="27">
        <f>IF(N276="","",N276/12)</f>
        <v/>
      </c>
      <c r="R276" s="27">
        <f>IF(N276="","",N276/IF(Baux!$L$24="Mensuelle",12,IF(Baux!$L$24="Trimestrielle",4,IF(Baux!$L$24="Semestrielle",2,1))))</f>
        <v/>
      </c>
      <c r="S276" s="27">
        <f>IF(AD276=0,"",IF(Baux!$J$24="",0,Baux!$J$24)/IF(Baux!$L$24="Mensuelle",12,IF(Baux!$L$24="Trimestrielle",4,IF(Baux!$L$24="Semestrielle",2,1))))</f>
        <v/>
      </c>
      <c r="T276" s="27">
        <f>IF(R276="","",(R276+S276)*Baux!$K$24/100)</f>
        <v/>
      </c>
      <c r="U276" s="27">
        <f>IF(R276="","",R276+S276+T276)</f>
        <v/>
      </c>
      <c r="V276" s="17">
        <f>IF(AD276=0,"",IF(LEFT(K276,5)="Geler","❄ Gelée",IF(G276="",IF(D276&lt;=TODAY(),"⚠ Indice attendu","À venir"),IF(D276&lt;=TODAY(),"✔ Calculable","Indice connu – à venir"))))</f>
        <v/>
      </c>
      <c r="W276" s="29" t="n"/>
      <c r="X276" s="13" t="n"/>
      <c r="Y276" s="14" t="n"/>
      <c r="Z276" s="14" t="n"/>
      <c r="AA276" s="13" t="n"/>
      <c r="AB276" s="17">
        <f>IF(A276="","",A276&amp;"#"&amp;C276)</f>
        <v/>
      </c>
      <c r="AC276" s="17">
        <f>IF(AND(AD276=1,D276&lt;=TODAY(),N276&lt;&gt;""),1,0)</f>
        <v/>
      </c>
      <c r="AD276" s="17">
        <f>IF(OR(A276="",D276=""),0,IF(AND(ISNUMBER(Baux!$H$24),D276&gt;Baux!$H$24),0,1))</f>
        <v/>
      </c>
    </row>
    <row r="277">
      <c r="A277" s="17">
        <f>IF(Baux!$A$24="","",Baux!$A$24)</f>
        <v/>
      </c>
      <c r="B277" s="17">
        <f>IF(A277="","",Baux!$B$24)</f>
        <v/>
      </c>
      <c r="C277" s="17" t="n">
        <v>12</v>
      </c>
      <c r="D277" s="15">
        <f>IF(OR(A277="",Baux!$F$24="",Baux!$O$24=""),"",EDATE(Baux!$F$24,12*Baux!$O$24*C277))</f>
        <v/>
      </c>
      <c r="E277" s="17">
        <f>IF(AD277=0,"",Baux!$M$24)</f>
        <v/>
      </c>
      <c r="F277" s="17">
        <f>IF(AD277=0,"",IFERROR(TEXT(VALUE(LEFT(Baux!$N$24,4))+C277*Baux!$O$24,"0")&amp;RIGHT(Baux!$N$24,3),""))</f>
        <v/>
      </c>
      <c r="G277" s="25">
        <f>IF(AD277=0,"",IF(F277="","",IF(SUMIFS(Indices_long!$C:$C,Indices_long!$A:$A,E277,Indices_long!$B:$B,F277)=0,"",SUMIFS(Indices_long!$C:$C,Indices_long!$A:$A,E277,Indices_long!$B:$B,F277))))</f>
        <v/>
      </c>
      <c r="H277" s="17">
        <f>IF(AD277=0,"",IF(Baux!$P$24="Base fixe",Baux!$N$24,IF(K276="Geler – rattrapage possible",H276,F276)))</f>
        <v/>
      </c>
      <c r="I277" s="25">
        <f>IF(AD277=0,"",IF(H277="","",IF(SUMIFS(Indices_long!$C:$C,Indices_long!$A:$A,E277,Indices_long!$B:$B,H277)=0,"",SUMIFS(Indices_long!$C:$C,Indices_long!$A:$A,E277,Indices_long!$B:$B,H277))))</f>
        <v/>
      </c>
      <c r="J277" s="26">
        <f>IF(OR(G277="",I277=""),"",G277/I277)</f>
        <v/>
      </c>
      <c r="K277" s="13" t="n"/>
      <c r="L277" s="27">
        <f>IF(AD277=0,"",IF(Baux!$P$24="Base fixe",Baux!$I$24,N276))</f>
        <v/>
      </c>
      <c r="M277" s="27">
        <f>IF(OR(J277="",L277=""),"",ROUND(L277*J277,2))</f>
        <v/>
      </c>
      <c r="N277" s="27">
        <f>IF(AD277=0,"",IF(LEFT(K277,5)="Geler",O277,IF(M277="","",IF(Baux!$Q$24="",M277,MIN(M277,ROUND(L277*(1+Baux!$Q$24/100)^IF(Baux!$P$24="Base fixe",C277*Baux!$O$24,VALUE(LEFT(F277,4))-VALUE(LEFT(H277,4))),2))))))</f>
        <v/>
      </c>
      <c r="O277" s="27">
        <f>IF(AD277=0,"",N276)</f>
        <v/>
      </c>
      <c r="P277" s="28">
        <f>IF(OR(N277="",O277=""),"",N277/O277-1)</f>
        <v/>
      </c>
      <c r="Q277" s="27">
        <f>IF(N277="","",N277/12)</f>
        <v/>
      </c>
      <c r="R277" s="27">
        <f>IF(N277="","",N277/IF(Baux!$L$24="Mensuelle",12,IF(Baux!$L$24="Trimestrielle",4,IF(Baux!$L$24="Semestrielle",2,1))))</f>
        <v/>
      </c>
      <c r="S277" s="27">
        <f>IF(AD277=0,"",IF(Baux!$J$24="",0,Baux!$J$24)/IF(Baux!$L$24="Mensuelle",12,IF(Baux!$L$24="Trimestrielle",4,IF(Baux!$L$24="Semestrielle",2,1))))</f>
        <v/>
      </c>
      <c r="T277" s="27">
        <f>IF(R277="","",(R277+S277)*Baux!$K$24/100)</f>
        <v/>
      </c>
      <c r="U277" s="27">
        <f>IF(R277="","",R277+S277+T277)</f>
        <v/>
      </c>
      <c r="V277" s="17">
        <f>IF(AD277=0,"",IF(LEFT(K277,5)="Geler","❄ Gelée",IF(G277="",IF(D277&lt;=TODAY(),"⚠ Indice attendu","À venir"),IF(D277&lt;=TODAY(),"✔ Calculable","Indice connu – à venir"))))</f>
        <v/>
      </c>
      <c r="W277" s="29" t="n"/>
      <c r="X277" s="13" t="n"/>
      <c r="Y277" s="14" t="n"/>
      <c r="Z277" s="14" t="n"/>
      <c r="AA277" s="13" t="n"/>
      <c r="AB277" s="17">
        <f>IF(A277="","",A277&amp;"#"&amp;C277)</f>
        <v/>
      </c>
      <c r="AC277" s="17">
        <f>IF(AND(AD277=1,D277&lt;=TODAY(),N277&lt;&gt;""),1,0)</f>
        <v/>
      </c>
      <c r="AD277" s="17">
        <f>IF(OR(A277="",D277=""),0,IF(AND(ISNUMBER(Baux!$H$24),D277&gt;Baux!$H$24),0,1))</f>
        <v/>
      </c>
    </row>
    <row r="278">
      <c r="A278" s="17">
        <f>IF(Baux!$A$25="","",Baux!$A$25)</f>
        <v/>
      </c>
      <c r="B278" s="17">
        <f>IF(A278="","",Baux!$B$25)</f>
        <v/>
      </c>
      <c r="C278" s="17" t="n">
        <v>1</v>
      </c>
      <c r="D278" s="15">
        <f>IF(OR(A278="",Baux!$F$25="",Baux!$O$25=""),"",EDATE(Baux!$F$25,12*Baux!$O$25*C278))</f>
        <v/>
      </c>
      <c r="E278" s="17">
        <f>IF(AD278=0,"",Baux!$M$25)</f>
        <v/>
      </c>
      <c r="F278" s="17">
        <f>IF(AD278=0,"",IFERROR(TEXT(VALUE(LEFT(Baux!$N$25,4))+C278*Baux!$O$25,"0")&amp;RIGHT(Baux!$N$25,3),""))</f>
        <v/>
      </c>
      <c r="G278" s="25">
        <f>IF(AD278=0,"",IF(F278="","",IF(SUMIFS(Indices_long!$C:$C,Indices_long!$A:$A,E278,Indices_long!$B:$B,F278)=0,"",SUMIFS(Indices_long!$C:$C,Indices_long!$A:$A,E278,Indices_long!$B:$B,F278))))</f>
        <v/>
      </c>
      <c r="H278" s="17">
        <f>IF(AD278=0,"",Baux!$N$25)</f>
        <v/>
      </c>
      <c r="I278" s="25">
        <f>IF(AD278=0,"",IF(H278="","",IF(SUMIFS(Indices_long!$C:$C,Indices_long!$A:$A,E278,Indices_long!$B:$B,H278)=0,"",SUMIFS(Indices_long!$C:$C,Indices_long!$A:$A,E278,Indices_long!$B:$B,H278))))</f>
        <v/>
      </c>
      <c r="J278" s="26">
        <f>IF(OR(G278="",I278=""),"",G278/I278)</f>
        <v/>
      </c>
      <c r="K278" s="13" t="n"/>
      <c r="L278" s="27">
        <f>IF(AD278=0,"",Baux!$I$25)</f>
        <v/>
      </c>
      <c r="M278" s="27">
        <f>IF(OR(J278="",L278=""),"",ROUND(L278*J278,2))</f>
        <v/>
      </c>
      <c r="N278" s="27">
        <f>IF(AD278=0,"",IF(LEFT(K278,5)="Geler",O278,IF(M278="","",IF(Baux!$Q$25="",M278,MIN(M278,ROUND(L278*(1+Baux!$Q$25/100)^IF(Baux!$P$25="Base fixe",C278*Baux!$O$25,VALUE(LEFT(F278,4))-VALUE(LEFT(H278,4))),2))))))</f>
        <v/>
      </c>
      <c r="O278" s="27">
        <f>IF(AD278=0,"",Baux!$I$25)</f>
        <v/>
      </c>
      <c r="P278" s="28">
        <f>IF(OR(N278="",O278=""),"",N278/O278-1)</f>
        <v/>
      </c>
      <c r="Q278" s="27">
        <f>IF(N278="","",N278/12)</f>
        <v/>
      </c>
      <c r="R278" s="27">
        <f>IF(N278="","",N278/IF(Baux!$L$25="Mensuelle",12,IF(Baux!$L$25="Trimestrielle",4,IF(Baux!$L$25="Semestrielle",2,1))))</f>
        <v/>
      </c>
      <c r="S278" s="27">
        <f>IF(AD278=0,"",IF(Baux!$J$25="",0,Baux!$J$25)/IF(Baux!$L$25="Mensuelle",12,IF(Baux!$L$25="Trimestrielle",4,IF(Baux!$L$25="Semestrielle",2,1))))</f>
        <v/>
      </c>
      <c r="T278" s="27">
        <f>IF(R278="","",(R278+S278)*Baux!$K$25/100)</f>
        <v/>
      </c>
      <c r="U278" s="27">
        <f>IF(R278="","",R278+S278+T278)</f>
        <v/>
      </c>
      <c r="V278" s="17">
        <f>IF(AD278=0,"",IF(LEFT(K278,5)="Geler","❄ Gelée",IF(G278="",IF(D278&lt;=TODAY(),"⚠ Indice attendu","À venir"),IF(D278&lt;=TODAY(),"✔ Calculable","Indice connu – à venir"))))</f>
        <v/>
      </c>
      <c r="W278" s="29" t="n"/>
      <c r="X278" s="13" t="n"/>
      <c r="Y278" s="14" t="n"/>
      <c r="Z278" s="14" t="n"/>
      <c r="AA278" s="13" t="n"/>
      <c r="AB278" s="17">
        <f>IF(A278="","",A278&amp;"#"&amp;C278)</f>
        <v/>
      </c>
      <c r="AC278" s="17">
        <f>IF(AND(AD278=1,D278&lt;=TODAY(),N278&lt;&gt;""),1,0)</f>
        <v/>
      </c>
      <c r="AD278" s="17">
        <f>IF(OR(A278="",D278=""),0,IF(AND(ISNUMBER(Baux!$H$25),D278&gt;Baux!$H$25),0,1))</f>
        <v/>
      </c>
    </row>
    <row r="279">
      <c r="A279" s="17">
        <f>IF(Baux!$A$25="","",Baux!$A$25)</f>
        <v/>
      </c>
      <c r="B279" s="17">
        <f>IF(A279="","",Baux!$B$25)</f>
        <v/>
      </c>
      <c r="C279" s="17" t="n">
        <v>2</v>
      </c>
      <c r="D279" s="15">
        <f>IF(OR(A279="",Baux!$F$25="",Baux!$O$25=""),"",EDATE(Baux!$F$25,12*Baux!$O$25*C279))</f>
        <v/>
      </c>
      <c r="E279" s="17">
        <f>IF(AD279=0,"",Baux!$M$25)</f>
        <v/>
      </c>
      <c r="F279" s="17">
        <f>IF(AD279=0,"",IFERROR(TEXT(VALUE(LEFT(Baux!$N$25,4))+C279*Baux!$O$25,"0")&amp;RIGHT(Baux!$N$25,3),""))</f>
        <v/>
      </c>
      <c r="G279" s="25">
        <f>IF(AD279=0,"",IF(F279="","",IF(SUMIFS(Indices_long!$C:$C,Indices_long!$A:$A,E279,Indices_long!$B:$B,F279)=0,"",SUMIFS(Indices_long!$C:$C,Indices_long!$A:$A,E279,Indices_long!$B:$B,F279))))</f>
        <v/>
      </c>
      <c r="H279" s="17">
        <f>IF(AD279=0,"",IF(Baux!$P$25="Base fixe",Baux!$N$25,IF(K278="Geler – rattrapage possible",H278,F278)))</f>
        <v/>
      </c>
      <c r="I279" s="25">
        <f>IF(AD279=0,"",IF(H279="","",IF(SUMIFS(Indices_long!$C:$C,Indices_long!$A:$A,E279,Indices_long!$B:$B,H279)=0,"",SUMIFS(Indices_long!$C:$C,Indices_long!$A:$A,E279,Indices_long!$B:$B,H279))))</f>
        <v/>
      </c>
      <c r="J279" s="26">
        <f>IF(OR(G279="",I279=""),"",G279/I279)</f>
        <v/>
      </c>
      <c r="K279" s="13" t="n"/>
      <c r="L279" s="27">
        <f>IF(AD279=0,"",IF(Baux!$P$25="Base fixe",Baux!$I$25,N278))</f>
        <v/>
      </c>
      <c r="M279" s="27">
        <f>IF(OR(J279="",L279=""),"",ROUND(L279*J279,2))</f>
        <v/>
      </c>
      <c r="N279" s="27">
        <f>IF(AD279=0,"",IF(LEFT(K279,5)="Geler",O279,IF(M279="","",IF(Baux!$Q$25="",M279,MIN(M279,ROUND(L279*(1+Baux!$Q$25/100)^IF(Baux!$P$25="Base fixe",C279*Baux!$O$25,VALUE(LEFT(F279,4))-VALUE(LEFT(H279,4))),2))))))</f>
        <v/>
      </c>
      <c r="O279" s="27">
        <f>IF(AD279=0,"",N278)</f>
        <v/>
      </c>
      <c r="P279" s="28">
        <f>IF(OR(N279="",O279=""),"",N279/O279-1)</f>
        <v/>
      </c>
      <c r="Q279" s="27">
        <f>IF(N279="","",N279/12)</f>
        <v/>
      </c>
      <c r="R279" s="27">
        <f>IF(N279="","",N279/IF(Baux!$L$25="Mensuelle",12,IF(Baux!$L$25="Trimestrielle",4,IF(Baux!$L$25="Semestrielle",2,1))))</f>
        <v/>
      </c>
      <c r="S279" s="27">
        <f>IF(AD279=0,"",IF(Baux!$J$25="",0,Baux!$J$25)/IF(Baux!$L$25="Mensuelle",12,IF(Baux!$L$25="Trimestrielle",4,IF(Baux!$L$25="Semestrielle",2,1))))</f>
        <v/>
      </c>
      <c r="T279" s="27">
        <f>IF(R279="","",(R279+S279)*Baux!$K$25/100)</f>
        <v/>
      </c>
      <c r="U279" s="27">
        <f>IF(R279="","",R279+S279+T279)</f>
        <v/>
      </c>
      <c r="V279" s="17">
        <f>IF(AD279=0,"",IF(LEFT(K279,5)="Geler","❄ Gelée",IF(G279="",IF(D279&lt;=TODAY(),"⚠ Indice attendu","À venir"),IF(D279&lt;=TODAY(),"✔ Calculable","Indice connu – à venir"))))</f>
        <v/>
      </c>
      <c r="W279" s="29" t="n"/>
      <c r="X279" s="13" t="n"/>
      <c r="Y279" s="14" t="n"/>
      <c r="Z279" s="14" t="n"/>
      <c r="AA279" s="13" t="n"/>
      <c r="AB279" s="17">
        <f>IF(A279="","",A279&amp;"#"&amp;C279)</f>
        <v/>
      </c>
      <c r="AC279" s="17">
        <f>IF(AND(AD279=1,D279&lt;=TODAY(),N279&lt;&gt;""),1,0)</f>
        <v/>
      </c>
      <c r="AD279" s="17">
        <f>IF(OR(A279="",D279=""),0,IF(AND(ISNUMBER(Baux!$H$25),D279&gt;Baux!$H$25),0,1))</f>
        <v/>
      </c>
    </row>
    <row r="280">
      <c r="A280" s="17">
        <f>IF(Baux!$A$25="","",Baux!$A$25)</f>
        <v/>
      </c>
      <c r="B280" s="17">
        <f>IF(A280="","",Baux!$B$25)</f>
        <v/>
      </c>
      <c r="C280" s="17" t="n">
        <v>3</v>
      </c>
      <c r="D280" s="15">
        <f>IF(OR(A280="",Baux!$F$25="",Baux!$O$25=""),"",EDATE(Baux!$F$25,12*Baux!$O$25*C280))</f>
        <v/>
      </c>
      <c r="E280" s="17">
        <f>IF(AD280=0,"",Baux!$M$25)</f>
        <v/>
      </c>
      <c r="F280" s="17">
        <f>IF(AD280=0,"",IFERROR(TEXT(VALUE(LEFT(Baux!$N$25,4))+C280*Baux!$O$25,"0")&amp;RIGHT(Baux!$N$25,3),""))</f>
        <v/>
      </c>
      <c r="G280" s="25">
        <f>IF(AD280=0,"",IF(F280="","",IF(SUMIFS(Indices_long!$C:$C,Indices_long!$A:$A,E280,Indices_long!$B:$B,F280)=0,"",SUMIFS(Indices_long!$C:$C,Indices_long!$A:$A,E280,Indices_long!$B:$B,F280))))</f>
        <v/>
      </c>
      <c r="H280" s="17">
        <f>IF(AD280=0,"",IF(Baux!$P$25="Base fixe",Baux!$N$25,IF(K279="Geler – rattrapage possible",H279,F279)))</f>
        <v/>
      </c>
      <c r="I280" s="25">
        <f>IF(AD280=0,"",IF(H280="","",IF(SUMIFS(Indices_long!$C:$C,Indices_long!$A:$A,E280,Indices_long!$B:$B,H280)=0,"",SUMIFS(Indices_long!$C:$C,Indices_long!$A:$A,E280,Indices_long!$B:$B,H280))))</f>
        <v/>
      </c>
      <c r="J280" s="26">
        <f>IF(OR(G280="",I280=""),"",G280/I280)</f>
        <v/>
      </c>
      <c r="K280" s="13" t="n"/>
      <c r="L280" s="27">
        <f>IF(AD280=0,"",IF(Baux!$P$25="Base fixe",Baux!$I$25,N279))</f>
        <v/>
      </c>
      <c r="M280" s="27">
        <f>IF(OR(J280="",L280=""),"",ROUND(L280*J280,2))</f>
        <v/>
      </c>
      <c r="N280" s="27">
        <f>IF(AD280=0,"",IF(LEFT(K280,5)="Geler",O280,IF(M280="","",IF(Baux!$Q$25="",M280,MIN(M280,ROUND(L280*(1+Baux!$Q$25/100)^IF(Baux!$P$25="Base fixe",C280*Baux!$O$25,VALUE(LEFT(F280,4))-VALUE(LEFT(H280,4))),2))))))</f>
        <v/>
      </c>
      <c r="O280" s="27">
        <f>IF(AD280=0,"",N279)</f>
        <v/>
      </c>
      <c r="P280" s="28">
        <f>IF(OR(N280="",O280=""),"",N280/O280-1)</f>
        <v/>
      </c>
      <c r="Q280" s="27">
        <f>IF(N280="","",N280/12)</f>
        <v/>
      </c>
      <c r="R280" s="27">
        <f>IF(N280="","",N280/IF(Baux!$L$25="Mensuelle",12,IF(Baux!$L$25="Trimestrielle",4,IF(Baux!$L$25="Semestrielle",2,1))))</f>
        <v/>
      </c>
      <c r="S280" s="27">
        <f>IF(AD280=0,"",IF(Baux!$J$25="",0,Baux!$J$25)/IF(Baux!$L$25="Mensuelle",12,IF(Baux!$L$25="Trimestrielle",4,IF(Baux!$L$25="Semestrielle",2,1))))</f>
        <v/>
      </c>
      <c r="T280" s="27">
        <f>IF(R280="","",(R280+S280)*Baux!$K$25/100)</f>
        <v/>
      </c>
      <c r="U280" s="27">
        <f>IF(R280="","",R280+S280+T280)</f>
        <v/>
      </c>
      <c r="V280" s="17">
        <f>IF(AD280=0,"",IF(LEFT(K280,5)="Geler","❄ Gelée",IF(G280="",IF(D280&lt;=TODAY(),"⚠ Indice attendu","À venir"),IF(D280&lt;=TODAY(),"✔ Calculable","Indice connu – à venir"))))</f>
        <v/>
      </c>
      <c r="W280" s="29" t="n"/>
      <c r="X280" s="13" t="n"/>
      <c r="Y280" s="14" t="n"/>
      <c r="Z280" s="14" t="n"/>
      <c r="AA280" s="13" t="n"/>
      <c r="AB280" s="17">
        <f>IF(A280="","",A280&amp;"#"&amp;C280)</f>
        <v/>
      </c>
      <c r="AC280" s="17">
        <f>IF(AND(AD280=1,D280&lt;=TODAY(),N280&lt;&gt;""),1,0)</f>
        <v/>
      </c>
      <c r="AD280" s="17">
        <f>IF(OR(A280="",D280=""),0,IF(AND(ISNUMBER(Baux!$H$25),D280&gt;Baux!$H$25),0,1))</f>
        <v/>
      </c>
    </row>
    <row r="281">
      <c r="A281" s="17">
        <f>IF(Baux!$A$25="","",Baux!$A$25)</f>
        <v/>
      </c>
      <c r="B281" s="17">
        <f>IF(A281="","",Baux!$B$25)</f>
        <v/>
      </c>
      <c r="C281" s="17" t="n">
        <v>4</v>
      </c>
      <c r="D281" s="15">
        <f>IF(OR(A281="",Baux!$F$25="",Baux!$O$25=""),"",EDATE(Baux!$F$25,12*Baux!$O$25*C281))</f>
        <v/>
      </c>
      <c r="E281" s="17">
        <f>IF(AD281=0,"",Baux!$M$25)</f>
        <v/>
      </c>
      <c r="F281" s="17">
        <f>IF(AD281=0,"",IFERROR(TEXT(VALUE(LEFT(Baux!$N$25,4))+C281*Baux!$O$25,"0")&amp;RIGHT(Baux!$N$25,3),""))</f>
        <v/>
      </c>
      <c r="G281" s="25">
        <f>IF(AD281=0,"",IF(F281="","",IF(SUMIFS(Indices_long!$C:$C,Indices_long!$A:$A,E281,Indices_long!$B:$B,F281)=0,"",SUMIFS(Indices_long!$C:$C,Indices_long!$A:$A,E281,Indices_long!$B:$B,F281))))</f>
        <v/>
      </c>
      <c r="H281" s="17">
        <f>IF(AD281=0,"",IF(Baux!$P$25="Base fixe",Baux!$N$25,IF(K280="Geler – rattrapage possible",H280,F280)))</f>
        <v/>
      </c>
      <c r="I281" s="25">
        <f>IF(AD281=0,"",IF(H281="","",IF(SUMIFS(Indices_long!$C:$C,Indices_long!$A:$A,E281,Indices_long!$B:$B,H281)=0,"",SUMIFS(Indices_long!$C:$C,Indices_long!$A:$A,E281,Indices_long!$B:$B,H281))))</f>
        <v/>
      </c>
      <c r="J281" s="26">
        <f>IF(OR(G281="",I281=""),"",G281/I281)</f>
        <v/>
      </c>
      <c r="K281" s="13" t="n"/>
      <c r="L281" s="27">
        <f>IF(AD281=0,"",IF(Baux!$P$25="Base fixe",Baux!$I$25,N280))</f>
        <v/>
      </c>
      <c r="M281" s="27">
        <f>IF(OR(J281="",L281=""),"",ROUND(L281*J281,2))</f>
        <v/>
      </c>
      <c r="N281" s="27">
        <f>IF(AD281=0,"",IF(LEFT(K281,5)="Geler",O281,IF(M281="","",IF(Baux!$Q$25="",M281,MIN(M281,ROUND(L281*(1+Baux!$Q$25/100)^IF(Baux!$P$25="Base fixe",C281*Baux!$O$25,VALUE(LEFT(F281,4))-VALUE(LEFT(H281,4))),2))))))</f>
        <v/>
      </c>
      <c r="O281" s="27">
        <f>IF(AD281=0,"",N280)</f>
        <v/>
      </c>
      <c r="P281" s="28">
        <f>IF(OR(N281="",O281=""),"",N281/O281-1)</f>
        <v/>
      </c>
      <c r="Q281" s="27">
        <f>IF(N281="","",N281/12)</f>
        <v/>
      </c>
      <c r="R281" s="27">
        <f>IF(N281="","",N281/IF(Baux!$L$25="Mensuelle",12,IF(Baux!$L$25="Trimestrielle",4,IF(Baux!$L$25="Semestrielle",2,1))))</f>
        <v/>
      </c>
      <c r="S281" s="27">
        <f>IF(AD281=0,"",IF(Baux!$J$25="",0,Baux!$J$25)/IF(Baux!$L$25="Mensuelle",12,IF(Baux!$L$25="Trimestrielle",4,IF(Baux!$L$25="Semestrielle",2,1))))</f>
        <v/>
      </c>
      <c r="T281" s="27">
        <f>IF(R281="","",(R281+S281)*Baux!$K$25/100)</f>
        <v/>
      </c>
      <c r="U281" s="27">
        <f>IF(R281="","",R281+S281+T281)</f>
        <v/>
      </c>
      <c r="V281" s="17">
        <f>IF(AD281=0,"",IF(LEFT(K281,5)="Geler","❄ Gelée",IF(G281="",IF(D281&lt;=TODAY(),"⚠ Indice attendu","À venir"),IF(D281&lt;=TODAY(),"✔ Calculable","Indice connu – à venir"))))</f>
        <v/>
      </c>
      <c r="W281" s="29" t="n"/>
      <c r="X281" s="13" t="n"/>
      <c r="Y281" s="14" t="n"/>
      <c r="Z281" s="14" t="n"/>
      <c r="AA281" s="13" t="n"/>
      <c r="AB281" s="17">
        <f>IF(A281="","",A281&amp;"#"&amp;C281)</f>
        <v/>
      </c>
      <c r="AC281" s="17">
        <f>IF(AND(AD281=1,D281&lt;=TODAY(),N281&lt;&gt;""),1,0)</f>
        <v/>
      </c>
      <c r="AD281" s="17">
        <f>IF(OR(A281="",D281=""),0,IF(AND(ISNUMBER(Baux!$H$25),D281&gt;Baux!$H$25),0,1))</f>
        <v/>
      </c>
    </row>
    <row r="282">
      <c r="A282" s="17">
        <f>IF(Baux!$A$25="","",Baux!$A$25)</f>
        <v/>
      </c>
      <c r="B282" s="17">
        <f>IF(A282="","",Baux!$B$25)</f>
        <v/>
      </c>
      <c r="C282" s="17" t="n">
        <v>5</v>
      </c>
      <c r="D282" s="15">
        <f>IF(OR(A282="",Baux!$F$25="",Baux!$O$25=""),"",EDATE(Baux!$F$25,12*Baux!$O$25*C282))</f>
        <v/>
      </c>
      <c r="E282" s="17">
        <f>IF(AD282=0,"",Baux!$M$25)</f>
        <v/>
      </c>
      <c r="F282" s="17">
        <f>IF(AD282=0,"",IFERROR(TEXT(VALUE(LEFT(Baux!$N$25,4))+C282*Baux!$O$25,"0")&amp;RIGHT(Baux!$N$25,3),""))</f>
        <v/>
      </c>
      <c r="G282" s="25">
        <f>IF(AD282=0,"",IF(F282="","",IF(SUMIFS(Indices_long!$C:$C,Indices_long!$A:$A,E282,Indices_long!$B:$B,F282)=0,"",SUMIFS(Indices_long!$C:$C,Indices_long!$A:$A,E282,Indices_long!$B:$B,F282))))</f>
        <v/>
      </c>
      <c r="H282" s="17">
        <f>IF(AD282=0,"",IF(Baux!$P$25="Base fixe",Baux!$N$25,IF(K281="Geler – rattrapage possible",H281,F281)))</f>
        <v/>
      </c>
      <c r="I282" s="25">
        <f>IF(AD282=0,"",IF(H282="","",IF(SUMIFS(Indices_long!$C:$C,Indices_long!$A:$A,E282,Indices_long!$B:$B,H282)=0,"",SUMIFS(Indices_long!$C:$C,Indices_long!$A:$A,E282,Indices_long!$B:$B,H282))))</f>
        <v/>
      </c>
      <c r="J282" s="26">
        <f>IF(OR(G282="",I282=""),"",G282/I282)</f>
        <v/>
      </c>
      <c r="K282" s="13" t="n"/>
      <c r="L282" s="27">
        <f>IF(AD282=0,"",IF(Baux!$P$25="Base fixe",Baux!$I$25,N281))</f>
        <v/>
      </c>
      <c r="M282" s="27">
        <f>IF(OR(J282="",L282=""),"",ROUND(L282*J282,2))</f>
        <v/>
      </c>
      <c r="N282" s="27">
        <f>IF(AD282=0,"",IF(LEFT(K282,5)="Geler",O282,IF(M282="","",IF(Baux!$Q$25="",M282,MIN(M282,ROUND(L282*(1+Baux!$Q$25/100)^IF(Baux!$P$25="Base fixe",C282*Baux!$O$25,VALUE(LEFT(F282,4))-VALUE(LEFT(H282,4))),2))))))</f>
        <v/>
      </c>
      <c r="O282" s="27">
        <f>IF(AD282=0,"",N281)</f>
        <v/>
      </c>
      <c r="P282" s="28">
        <f>IF(OR(N282="",O282=""),"",N282/O282-1)</f>
        <v/>
      </c>
      <c r="Q282" s="27">
        <f>IF(N282="","",N282/12)</f>
        <v/>
      </c>
      <c r="R282" s="27">
        <f>IF(N282="","",N282/IF(Baux!$L$25="Mensuelle",12,IF(Baux!$L$25="Trimestrielle",4,IF(Baux!$L$25="Semestrielle",2,1))))</f>
        <v/>
      </c>
      <c r="S282" s="27">
        <f>IF(AD282=0,"",IF(Baux!$J$25="",0,Baux!$J$25)/IF(Baux!$L$25="Mensuelle",12,IF(Baux!$L$25="Trimestrielle",4,IF(Baux!$L$25="Semestrielle",2,1))))</f>
        <v/>
      </c>
      <c r="T282" s="27">
        <f>IF(R282="","",(R282+S282)*Baux!$K$25/100)</f>
        <v/>
      </c>
      <c r="U282" s="27">
        <f>IF(R282="","",R282+S282+T282)</f>
        <v/>
      </c>
      <c r="V282" s="17">
        <f>IF(AD282=0,"",IF(LEFT(K282,5)="Geler","❄ Gelée",IF(G282="",IF(D282&lt;=TODAY(),"⚠ Indice attendu","À venir"),IF(D282&lt;=TODAY(),"✔ Calculable","Indice connu – à venir"))))</f>
        <v/>
      </c>
      <c r="W282" s="29" t="n"/>
      <c r="X282" s="13" t="n"/>
      <c r="Y282" s="14" t="n"/>
      <c r="Z282" s="14" t="n"/>
      <c r="AA282" s="13" t="n"/>
      <c r="AB282" s="17">
        <f>IF(A282="","",A282&amp;"#"&amp;C282)</f>
        <v/>
      </c>
      <c r="AC282" s="17">
        <f>IF(AND(AD282=1,D282&lt;=TODAY(),N282&lt;&gt;""),1,0)</f>
        <v/>
      </c>
      <c r="AD282" s="17">
        <f>IF(OR(A282="",D282=""),0,IF(AND(ISNUMBER(Baux!$H$25),D282&gt;Baux!$H$25),0,1))</f>
        <v/>
      </c>
    </row>
    <row r="283">
      <c r="A283" s="17">
        <f>IF(Baux!$A$25="","",Baux!$A$25)</f>
        <v/>
      </c>
      <c r="B283" s="17">
        <f>IF(A283="","",Baux!$B$25)</f>
        <v/>
      </c>
      <c r="C283" s="17" t="n">
        <v>6</v>
      </c>
      <c r="D283" s="15">
        <f>IF(OR(A283="",Baux!$F$25="",Baux!$O$25=""),"",EDATE(Baux!$F$25,12*Baux!$O$25*C283))</f>
        <v/>
      </c>
      <c r="E283" s="17">
        <f>IF(AD283=0,"",Baux!$M$25)</f>
        <v/>
      </c>
      <c r="F283" s="17">
        <f>IF(AD283=0,"",IFERROR(TEXT(VALUE(LEFT(Baux!$N$25,4))+C283*Baux!$O$25,"0")&amp;RIGHT(Baux!$N$25,3),""))</f>
        <v/>
      </c>
      <c r="G283" s="25">
        <f>IF(AD283=0,"",IF(F283="","",IF(SUMIFS(Indices_long!$C:$C,Indices_long!$A:$A,E283,Indices_long!$B:$B,F283)=0,"",SUMIFS(Indices_long!$C:$C,Indices_long!$A:$A,E283,Indices_long!$B:$B,F283))))</f>
        <v/>
      </c>
      <c r="H283" s="17">
        <f>IF(AD283=0,"",IF(Baux!$P$25="Base fixe",Baux!$N$25,IF(K282="Geler – rattrapage possible",H282,F282)))</f>
        <v/>
      </c>
      <c r="I283" s="25">
        <f>IF(AD283=0,"",IF(H283="","",IF(SUMIFS(Indices_long!$C:$C,Indices_long!$A:$A,E283,Indices_long!$B:$B,H283)=0,"",SUMIFS(Indices_long!$C:$C,Indices_long!$A:$A,E283,Indices_long!$B:$B,H283))))</f>
        <v/>
      </c>
      <c r="J283" s="26">
        <f>IF(OR(G283="",I283=""),"",G283/I283)</f>
        <v/>
      </c>
      <c r="K283" s="13" t="n"/>
      <c r="L283" s="27">
        <f>IF(AD283=0,"",IF(Baux!$P$25="Base fixe",Baux!$I$25,N282))</f>
        <v/>
      </c>
      <c r="M283" s="27">
        <f>IF(OR(J283="",L283=""),"",ROUND(L283*J283,2))</f>
        <v/>
      </c>
      <c r="N283" s="27">
        <f>IF(AD283=0,"",IF(LEFT(K283,5)="Geler",O283,IF(M283="","",IF(Baux!$Q$25="",M283,MIN(M283,ROUND(L283*(1+Baux!$Q$25/100)^IF(Baux!$P$25="Base fixe",C283*Baux!$O$25,VALUE(LEFT(F283,4))-VALUE(LEFT(H283,4))),2))))))</f>
        <v/>
      </c>
      <c r="O283" s="27">
        <f>IF(AD283=0,"",N282)</f>
        <v/>
      </c>
      <c r="P283" s="28">
        <f>IF(OR(N283="",O283=""),"",N283/O283-1)</f>
        <v/>
      </c>
      <c r="Q283" s="27">
        <f>IF(N283="","",N283/12)</f>
        <v/>
      </c>
      <c r="R283" s="27">
        <f>IF(N283="","",N283/IF(Baux!$L$25="Mensuelle",12,IF(Baux!$L$25="Trimestrielle",4,IF(Baux!$L$25="Semestrielle",2,1))))</f>
        <v/>
      </c>
      <c r="S283" s="27">
        <f>IF(AD283=0,"",IF(Baux!$J$25="",0,Baux!$J$25)/IF(Baux!$L$25="Mensuelle",12,IF(Baux!$L$25="Trimestrielle",4,IF(Baux!$L$25="Semestrielle",2,1))))</f>
        <v/>
      </c>
      <c r="T283" s="27">
        <f>IF(R283="","",(R283+S283)*Baux!$K$25/100)</f>
        <v/>
      </c>
      <c r="U283" s="27">
        <f>IF(R283="","",R283+S283+T283)</f>
        <v/>
      </c>
      <c r="V283" s="17">
        <f>IF(AD283=0,"",IF(LEFT(K283,5)="Geler","❄ Gelée",IF(G283="",IF(D283&lt;=TODAY(),"⚠ Indice attendu","À venir"),IF(D283&lt;=TODAY(),"✔ Calculable","Indice connu – à venir"))))</f>
        <v/>
      </c>
      <c r="W283" s="29" t="n"/>
      <c r="X283" s="13" t="n"/>
      <c r="Y283" s="14" t="n"/>
      <c r="Z283" s="14" t="n"/>
      <c r="AA283" s="13" t="n"/>
      <c r="AB283" s="17">
        <f>IF(A283="","",A283&amp;"#"&amp;C283)</f>
        <v/>
      </c>
      <c r="AC283" s="17">
        <f>IF(AND(AD283=1,D283&lt;=TODAY(),N283&lt;&gt;""),1,0)</f>
        <v/>
      </c>
      <c r="AD283" s="17">
        <f>IF(OR(A283="",D283=""),0,IF(AND(ISNUMBER(Baux!$H$25),D283&gt;Baux!$H$25),0,1))</f>
        <v/>
      </c>
    </row>
    <row r="284">
      <c r="A284" s="17">
        <f>IF(Baux!$A$25="","",Baux!$A$25)</f>
        <v/>
      </c>
      <c r="B284" s="17">
        <f>IF(A284="","",Baux!$B$25)</f>
        <v/>
      </c>
      <c r="C284" s="17" t="n">
        <v>7</v>
      </c>
      <c r="D284" s="15">
        <f>IF(OR(A284="",Baux!$F$25="",Baux!$O$25=""),"",EDATE(Baux!$F$25,12*Baux!$O$25*C284))</f>
        <v/>
      </c>
      <c r="E284" s="17">
        <f>IF(AD284=0,"",Baux!$M$25)</f>
        <v/>
      </c>
      <c r="F284" s="17">
        <f>IF(AD284=0,"",IFERROR(TEXT(VALUE(LEFT(Baux!$N$25,4))+C284*Baux!$O$25,"0")&amp;RIGHT(Baux!$N$25,3),""))</f>
        <v/>
      </c>
      <c r="G284" s="25">
        <f>IF(AD284=0,"",IF(F284="","",IF(SUMIFS(Indices_long!$C:$C,Indices_long!$A:$A,E284,Indices_long!$B:$B,F284)=0,"",SUMIFS(Indices_long!$C:$C,Indices_long!$A:$A,E284,Indices_long!$B:$B,F284))))</f>
        <v/>
      </c>
      <c r="H284" s="17">
        <f>IF(AD284=0,"",IF(Baux!$P$25="Base fixe",Baux!$N$25,IF(K283="Geler – rattrapage possible",H283,F283)))</f>
        <v/>
      </c>
      <c r="I284" s="25">
        <f>IF(AD284=0,"",IF(H284="","",IF(SUMIFS(Indices_long!$C:$C,Indices_long!$A:$A,E284,Indices_long!$B:$B,H284)=0,"",SUMIFS(Indices_long!$C:$C,Indices_long!$A:$A,E284,Indices_long!$B:$B,H284))))</f>
        <v/>
      </c>
      <c r="J284" s="26">
        <f>IF(OR(G284="",I284=""),"",G284/I284)</f>
        <v/>
      </c>
      <c r="K284" s="13" t="n"/>
      <c r="L284" s="27">
        <f>IF(AD284=0,"",IF(Baux!$P$25="Base fixe",Baux!$I$25,N283))</f>
        <v/>
      </c>
      <c r="M284" s="27">
        <f>IF(OR(J284="",L284=""),"",ROUND(L284*J284,2))</f>
        <v/>
      </c>
      <c r="N284" s="27">
        <f>IF(AD284=0,"",IF(LEFT(K284,5)="Geler",O284,IF(M284="","",IF(Baux!$Q$25="",M284,MIN(M284,ROUND(L284*(1+Baux!$Q$25/100)^IF(Baux!$P$25="Base fixe",C284*Baux!$O$25,VALUE(LEFT(F284,4))-VALUE(LEFT(H284,4))),2))))))</f>
        <v/>
      </c>
      <c r="O284" s="27">
        <f>IF(AD284=0,"",N283)</f>
        <v/>
      </c>
      <c r="P284" s="28">
        <f>IF(OR(N284="",O284=""),"",N284/O284-1)</f>
        <v/>
      </c>
      <c r="Q284" s="27">
        <f>IF(N284="","",N284/12)</f>
        <v/>
      </c>
      <c r="R284" s="27">
        <f>IF(N284="","",N284/IF(Baux!$L$25="Mensuelle",12,IF(Baux!$L$25="Trimestrielle",4,IF(Baux!$L$25="Semestrielle",2,1))))</f>
        <v/>
      </c>
      <c r="S284" s="27">
        <f>IF(AD284=0,"",IF(Baux!$J$25="",0,Baux!$J$25)/IF(Baux!$L$25="Mensuelle",12,IF(Baux!$L$25="Trimestrielle",4,IF(Baux!$L$25="Semestrielle",2,1))))</f>
        <v/>
      </c>
      <c r="T284" s="27">
        <f>IF(R284="","",(R284+S284)*Baux!$K$25/100)</f>
        <v/>
      </c>
      <c r="U284" s="27">
        <f>IF(R284="","",R284+S284+T284)</f>
        <v/>
      </c>
      <c r="V284" s="17">
        <f>IF(AD284=0,"",IF(LEFT(K284,5)="Geler","❄ Gelée",IF(G284="",IF(D284&lt;=TODAY(),"⚠ Indice attendu","À venir"),IF(D284&lt;=TODAY(),"✔ Calculable","Indice connu – à venir"))))</f>
        <v/>
      </c>
      <c r="W284" s="29" t="n"/>
      <c r="X284" s="13" t="n"/>
      <c r="Y284" s="14" t="n"/>
      <c r="Z284" s="14" t="n"/>
      <c r="AA284" s="13" t="n"/>
      <c r="AB284" s="17">
        <f>IF(A284="","",A284&amp;"#"&amp;C284)</f>
        <v/>
      </c>
      <c r="AC284" s="17">
        <f>IF(AND(AD284=1,D284&lt;=TODAY(),N284&lt;&gt;""),1,0)</f>
        <v/>
      </c>
      <c r="AD284" s="17">
        <f>IF(OR(A284="",D284=""),0,IF(AND(ISNUMBER(Baux!$H$25),D284&gt;Baux!$H$25),0,1))</f>
        <v/>
      </c>
    </row>
    <row r="285">
      <c r="A285" s="17">
        <f>IF(Baux!$A$25="","",Baux!$A$25)</f>
        <v/>
      </c>
      <c r="B285" s="17">
        <f>IF(A285="","",Baux!$B$25)</f>
        <v/>
      </c>
      <c r="C285" s="17" t="n">
        <v>8</v>
      </c>
      <c r="D285" s="15">
        <f>IF(OR(A285="",Baux!$F$25="",Baux!$O$25=""),"",EDATE(Baux!$F$25,12*Baux!$O$25*C285))</f>
        <v/>
      </c>
      <c r="E285" s="17">
        <f>IF(AD285=0,"",Baux!$M$25)</f>
        <v/>
      </c>
      <c r="F285" s="17">
        <f>IF(AD285=0,"",IFERROR(TEXT(VALUE(LEFT(Baux!$N$25,4))+C285*Baux!$O$25,"0")&amp;RIGHT(Baux!$N$25,3),""))</f>
        <v/>
      </c>
      <c r="G285" s="25">
        <f>IF(AD285=0,"",IF(F285="","",IF(SUMIFS(Indices_long!$C:$C,Indices_long!$A:$A,E285,Indices_long!$B:$B,F285)=0,"",SUMIFS(Indices_long!$C:$C,Indices_long!$A:$A,E285,Indices_long!$B:$B,F285))))</f>
        <v/>
      </c>
      <c r="H285" s="17">
        <f>IF(AD285=0,"",IF(Baux!$P$25="Base fixe",Baux!$N$25,IF(K284="Geler – rattrapage possible",H284,F284)))</f>
        <v/>
      </c>
      <c r="I285" s="25">
        <f>IF(AD285=0,"",IF(H285="","",IF(SUMIFS(Indices_long!$C:$C,Indices_long!$A:$A,E285,Indices_long!$B:$B,H285)=0,"",SUMIFS(Indices_long!$C:$C,Indices_long!$A:$A,E285,Indices_long!$B:$B,H285))))</f>
        <v/>
      </c>
      <c r="J285" s="26">
        <f>IF(OR(G285="",I285=""),"",G285/I285)</f>
        <v/>
      </c>
      <c r="K285" s="13" t="n"/>
      <c r="L285" s="27">
        <f>IF(AD285=0,"",IF(Baux!$P$25="Base fixe",Baux!$I$25,N284))</f>
        <v/>
      </c>
      <c r="M285" s="27">
        <f>IF(OR(J285="",L285=""),"",ROUND(L285*J285,2))</f>
        <v/>
      </c>
      <c r="N285" s="27">
        <f>IF(AD285=0,"",IF(LEFT(K285,5)="Geler",O285,IF(M285="","",IF(Baux!$Q$25="",M285,MIN(M285,ROUND(L285*(1+Baux!$Q$25/100)^IF(Baux!$P$25="Base fixe",C285*Baux!$O$25,VALUE(LEFT(F285,4))-VALUE(LEFT(H285,4))),2))))))</f>
        <v/>
      </c>
      <c r="O285" s="27">
        <f>IF(AD285=0,"",N284)</f>
        <v/>
      </c>
      <c r="P285" s="28">
        <f>IF(OR(N285="",O285=""),"",N285/O285-1)</f>
        <v/>
      </c>
      <c r="Q285" s="27">
        <f>IF(N285="","",N285/12)</f>
        <v/>
      </c>
      <c r="R285" s="27">
        <f>IF(N285="","",N285/IF(Baux!$L$25="Mensuelle",12,IF(Baux!$L$25="Trimestrielle",4,IF(Baux!$L$25="Semestrielle",2,1))))</f>
        <v/>
      </c>
      <c r="S285" s="27">
        <f>IF(AD285=0,"",IF(Baux!$J$25="",0,Baux!$J$25)/IF(Baux!$L$25="Mensuelle",12,IF(Baux!$L$25="Trimestrielle",4,IF(Baux!$L$25="Semestrielle",2,1))))</f>
        <v/>
      </c>
      <c r="T285" s="27">
        <f>IF(R285="","",(R285+S285)*Baux!$K$25/100)</f>
        <v/>
      </c>
      <c r="U285" s="27">
        <f>IF(R285="","",R285+S285+T285)</f>
        <v/>
      </c>
      <c r="V285" s="17">
        <f>IF(AD285=0,"",IF(LEFT(K285,5)="Geler","❄ Gelée",IF(G285="",IF(D285&lt;=TODAY(),"⚠ Indice attendu","À venir"),IF(D285&lt;=TODAY(),"✔ Calculable","Indice connu – à venir"))))</f>
        <v/>
      </c>
      <c r="W285" s="29" t="n"/>
      <c r="X285" s="13" t="n"/>
      <c r="Y285" s="14" t="n"/>
      <c r="Z285" s="14" t="n"/>
      <c r="AA285" s="13" t="n"/>
      <c r="AB285" s="17">
        <f>IF(A285="","",A285&amp;"#"&amp;C285)</f>
        <v/>
      </c>
      <c r="AC285" s="17">
        <f>IF(AND(AD285=1,D285&lt;=TODAY(),N285&lt;&gt;""),1,0)</f>
        <v/>
      </c>
      <c r="AD285" s="17">
        <f>IF(OR(A285="",D285=""),0,IF(AND(ISNUMBER(Baux!$H$25),D285&gt;Baux!$H$25),0,1))</f>
        <v/>
      </c>
    </row>
    <row r="286">
      <c r="A286" s="17">
        <f>IF(Baux!$A$25="","",Baux!$A$25)</f>
        <v/>
      </c>
      <c r="B286" s="17">
        <f>IF(A286="","",Baux!$B$25)</f>
        <v/>
      </c>
      <c r="C286" s="17" t="n">
        <v>9</v>
      </c>
      <c r="D286" s="15">
        <f>IF(OR(A286="",Baux!$F$25="",Baux!$O$25=""),"",EDATE(Baux!$F$25,12*Baux!$O$25*C286))</f>
        <v/>
      </c>
      <c r="E286" s="17">
        <f>IF(AD286=0,"",Baux!$M$25)</f>
        <v/>
      </c>
      <c r="F286" s="17">
        <f>IF(AD286=0,"",IFERROR(TEXT(VALUE(LEFT(Baux!$N$25,4))+C286*Baux!$O$25,"0")&amp;RIGHT(Baux!$N$25,3),""))</f>
        <v/>
      </c>
      <c r="G286" s="25">
        <f>IF(AD286=0,"",IF(F286="","",IF(SUMIFS(Indices_long!$C:$C,Indices_long!$A:$A,E286,Indices_long!$B:$B,F286)=0,"",SUMIFS(Indices_long!$C:$C,Indices_long!$A:$A,E286,Indices_long!$B:$B,F286))))</f>
        <v/>
      </c>
      <c r="H286" s="17">
        <f>IF(AD286=0,"",IF(Baux!$P$25="Base fixe",Baux!$N$25,IF(K285="Geler – rattrapage possible",H285,F285)))</f>
        <v/>
      </c>
      <c r="I286" s="25">
        <f>IF(AD286=0,"",IF(H286="","",IF(SUMIFS(Indices_long!$C:$C,Indices_long!$A:$A,E286,Indices_long!$B:$B,H286)=0,"",SUMIFS(Indices_long!$C:$C,Indices_long!$A:$A,E286,Indices_long!$B:$B,H286))))</f>
        <v/>
      </c>
      <c r="J286" s="26">
        <f>IF(OR(G286="",I286=""),"",G286/I286)</f>
        <v/>
      </c>
      <c r="K286" s="13" t="n"/>
      <c r="L286" s="27">
        <f>IF(AD286=0,"",IF(Baux!$P$25="Base fixe",Baux!$I$25,N285))</f>
        <v/>
      </c>
      <c r="M286" s="27">
        <f>IF(OR(J286="",L286=""),"",ROUND(L286*J286,2))</f>
        <v/>
      </c>
      <c r="N286" s="27">
        <f>IF(AD286=0,"",IF(LEFT(K286,5)="Geler",O286,IF(M286="","",IF(Baux!$Q$25="",M286,MIN(M286,ROUND(L286*(1+Baux!$Q$25/100)^IF(Baux!$P$25="Base fixe",C286*Baux!$O$25,VALUE(LEFT(F286,4))-VALUE(LEFT(H286,4))),2))))))</f>
        <v/>
      </c>
      <c r="O286" s="27">
        <f>IF(AD286=0,"",N285)</f>
        <v/>
      </c>
      <c r="P286" s="28">
        <f>IF(OR(N286="",O286=""),"",N286/O286-1)</f>
        <v/>
      </c>
      <c r="Q286" s="27">
        <f>IF(N286="","",N286/12)</f>
        <v/>
      </c>
      <c r="R286" s="27">
        <f>IF(N286="","",N286/IF(Baux!$L$25="Mensuelle",12,IF(Baux!$L$25="Trimestrielle",4,IF(Baux!$L$25="Semestrielle",2,1))))</f>
        <v/>
      </c>
      <c r="S286" s="27">
        <f>IF(AD286=0,"",IF(Baux!$J$25="",0,Baux!$J$25)/IF(Baux!$L$25="Mensuelle",12,IF(Baux!$L$25="Trimestrielle",4,IF(Baux!$L$25="Semestrielle",2,1))))</f>
        <v/>
      </c>
      <c r="T286" s="27">
        <f>IF(R286="","",(R286+S286)*Baux!$K$25/100)</f>
        <v/>
      </c>
      <c r="U286" s="27">
        <f>IF(R286="","",R286+S286+T286)</f>
        <v/>
      </c>
      <c r="V286" s="17">
        <f>IF(AD286=0,"",IF(LEFT(K286,5)="Geler","❄ Gelée",IF(G286="",IF(D286&lt;=TODAY(),"⚠ Indice attendu","À venir"),IF(D286&lt;=TODAY(),"✔ Calculable","Indice connu – à venir"))))</f>
        <v/>
      </c>
      <c r="W286" s="29" t="n"/>
      <c r="X286" s="13" t="n"/>
      <c r="Y286" s="14" t="n"/>
      <c r="Z286" s="14" t="n"/>
      <c r="AA286" s="13" t="n"/>
      <c r="AB286" s="17">
        <f>IF(A286="","",A286&amp;"#"&amp;C286)</f>
        <v/>
      </c>
      <c r="AC286" s="17">
        <f>IF(AND(AD286=1,D286&lt;=TODAY(),N286&lt;&gt;""),1,0)</f>
        <v/>
      </c>
      <c r="AD286" s="17">
        <f>IF(OR(A286="",D286=""),0,IF(AND(ISNUMBER(Baux!$H$25),D286&gt;Baux!$H$25),0,1))</f>
        <v/>
      </c>
    </row>
    <row r="287">
      <c r="A287" s="17">
        <f>IF(Baux!$A$25="","",Baux!$A$25)</f>
        <v/>
      </c>
      <c r="B287" s="17">
        <f>IF(A287="","",Baux!$B$25)</f>
        <v/>
      </c>
      <c r="C287" s="17" t="n">
        <v>10</v>
      </c>
      <c r="D287" s="15">
        <f>IF(OR(A287="",Baux!$F$25="",Baux!$O$25=""),"",EDATE(Baux!$F$25,12*Baux!$O$25*C287))</f>
        <v/>
      </c>
      <c r="E287" s="17">
        <f>IF(AD287=0,"",Baux!$M$25)</f>
        <v/>
      </c>
      <c r="F287" s="17">
        <f>IF(AD287=0,"",IFERROR(TEXT(VALUE(LEFT(Baux!$N$25,4))+C287*Baux!$O$25,"0")&amp;RIGHT(Baux!$N$25,3),""))</f>
        <v/>
      </c>
      <c r="G287" s="25">
        <f>IF(AD287=0,"",IF(F287="","",IF(SUMIFS(Indices_long!$C:$C,Indices_long!$A:$A,E287,Indices_long!$B:$B,F287)=0,"",SUMIFS(Indices_long!$C:$C,Indices_long!$A:$A,E287,Indices_long!$B:$B,F287))))</f>
        <v/>
      </c>
      <c r="H287" s="17">
        <f>IF(AD287=0,"",IF(Baux!$P$25="Base fixe",Baux!$N$25,IF(K286="Geler – rattrapage possible",H286,F286)))</f>
        <v/>
      </c>
      <c r="I287" s="25">
        <f>IF(AD287=0,"",IF(H287="","",IF(SUMIFS(Indices_long!$C:$C,Indices_long!$A:$A,E287,Indices_long!$B:$B,H287)=0,"",SUMIFS(Indices_long!$C:$C,Indices_long!$A:$A,E287,Indices_long!$B:$B,H287))))</f>
        <v/>
      </c>
      <c r="J287" s="26">
        <f>IF(OR(G287="",I287=""),"",G287/I287)</f>
        <v/>
      </c>
      <c r="K287" s="13" t="n"/>
      <c r="L287" s="27">
        <f>IF(AD287=0,"",IF(Baux!$P$25="Base fixe",Baux!$I$25,N286))</f>
        <v/>
      </c>
      <c r="M287" s="27">
        <f>IF(OR(J287="",L287=""),"",ROUND(L287*J287,2))</f>
        <v/>
      </c>
      <c r="N287" s="27">
        <f>IF(AD287=0,"",IF(LEFT(K287,5)="Geler",O287,IF(M287="","",IF(Baux!$Q$25="",M287,MIN(M287,ROUND(L287*(1+Baux!$Q$25/100)^IF(Baux!$P$25="Base fixe",C287*Baux!$O$25,VALUE(LEFT(F287,4))-VALUE(LEFT(H287,4))),2))))))</f>
        <v/>
      </c>
      <c r="O287" s="27">
        <f>IF(AD287=0,"",N286)</f>
        <v/>
      </c>
      <c r="P287" s="28">
        <f>IF(OR(N287="",O287=""),"",N287/O287-1)</f>
        <v/>
      </c>
      <c r="Q287" s="27">
        <f>IF(N287="","",N287/12)</f>
        <v/>
      </c>
      <c r="R287" s="27">
        <f>IF(N287="","",N287/IF(Baux!$L$25="Mensuelle",12,IF(Baux!$L$25="Trimestrielle",4,IF(Baux!$L$25="Semestrielle",2,1))))</f>
        <v/>
      </c>
      <c r="S287" s="27">
        <f>IF(AD287=0,"",IF(Baux!$J$25="",0,Baux!$J$25)/IF(Baux!$L$25="Mensuelle",12,IF(Baux!$L$25="Trimestrielle",4,IF(Baux!$L$25="Semestrielle",2,1))))</f>
        <v/>
      </c>
      <c r="T287" s="27">
        <f>IF(R287="","",(R287+S287)*Baux!$K$25/100)</f>
        <v/>
      </c>
      <c r="U287" s="27">
        <f>IF(R287="","",R287+S287+T287)</f>
        <v/>
      </c>
      <c r="V287" s="17">
        <f>IF(AD287=0,"",IF(LEFT(K287,5)="Geler","❄ Gelée",IF(G287="",IF(D287&lt;=TODAY(),"⚠ Indice attendu","À venir"),IF(D287&lt;=TODAY(),"✔ Calculable","Indice connu – à venir"))))</f>
        <v/>
      </c>
      <c r="W287" s="29" t="n"/>
      <c r="X287" s="13" t="n"/>
      <c r="Y287" s="14" t="n"/>
      <c r="Z287" s="14" t="n"/>
      <c r="AA287" s="13" t="n"/>
      <c r="AB287" s="17">
        <f>IF(A287="","",A287&amp;"#"&amp;C287)</f>
        <v/>
      </c>
      <c r="AC287" s="17">
        <f>IF(AND(AD287=1,D287&lt;=TODAY(),N287&lt;&gt;""),1,0)</f>
        <v/>
      </c>
      <c r="AD287" s="17">
        <f>IF(OR(A287="",D287=""),0,IF(AND(ISNUMBER(Baux!$H$25),D287&gt;Baux!$H$25),0,1))</f>
        <v/>
      </c>
    </row>
    <row r="288">
      <c r="A288" s="17">
        <f>IF(Baux!$A$25="","",Baux!$A$25)</f>
        <v/>
      </c>
      <c r="B288" s="17">
        <f>IF(A288="","",Baux!$B$25)</f>
        <v/>
      </c>
      <c r="C288" s="17" t="n">
        <v>11</v>
      </c>
      <c r="D288" s="15">
        <f>IF(OR(A288="",Baux!$F$25="",Baux!$O$25=""),"",EDATE(Baux!$F$25,12*Baux!$O$25*C288))</f>
        <v/>
      </c>
      <c r="E288" s="17">
        <f>IF(AD288=0,"",Baux!$M$25)</f>
        <v/>
      </c>
      <c r="F288" s="17">
        <f>IF(AD288=0,"",IFERROR(TEXT(VALUE(LEFT(Baux!$N$25,4))+C288*Baux!$O$25,"0")&amp;RIGHT(Baux!$N$25,3),""))</f>
        <v/>
      </c>
      <c r="G288" s="25">
        <f>IF(AD288=0,"",IF(F288="","",IF(SUMIFS(Indices_long!$C:$C,Indices_long!$A:$A,E288,Indices_long!$B:$B,F288)=0,"",SUMIFS(Indices_long!$C:$C,Indices_long!$A:$A,E288,Indices_long!$B:$B,F288))))</f>
        <v/>
      </c>
      <c r="H288" s="17">
        <f>IF(AD288=0,"",IF(Baux!$P$25="Base fixe",Baux!$N$25,IF(K287="Geler – rattrapage possible",H287,F287)))</f>
        <v/>
      </c>
      <c r="I288" s="25">
        <f>IF(AD288=0,"",IF(H288="","",IF(SUMIFS(Indices_long!$C:$C,Indices_long!$A:$A,E288,Indices_long!$B:$B,H288)=0,"",SUMIFS(Indices_long!$C:$C,Indices_long!$A:$A,E288,Indices_long!$B:$B,H288))))</f>
        <v/>
      </c>
      <c r="J288" s="26">
        <f>IF(OR(G288="",I288=""),"",G288/I288)</f>
        <v/>
      </c>
      <c r="K288" s="13" t="n"/>
      <c r="L288" s="27">
        <f>IF(AD288=0,"",IF(Baux!$P$25="Base fixe",Baux!$I$25,N287))</f>
        <v/>
      </c>
      <c r="M288" s="27">
        <f>IF(OR(J288="",L288=""),"",ROUND(L288*J288,2))</f>
        <v/>
      </c>
      <c r="N288" s="27">
        <f>IF(AD288=0,"",IF(LEFT(K288,5)="Geler",O288,IF(M288="","",IF(Baux!$Q$25="",M288,MIN(M288,ROUND(L288*(1+Baux!$Q$25/100)^IF(Baux!$P$25="Base fixe",C288*Baux!$O$25,VALUE(LEFT(F288,4))-VALUE(LEFT(H288,4))),2))))))</f>
        <v/>
      </c>
      <c r="O288" s="27">
        <f>IF(AD288=0,"",N287)</f>
        <v/>
      </c>
      <c r="P288" s="28">
        <f>IF(OR(N288="",O288=""),"",N288/O288-1)</f>
        <v/>
      </c>
      <c r="Q288" s="27">
        <f>IF(N288="","",N288/12)</f>
        <v/>
      </c>
      <c r="R288" s="27">
        <f>IF(N288="","",N288/IF(Baux!$L$25="Mensuelle",12,IF(Baux!$L$25="Trimestrielle",4,IF(Baux!$L$25="Semestrielle",2,1))))</f>
        <v/>
      </c>
      <c r="S288" s="27">
        <f>IF(AD288=0,"",IF(Baux!$J$25="",0,Baux!$J$25)/IF(Baux!$L$25="Mensuelle",12,IF(Baux!$L$25="Trimestrielle",4,IF(Baux!$L$25="Semestrielle",2,1))))</f>
        <v/>
      </c>
      <c r="T288" s="27">
        <f>IF(R288="","",(R288+S288)*Baux!$K$25/100)</f>
        <v/>
      </c>
      <c r="U288" s="27">
        <f>IF(R288="","",R288+S288+T288)</f>
        <v/>
      </c>
      <c r="V288" s="17">
        <f>IF(AD288=0,"",IF(LEFT(K288,5)="Geler","❄ Gelée",IF(G288="",IF(D288&lt;=TODAY(),"⚠ Indice attendu","À venir"),IF(D288&lt;=TODAY(),"✔ Calculable","Indice connu – à venir"))))</f>
        <v/>
      </c>
      <c r="W288" s="29" t="n"/>
      <c r="X288" s="13" t="n"/>
      <c r="Y288" s="14" t="n"/>
      <c r="Z288" s="14" t="n"/>
      <c r="AA288" s="13" t="n"/>
      <c r="AB288" s="17">
        <f>IF(A288="","",A288&amp;"#"&amp;C288)</f>
        <v/>
      </c>
      <c r="AC288" s="17">
        <f>IF(AND(AD288=1,D288&lt;=TODAY(),N288&lt;&gt;""),1,0)</f>
        <v/>
      </c>
      <c r="AD288" s="17">
        <f>IF(OR(A288="",D288=""),0,IF(AND(ISNUMBER(Baux!$H$25),D288&gt;Baux!$H$25),0,1))</f>
        <v/>
      </c>
    </row>
    <row r="289">
      <c r="A289" s="17">
        <f>IF(Baux!$A$25="","",Baux!$A$25)</f>
        <v/>
      </c>
      <c r="B289" s="17">
        <f>IF(A289="","",Baux!$B$25)</f>
        <v/>
      </c>
      <c r="C289" s="17" t="n">
        <v>12</v>
      </c>
      <c r="D289" s="15">
        <f>IF(OR(A289="",Baux!$F$25="",Baux!$O$25=""),"",EDATE(Baux!$F$25,12*Baux!$O$25*C289))</f>
        <v/>
      </c>
      <c r="E289" s="17">
        <f>IF(AD289=0,"",Baux!$M$25)</f>
        <v/>
      </c>
      <c r="F289" s="17">
        <f>IF(AD289=0,"",IFERROR(TEXT(VALUE(LEFT(Baux!$N$25,4))+C289*Baux!$O$25,"0")&amp;RIGHT(Baux!$N$25,3),""))</f>
        <v/>
      </c>
      <c r="G289" s="25">
        <f>IF(AD289=0,"",IF(F289="","",IF(SUMIFS(Indices_long!$C:$C,Indices_long!$A:$A,E289,Indices_long!$B:$B,F289)=0,"",SUMIFS(Indices_long!$C:$C,Indices_long!$A:$A,E289,Indices_long!$B:$B,F289))))</f>
        <v/>
      </c>
      <c r="H289" s="17">
        <f>IF(AD289=0,"",IF(Baux!$P$25="Base fixe",Baux!$N$25,IF(K288="Geler – rattrapage possible",H288,F288)))</f>
        <v/>
      </c>
      <c r="I289" s="25">
        <f>IF(AD289=0,"",IF(H289="","",IF(SUMIFS(Indices_long!$C:$C,Indices_long!$A:$A,E289,Indices_long!$B:$B,H289)=0,"",SUMIFS(Indices_long!$C:$C,Indices_long!$A:$A,E289,Indices_long!$B:$B,H289))))</f>
        <v/>
      </c>
      <c r="J289" s="26">
        <f>IF(OR(G289="",I289=""),"",G289/I289)</f>
        <v/>
      </c>
      <c r="K289" s="13" t="n"/>
      <c r="L289" s="27">
        <f>IF(AD289=0,"",IF(Baux!$P$25="Base fixe",Baux!$I$25,N288))</f>
        <v/>
      </c>
      <c r="M289" s="27">
        <f>IF(OR(J289="",L289=""),"",ROUND(L289*J289,2))</f>
        <v/>
      </c>
      <c r="N289" s="27">
        <f>IF(AD289=0,"",IF(LEFT(K289,5)="Geler",O289,IF(M289="","",IF(Baux!$Q$25="",M289,MIN(M289,ROUND(L289*(1+Baux!$Q$25/100)^IF(Baux!$P$25="Base fixe",C289*Baux!$O$25,VALUE(LEFT(F289,4))-VALUE(LEFT(H289,4))),2))))))</f>
        <v/>
      </c>
      <c r="O289" s="27">
        <f>IF(AD289=0,"",N288)</f>
        <v/>
      </c>
      <c r="P289" s="28">
        <f>IF(OR(N289="",O289=""),"",N289/O289-1)</f>
        <v/>
      </c>
      <c r="Q289" s="27">
        <f>IF(N289="","",N289/12)</f>
        <v/>
      </c>
      <c r="R289" s="27">
        <f>IF(N289="","",N289/IF(Baux!$L$25="Mensuelle",12,IF(Baux!$L$25="Trimestrielle",4,IF(Baux!$L$25="Semestrielle",2,1))))</f>
        <v/>
      </c>
      <c r="S289" s="27">
        <f>IF(AD289=0,"",IF(Baux!$J$25="",0,Baux!$J$25)/IF(Baux!$L$25="Mensuelle",12,IF(Baux!$L$25="Trimestrielle",4,IF(Baux!$L$25="Semestrielle",2,1))))</f>
        <v/>
      </c>
      <c r="T289" s="27">
        <f>IF(R289="","",(R289+S289)*Baux!$K$25/100)</f>
        <v/>
      </c>
      <c r="U289" s="27">
        <f>IF(R289="","",R289+S289+T289)</f>
        <v/>
      </c>
      <c r="V289" s="17">
        <f>IF(AD289=0,"",IF(LEFT(K289,5)="Geler","❄ Gelée",IF(G289="",IF(D289&lt;=TODAY(),"⚠ Indice attendu","À venir"),IF(D289&lt;=TODAY(),"✔ Calculable","Indice connu – à venir"))))</f>
        <v/>
      </c>
      <c r="W289" s="29" t="n"/>
      <c r="X289" s="13" t="n"/>
      <c r="Y289" s="14" t="n"/>
      <c r="Z289" s="14" t="n"/>
      <c r="AA289" s="13" t="n"/>
      <c r="AB289" s="17">
        <f>IF(A289="","",A289&amp;"#"&amp;C289)</f>
        <v/>
      </c>
      <c r="AC289" s="17">
        <f>IF(AND(AD289=1,D289&lt;=TODAY(),N289&lt;&gt;""),1,0)</f>
        <v/>
      </c>
      <c r="AD289" s="17">
        <f>IF(OR(A289="",D289=""),0,IF(AND(ISNUMBER(Baux!$H$25),D289&gt;Baux!$H$25),0,1))</f>
        <v/>
      </c>
    </row>
    <row r="290">
      <c r="A290" s="17">
        <f>IF(Baux!$A$26="","",Baux!$A$26)</f>
        <v/>
      </c>
      <c r="B290" s="17">
        <f>IF(A290="","",Baux!$B$26)</f>
        <v/>
      </c>
      <c r="C290" s="17" t="n">
        <v>1</v>
      </c>
      <c r="D290" s="15">
        <f>IF(OR(A290="",Baux!$F$26="",Baux!$O$26=""),"",EDATE(Baux!$F$26,12*Baux!$O$26*C290))</f>
        <v/>
      </c>
      <c r="E290" s="17">
        <f>IF(AD290=0,"",Baux!$M$26)</f>
        <v/>
      </c>
      <c r="F290" s="17">
        <f>IF(AD290=0,"",IFERROR(TEXT(VALUE(LEFT(Baux!$N$26,4))+C290*Baux!$O$26,"0")&amp;RIGHT(Baux!$N$26,3),""))</f>
        <v/>
      </c>
      <c r="G290" s="25">
        <f>IF(AD290=0,"",IF(F290="","",IF(SUMIFS(Indices_long!$C:$C,Indices_long!$A:$A,E290,Indices_long!$B:$B,F290)=0,"",SUMIFS(Indices_long!$C:$C,Indices_long!$A:$A,E290,Indices_long!$B:$B,F290))))</f>
        <v/>
      </c>
      <c r="H290" s="17">
        <f>IF(AD290=0,"",Baux!$N$26)</f>
        <v/>
      </c>
      <c r="I290" s="25">
        <f>IF(AD290=0,"",IF(H290="","",IF(SUMIFS(Indices_long!$C:$C,Indices_long!$A:$A,E290,Indices_long!$B:$B,H290)=0,"",SUMIFS(Indices_long!$C:$C,Indices_long!$A:$A,E290,Indices_long!$B:$B,H290))))</f>
        <v/>
      </c>
      <c r="J290" s="26">
        <f>IF(OR(G290="",I290=""),"",G290/I290)</f>
        <v/>
      </c>
      <c r="K290" s="13" t="n"/>
      <c r="L290" s="27">
        <f>IF(AD290=0,"",Baux!$I$26)</f>
        <v/>
      </c>
      <c r="M290" s="27">
        <f>IF(OR(J290="",L290=""),"",ROUND(L290*J290,2))</f>
        <v/>
      </c>
      <c r="N290" s="27">
        <f>IF(AD290=0,"",IF(LEFT(K290,5)="Geler",O290,IF(M290="","",IF(Baux!$Q$26="",M290,MIN(M290,ROUND(L290*(1+Baux!$Q$26/100)^IF(Baux!$P$26="Base fixe",C290*Baux!$O$26,VALUE(LEFT(F290,4))-VALUE(LEFT(H290,4))),2))))))</f>
        <v/>
      </c>
      <c r="O290" s="27">
        <f>IF(AD290=0,"",Baux!$I$26)</f>
        <v/>
      </c>
      <c r="P290" s="28">
        <f>IF(OR(N290="",O290=""),"",N290/O290-1)</f>
        <v/>
      </c>
      <c r="Q290" s="27">
        <f>IF(N290="","",N290/12)</f>
        <v/>
      </c>
      <c r="R290" s="27">
        <f>IF(N290="","",N290/IF(Baux!$L$26="Mensuelle",12,IF(Baux!$L$26="Trimestrielle",4,IF(Baux!$L$26="Semestrielle",2,1))))</f>
        <v/>
      </c>
      <c r="S290" s="27">
        <f>IF(AD290=0,"",IF(Baux!$J$26="",0,Baux!$J$26)/IF(Baux!$L$26="Mensuelle",12,IF(Baux!$L$26="Trimestrielle",4,IF(Baux!$L$26="Semestrielle",2,1))))</f>
        <v/>
      </c>
      <c r="T290" s="27">
        <f>IF(R290="","",(R290+S290)*Baux!$K$26/100)</f>
        <v/>
      </c>
      <c r="U290" s="27">
        <f>IF(R290="","",R290+S290+T290)</f>
        <v/>
      </c>
      <c r="V290" s="17">
        <f>IF(AD290=0,"",IF(LEFT(K290,5)="Geler","❄ Gelée",IF(G290="",IF(D290&lt;=TODAY(),"⚠ Indice attendu","À venir"),IF(D290&lt;=TODAY(),"✔ Calculable","Indice connu – à venir"))))</f>
        <v/>
      </c>
      <c r="W290" s="29" t="n"/>
      <c r="X290" s="13" t="n"/>
      <c r="Y290" s="14" t="n"/>
      <c r="Z290" s="14" t="n"/>
      <c r="AA290" s="13" t="n"/>
      <c r="AB290" s="17">
        <f>IF(A290="","",A290&amp;"#"&amp;C290)</f>
        <v/>
      </c>
      <c r="AC290" s="17">
        <f>IF(AND(AD290=1,D290&lt;=TODAY(),N290&lt;&gt;""),1,0)</f>
        <v/>
      </c>
      <c r="AD290" s="17">
        <f>IF(OR(A290="",D290=""),0,IF(AND(ISNUMBER(Baux!$H$26),D290&gt;Baux!$H$26),0,1))</f>
        <v/>
      </c>
    </row>
    <row r="291">
      <c r="A291" s="17">
        <f>IF(Baux!$A$26="","",Baux!$A$26)</f>
        <v/>
      </c>
      <c r="B291" s="17">
        <f>IF(A291="","",Baux!$B$26)</f>
        <v/>
      </c>
      <c r="C291" s="17" t="n">
        <v>2</v>
      </c>
      <c r="D291" s="15">
        <f>IF(OR(A291="",Baux!$F$26="",Baux!$O$26=""),"",EDATE(Baux!$F$26,12*Baux!$O$26*C291))</f>
        <v/>
      </c>
      <c r="E291" s="17">
        <f>IF(AD291=0,"",Baux!$M$26)</f>
        <v/>
      </c>
      <c r="F291" s="17">
        <f>IF(AD291=0,"",IFERROR(TEXT(VALUE(LEFT(Baux!$N$26,4))+C291*Baux!$O$26,"0")&amp;RIGHT(Baux!$N$26,3),""))</f>
        <v/>
      </c>
      <c r="G291" s="25">
        <f>IF(AD291=0,"",IF(F291="","",IF(SUMIFS(Indices_long!$C:$C,Indices_long!$A:$A,E291,Indices_long!$B:$B,F291)=0,"",SUMIFS(Indices_long!$C:$C,Indices_long!$A:$A,E291,Indices_long!$B:$B,F291))))</f>
        <v/>
      </c>
      <c r="H291" s="17">
        <f>IF(AD291=0,"",IF(Baux!$P$26="Base fixe",Baux!$N$26,IF(K290="Geler – rattrapage possible",H290,F290)))</f>
        <v/>
      </c>
      <c r="I291" s="25">
        <f>IF(AD291=0,"",IF(H291="","",IF(SUMIFS(Indices_long!$C:$C,Indices_long!$A:$A,E291,Indices_long!$B:$B,H291)=0,"",SUMIFS(Indices_long!$C:$C,Indices_long!$A:$A,E291,Indices_long!$B:$B,H291))))</f>
        <v/>
      </c>
      <c r="J291" s="26">
        <f>IF(OR(G291="",I291=""),"",G291/I291)</f>
        <v/>
      </c>
      <c r="K291" s="13" t="n"/>
      <c r="L291" s="27">
        <f>IF(AD291=0,"",IF(Baux!$P$26="Base fixe",Baux!$I$26,N290))</f>
        <v/>
      </c>
      <c r="M291" s="27">
        <f>IF(OR(J291="",L291=""),"",ROUND(L291*J291,2))</f>
        <v/>
      </c>
      <c r="N291" s="27">
        <f>IF(AD291=0,"",IF(LEFT(K291,5)="Geler",O291,IF(M291="","",IF(Baux!$Q$26="",M291,MIN(M291,ROUND(L291*(1+Baux!$Q$26/100)^IF(Baux!$P$26="Base fixe",C291*Baux!$O$26,VALUE(LEFT(F291,4))-VALUE(LEFT(H291,4))),2))))))</f>
        <v/>
      </c>
      <c r="O291" s="27">
        <f>IF(AD291=0,"",N290)</f>
        <v/>
      </c>
      <c r="P291" s="28">
        <f>IF(OR(N291="",O291=""),"",N291/O291-1)</f>
        <v/>
      </c>
      <c r="Q291" s="27">
        <f>IF(N291="","",N291/12)</f>
        <v/>
      </c>
      <c r="R291" s="27">
        <f>IF(N291="","",N291/IF(Baux!$L$26="Mensuelle",12,IF(Baux!$L$26="Trimestrielle",4,IF(Baux!$L$26="Semestrielle",2,1))))</f>
        <v/>
      </c>
      <c r="S291" s="27">
        <f>IF(AD291=0,"",IF(Baux!$J$26="",0,Baux!$J$26)/IF(Baux!$L$26="Mensuelle",12,IF(Baux!$L$26="Trimestrielle",4,IF(Baux!$L$26="Semestrielle",2,1))))</f>
        <v/>
      </c>
      <c r="T291" s="27">
        <f>IF(R291="","",(R291+S291)*Baux!$K$26/100)</f>
        <v/>
      </c>
      <c r="U291" s="27">
        <f>IF(R291="","",R291+S291+T291)</f>
        <v/>
      </c>
      <c r="V291" s="17">
        <f>IF(AD291=0,"",IF(LEFT(K291,5)="Geler","❄ Gelée",IF(G291="",IF(D291&lt;=TODAY(),"⚠ Indice attendu","À venir"),IF(D291&lt;=TODAY(),"✔ Calculable","Indice connu – à venir"))))</f>
        <v/>
      </c>
      <c r="W291" s="29" t="n"/>
      <c r="X291" s="13" t="n"/>
      <c r="Y291" s="14" t="n"/>
      <c r="Z291" s="14" t="n"/>
      <c r="AA291" s="13" t="n"/>
      <c r="AB291" s="17">
        <f>IF(A291="","",A291&amp;"#"&amp;C291)</f>
        <v/>
      </c>
      <c r="AC291" s="17">
        <f>IF(AND(AD291=1,D291&lt;=TODAY(),N291&lt;&gt;""),1,0)</f>
        <v/>
      </c>
      <c r="AD291" s="17">
        <f>IF(OR(A291="",D291=""),0,IF(AND(ISNUMBER(Baux!$H$26),D291&gt;Baux!$H$26),0,1))</f>
        <v/>
      </c>
    </row>
    <row r="292">
      <c r="A292" s="17">
        <f>IF(Baux!$A$26="","",Baux!$A$26)</f>
        <v/>
      </c>
      <c r="B292" s="17">
        <f>IF(A292="","",Baux!$B$26)</f>
        <v/>
      </c>
      <c r="C292" s="17" t="n">
        <v>3</v>
      </c>
      <c r="D292" s="15">
        <f>IF(OR(A292="",Baux!$F$26="",Baux!$O$26=""),"",EDATE(Baux!$F$26,12*Baux!$O$26*C292))</f>
        <v/>
      </c>
      <c r="E292" s="17">
        <f>IF(AD292=0,"",Baux!$M$26)</f>
        <v/>
      </c>
      <c r="F292" s="17">
        <f>IF(AD292=0,"",IFERROR(TEXT(VALUE(LEFT(Baux!$N$26,4))+C292*Baux!$O$26,"0")&amp;RIGHT(Baux!$N$26,3),""))</f>
        <v/>
      </c>
      <c r="G292" s="25">
        <f>IF(AD292=0,"",IF(F292="","",IF(SUMIFS(Indices_long!$C:$C,Indices_long!$A:$A,E292,Indices_long!$B:$B,F292)=0,"",SUMIFS(Indices_long!$C:$C,Indices_long!$A:$A,E292,Indices_long!$B:$B,F292))))</f>
        <v/>
      </c>
      <c r="H292" s="17">
        <f>IF(AD292=0,"",IF(Baux!$P$26="Base fixe",Baux!$N$26,IF(K291="Geler – rattrapage possible",H291,F291)))</f>
        <v/>
      </c>
      <c r="I292" s="25">
        <f>IF(AD292=0,"",IF(H292="","",IF(SUMIFS(Indices_long!$C:$C,Indices_long!$A:$A,E292,Indices_long!$B:$B,H292)=0,"",SUMIFS(Indices_long!$C:$C,Indices_long!$A:$A,E292,Indices_long!$B:$B,H292))))</f>
        <v/>
      </c>
      <c r="J292" s="26">
        <f>IF(OR(G292="",I292=""),"",G292/I292)</f>
        <v/>
      </c>
      <c r="K292" s="13" t="n"/>
      <c r="L292" s="27">
        <f>IF(AD292=0,"",IF(Baux!$P$26="Base fixe",Baux!$I$26,N291))</f>
        <v/>
      </c>
      <c r="M292" s="27">
        <f>IF(OR(J292="",L292=""),"",ROUND(L292*J292,2))</f>
        <v/>
      </c>
      <c r="N292" s="27">
        <f>IF(AD292=0,"",IF(LEFT(K292,5)="Geler",O292,IF(M292="","",IF(Baux!$Q$26="",M292,MIN(M292,ROUND(L292*(1+Baux!$Q$26/100)^IF(Baux!$P$26="Base fixe",C292*Baux!$O$26,VALUE(LEFT(F292,4))-VALUE(LEFT(H292,4))),2))))))</f>
        <v/>
      </c>
      <c r="O292" s="27">
        <f>IF(AD292=0,"",N291)</f>
        <v/>
      </c>
      <c r="P292" s="28">
        <f>IF(OR(N292="",O292=""),"",N292/O292-1)</f>
        <v/>
      </c>
      <c r="Q292" s="27">
        <f>IF(N292="","",N292/12)</f>
        <v/>
      </c>
      <c r="R292" s="27">
        <f>IF(N292="","",N292/IF(Baux!$L$26="Mensuelle",12,IF(Baux!$L$26="Trimestrielle",4,IF(Baux!$L$26="Semestrielle",2,1))))</f>
        <v/>
      </c>
      <c r="S292" s="27">
        <f>IF(AD292=0,"",IF(Baux!$J$26="",0,Baux!$J$26)/IF(Baux!$L$26="Mensuelle",12,IF(Baux!$L$26="Trimestrielle",4,IF(Baux!$L$26="Semestrielle",2,1))))</f>
        <v/>
      </c>
      <c r="T292" s="27">
        <f>IF(R292="","",(R292+S292)*Baux!$K$26/100)</f>
        <v/>
      </c>
      <c r="U292" s="27">
        <f>IF(R292="","",R292+S292+T292)</f>
        <v/>
      </c>
      <c r="V292" s="17">
        <f>IF(AD292=0,"",IF(LEFT(K292,5)="Geler","❄ Gelée",IF(G292="",IF(D292&lt;=TODAY(),"⚠ Indice attendu","À venir"),IF(D292&lt;=TODAY(),"✔ Calculable","Indice connu – à venir"))))</f>
        <v/>
      </c>
      <c r="W292" s="29" t="n"/>
      <c r="X292" s="13" t="n"/>
      <c r="Y292" s="14" t="n"/>
      <c r="Z292" s="14" t="n"/>
      <c r="AA292" s="13" t="n"/>
      <c r="AB292" s="17">
        <f>IF(A292="","",A292&amp;"#"&amp;C292)</f>
        <v/>
      </c>
      <c r="AC292" s="17">
        <f>IF(AND(AD292=1,D292&lt;=TODAY(),N292&lt;&gt;""),1,0)</f>
        <v/>
      </c>
      <c r="AD292" s="17">
        <f>IF(OR(A292="",D292=""),0,IF(AND(ISNUMBER(Baux!$H$26),D292&gt;Baux!$H$26),0,1))</f>
        <v/>
      </c>
    </row>
    <row r="293">
      <c r="A293" s="17">
        <f>IF(Baux!$A$26="","",Baux!$A$26)</f>
        <v/>
      </c>
      <c r="B293" s="17">
        <f>IF(A293="","",Baux!$B$26)</f>
        <v/>
      </c>
      <c r="C293" s="17" t="n">
        <v>4</v>
      </c>
      <c r="D293" s="15">
        <f>IF(OR(A293="",Baux!$F$26="",Baux!$O$26=""),"",EDATE(Baux!$F$26,12*Baux!$O$26*C293))</f>
        <v/>
      </c>
      <c r="E293" s="17">
        <f>IF(AD293=0,"",Baux!$M$26)</f>
        <v/>
      </c>
      <c r="F293" s="17">
        <f>IF(AD293=0,"",IFERROR(TEXT(VALUE(LEFT(Baux!$N$26,4))+C293*Baux!$O$26,"0")&amp;RIGHT(Baux!$N$26,3),""))</f>
        <v/>
      </c>
      <c r="G293" s="25">
        <f>IF(AD293=0,"",IF(F293="","",IF(SUMIFS(Indices_long!$C:$C,Indices_long!$A:$A,E293,Indices_long!$B:$B,F293)=0,"",SUMIFS(Indices_long!$C:$C,Indices_long!$A:$A,E293,Indices_long!$B:$B,F293))))</f>
        <v/>
      </c>
      <c r="H293" s="17">
        <f>IF(AD293=0,"",IF(Baux!$P$26="Base fixe",Baux!$N$26,IF(K292="Geler – rattrapage possible",H292,F292)))</f>
        <v/>
      </c>
      <c r="I293" s="25">
        <f>IF(AD293=0,"",IF(H293="","",IF(SUMIFS(Indices_long!$C:$C,Indices_long!$A:$A,E293,Indices_long!$B:$B,H293)=0,"",SUMIFS(Indices_long!$C:$C,Indices_long!$A:$A,E293,Indices_long!$B:$B,H293))))</f>
        <v/>
      </c>
      <c r="J293" s="26">
        <f>IF(OR(G293="",I293=""),"",G293/I293)</f>
        <v/>
      </c>
      <c r="K293" s="13" t="n"/>
      <c r="L293" s="27">
        <f>IF(AD293=0,"",IF(Baux!$P$26="Base fixe",Baux!$I$26,N292))</f>
        <v/>
      </c>
      <c r="M293" s="27">
        <f>IF(OR(J293="",L293=""),"",ROUND(L293*J293,2))</f>
        <v/>
      </c>
      <c r="N293" s="27">
        <f>IF(AD293=0,"",IF(LEFT(K293,5)="Geler",O293,IF(M293="","",IF(Baux!$Q$26="",M293,MIN(M293,ROUND(L293*(1+Baux!$Q$26/100)^IF(Baux!$P$26="Base fixe",C293*Baux!$O$26,VALUE(LEFT(F293,4))-VALUE(LEFT(H293,4))),2))))))</f>
        <v/>
      </c>
      <c r="O293" s="27">
        <f>IF(AD293=0,"",N292)</f>
        <v/>
      </c>
      <c r="P293" s="28">
        <f>IF(OR(N293="",O293=""),"",N293/O293-1)</f>
        <v/>
      </c>
      <c r="Q293" s="27">
        <f>IF(N293="","",N293/12)</f>
        <v/>
      </c>
      <c r="R293" s="27">
        <f>IF(N293="","",N293/IF(Baux!$L$26="Mensuelle",12,IF(Baux!$L$26="Trimestrielle",4,IF(Baux!$L$26="Semestrielle",2,1))))</f>
        <v/>
      </c>
      <c r="S293" s="27">
        <f>IF(AD293=0,"",IF(Baux!$J$26="",0,Baux!$J$26)/IF(Baux!$L$26="Mensuelle",12,IF(Baux!$L$26="Trimestrielle",4,IF(Baux!$L$26="Semestrielle",2,1))))</f>
        <v/>
      </c>
      <c r="T293" s="27">
        <f>IF(R293="","",(R293+S293)*Baux!$K$26/100)</f>
        <v/>
      </c>
      <c r="U293" s="27">
        <f>IF(R293="","",R293+S293+T293)</f>
        <v/>
      </c>
      <c r="V293" s="17">
        <f>IF(AD293=0,"",IF(LEFT(K293,5)="Geler","❄ Gelée",IF(G293="",IF(D293&lt;=TODAY(),"⚠ Indice attendu","À venir"),IF(D293&lt;=TODAY(),"✔ Calculable","Indice connu – à venir"))))</f>
        <v/>
      </c>
      <c r="W293" s="29" t="n"/>
      <c r="X293" s="13" t="n"/>
      <c r="Y293" s="14" t="n"/>
      <c r="Z293" s="14" t="n"/>
      <c r="AA293" s="13" t="n"/>
      <c r="AB293" s="17">
        <f>IF(A293="","",A293&amp;"#"&amp;C293)</f>
        <v/>
      </c>
      <c r="AC293" s="17">
        <f>IF(AND(AD293=1,D293&lt;=TODAY(),N293&lt;&gt;""),1,0)</f>
        <v/>
      </c>
      <c r="AD293" s="17">
        <f>IF(OR(A293="",D293=""),0,IF(AND(ISNUMBER(Baux!$H$26),D293&gt;Baux!$H$26),0,1))</f>
        <v/>
      </c>
    </row>
    <row r="294">
      <c r="A294" s="17">
        <f>IF(Baux!$A$26="","",Baux!$A$26)</f>
        <v/>
      </c>
      <c r="B294" s="17">
        <f>IF(A294="","",Baux!$B$26)</f>
        <v/>
      </c>
      <c r="C294" s="17" t="n">
        <v>5</v>
      </c>
      <c r="D294" s="15">
        <f>IF(OR(A294="",Baux!$F$26="",Baux!$O$26=""),"",EDATE(Baux!$F$26,12*Baux!$O$26*C294))</f>
        <v/>
      </c>
      <c r="E294" s="17">
        <f>IF(AD294=0,"",Baux!$M$26)</f>
        <v/>
      </c>
      <c r="F294" s="17">
        <f>IF(AD294=0,"",IFERROR(TEXT(VALUE(LEFT(Baux!$N$26,4))+C294*Baux!$O$26,"0")&amp;RIGHT(Baux!$N$26,3),""))</f>
        <v/>
      </c>
      <c r="G294" s="25">
        <f>IF(AD294=0,"",IF(F294="","",IF(SUMIFS(Indices_long!$C:$C,Indices_long!$A:$A,E294,Indices_long!$B:$B,F294)=0,"",SUMIFS(Indices_long!$C:$C,Indices_long!$A:$A,E294,Indices_long!$B:$B,F294))))</f>
        <v/>
      </c>
      <c r="H294" s="17">
        <f>IF(AD294=0,"",IF(Baux!$P$26="Base fixe",Baux!$N$26,IF(K293="Geler – rattrapage possible",H293,F293)))</f>
        <v/>
      </c>
      <c r="I294" s="25">
        <f>IF(AD294=0,"",IF(H294="","",IF(SUMIFS(Indices_long!$C:$C,Indices_long!$A:$A,E294,Indices_long!$B:$B,H294)=0,"",SUMIFS(Indices_long!$C:$C,Indices_long!$A:$A,E294,Indices_long!$B:$B,H294))))</f>
        <v/>
      </c>
      <c r="J294" s="26">
        <f>IF(OR(G294="",I294=""),"",G294/I294)</f>
        <v/>
      </c>
      <c r="K294" s="13" t="n"/>
      <c r="L294" s="27">
        <f>IF(AD294=0,"",IF(Baux!$P$26="Base fixe",Baux!$I$26,N293))</f>
        <v/>
      </c>
      <c r="M294" s="27">
        <f>IF(OR(J294="",L294=""),"",ROUND(L294*J294,2))</f>
        <v/>
      </c>
      <c r="N294" s="27">
        <f>IF(AD294=0,"",IF(LEFT(K294,5)="Geler",O294,IF(M294="","",IF(Baux!$Q$26="",M294,MIN(M294,ROUND(L294*(1+Baux!$Q$26/100)^IF(Baux!$P$26="Base fixe",C294*Baux!$O$26,VALUE(LEFT(F294,4))-VALUE(LEFT(H294,4))),2))))))</f>
        <v/>
      </c>
      <c r="O294" s="27">
        <f>IF(AD294=0,"",N293)</f>
        <v/>
      </c>
      <c r="P294" s="28">
        <f>IF(OR(N294="",O294=""),"",N294/O294-1)</f>
        <v/>
      </c>
      <c r="Q294" s="27">
        <f>IF(N294="","",N294/12)</f>
        <v/>
      </c>
      <c r="R294" s="27">
        <f>IF(N294="","",N294/IF(Baux!$L$26="Mensuelle",12,IF(Baux!$L$26="Trimestrielle",4,IF(Baux!$L$26="Semestrielle",2,1))))</f>
        <v/>
      </c>
      <c r="S294" s="27">
        <f>IF(AD294=0,"",IF(Baux!$J$26="",0,Baux!$J$26)/IF(Baux!$L$26="Mensuelle",12,IF(Baux!$L$26="Trimestrielle",4,IF(Baux!$L$26="Semestrielle",2,1))))</f>
        <v/>
      </c>
      <c r="T294" s="27">
        <f>IF(R294="","",(R294+S294)*Baux!$K$26/100)</f>
        <v/>
      </c>
      <c r="U294" s="27">
        <f>IF(R294="","",R294+S294+T294)</f>
        <v/>
      </c>
      <c r="V294" s="17">
        <f>IF(AD294=0,"",IF(LEFT(K294,5)="Geler","❄ Gelée",IF(G294="",IF(D294&lt;=TODAY(),"⚠ Indice attendu","À venir"),IF(D294&lt;=TODAY(),"✔ Calculable","Indice connu – à venir"))))</f>
        <v/>
      </c>
      <c r="W294" s="29" t="n"/>
      <c r="X294" s="13" t="n"/>
      <c r="Y294" s="14" t="n"/>
      <c r="Z294" s="14" t="n"/>
      <c r="AA294" s="13" t="n"/>
      <c r="AB294" s="17">
        <f>IF(A294="","",A294&amp;"#"&amp;C294)</f>
        <v/>
      </c>
      <c r="AC294" s="17">
        <f>IF(AND(AD294=1,D294&lt;=TODAY(),N294&lt;&gt;""),1,0)</f>
        <v/>
      </c>
      <c r="AD294" s="17">
        <f>IF(OR(A294="",D294=""),0,IF(AND(ISNUMBER(Baux!$H$26),D294&gt;Baux!$H$26),0,1))</f>
        <v/>
      </c>
    </row>
    <row r="295">
      <c r="A295" s="17">
        <f>IF(Baux!$A$26="","",Baux!$A$26)</f>
        <v/>
      </c>
      <c r="B295" s="17">
        <f>IF(A295="","",Baux!$B$26)</f>
        <v/>
      </c>
      <c r="C295" s="17" t="n">
        <v>6</v>
      </c>
      <c r="D295" s="15">
        <f>IF(OR(A295="",Baux!$F$26="",Baux!$O$26=""),"",EDATE(Baux!$F$26,12*Baux!$O$26*C295))</f>
        <v/>
      </c>
      <c r="E295" s="17">
        <f>IF(AD295=0,"",Baux!$M$26)</f>
        <v/>
      </c>
      <c r="F295" s="17">
        <f>IF(AD295=0,"",IFERROR(TEXT(VALUE(LEFT(Baux!$N$26,4))+C295*Baux!$O$26,"0")&amp;RIGHT(Baux!$N$26,3),""))</f>
        <v/>
      </c>
      <c r="G295" s="25">
        <f>IF(AD295=0,"",IF(F295="","",IF(SUMIFS(Indices_long!$C:$C,Indices_long!$A:$A,E295,Indices_long!$B:$B,F295)=0,"",SUMIFS(Indices_long!$C:$C,Indices_long!$A:$A,E295,Indices_long!$B:$B,F295))))</f>
        <v/>
      </c>
      <c r="H295" s="17">
        <f>IF(AD295=0,"",IF(Baux!$P$26="Base fixe",Baux!$N$26,IF(K294="Geler – rattrapage possible",H294,F294)))</f>
        <v/>
      </c>
      <c r="I295" s="25">
        <f>IF(AD295=0,"",IF(H295="","",IF(SUMIFS(Indices_long!$C:$C,Indices_long!$A:$A,E295,Indices_long!$B:$B,H295)=0,"",SUMIFS(Indices_long!$C:$C,Indices_long!$A:$A,E295,Indices_long!$B:$B,H295))))</f>
        <v/>
      </c>
      <c r="J295" s="26">
        <f>IF(OR(G295="",I295=""),"",G295/I295)</f>
        <v/>
      </c>
      <c r="K295" s="13" t="n"/>
      <c r="L295" s="27">
        <f>IF(AD295=0,"",IF(Baux!$P$26="Base fixe",Baux!$I$26,N294))</f>
        <v/>
      </c>
      <c r="M295" s="27">
        <f>IF(OR(J295="",L295=""),"",ROUND(L295*J295,2))</f>
        <v/>
      </c>
      <c r="N295" s="27">
        <f>IF(AD295=0,"",IF(LEFT(K295,5)="Geler",O295,IF(M295="","",IF(Baux!$Q$26="",M295,MIN(M295,ROUND(L295*(1+Baux!$Q$26/100)^IF(Baux!$P$26="Base fixe",C295*Baux!$O$26,VALUE(LEFT(F295,4))-VALUE(LEFT(H295,4))),2))))))</f>
        <v/>
      </c>
      <c r="O295" s="27">
        <f>IF(AD295=0,"",N294)</f>
        <v/>
      </c>
      <c r="P295" s="28">
        <f>IF(OR(N295="",O295=""),"",N295/O295-1)</f>
        <v/>
      </c>
      <c r="Q295" s="27">
        <f>IF(N295="","",N295/12)</f>
        <v/>
      </c>
      <c r="R295" s="27">
        <f>IF(N295="","",N295/IF(Baux!$L$26="Mensuelle",12,IF(Baux!$L$26="Trimestrielle",4,IF(Baux!$L$26="Semestrielle",2,1))))</f>
        <v/>
      </c>
      <c r="S295" s="27">
        <f>IF(AD295=0,"",IF(Baux!$J$26="",0,Baux!$J$26)/IF(Baux!$L$26="Mensuelle",12,IF(Baux!$L$26="Trimestrielle",4,IF(Baux!$L$26="Semestrielle",2,1))))</f>
        <v/>
      </c>
      <c r="T295" s="27">
        <f>IF(R295="","",(R295+S295)*Baux!$K$26/100)</f>
        <v/>
      </c>
      <c r="U295" s="27">
        <f>IF(R295="","",R295+S295+T295)</f>
        <v/>
      </c>
      <c r="V295" s="17">
        <f>IF(AD295=0,"",IF(LEFT(K295,5)="Geler","❄ Gelée",IF(G295="",IF(D295&lt;=TODAY(),"⚠ Indice attendu","À venir"),IF(D295&lt;=TODAY(),"✔ Calculable","Indice connu – à venir"))))</f>
        <v/>
      </c>
      <c r="W295" s="29" t="n"/>
      <c r="X295" s="13" t="n"/>
      <c r="Y295" s="14" t="n"/>
      <c r="Z295" s="14" t="n"/>
      <c r="AA295" s="13" t="n"/>
      <c r="AB295" s="17">
        <f>IF(A295="","",A295&amp;"#"&amp;C295)</f>
        <v/>
      </c>
      <c r="AC295" s="17">
        <f>IF(AND(AD295=1,D295&lt;=TODAY(),N295&lt;&gt;""),1,0)</f>
        <v/>
      </c>
      <c r="AD295" s="17">
        <f>IF(OR(A295="",D295=""),0,IF(AND(ISNUMBER(Baux!$H$26),D295&gt;Baux!$H$26),0,1))</f>
        <v/>
      </c>
    </row>
    <row r="296">
      <c r="A296" s="17">
        <f>IF(Baux!$A$26="","",Baux!$A$26)</f>
        <v/>
      </c>
      <c r="B296" s="17">
        <f>IF(A296="","",Baux!$B$26)</f>
        <v/>
      </c>
      <c r="C296" s="17" t="n">
        <v>7</v>
      </c>
      <c r="D296" s="15">
        <f>IF(OR(A296="",Baux!$F$26="",Baux!$O$26=""),"",EDATE(Baux!$F$26,12*Baux!$O$26*C296))</f>
        <v/>
      </c>
      <c r="E296" s="17">
        <f>IF(AD296=0,"",Baux!$M$26)</f>
        <v/>
      </c>
      <c r="F296" s="17">
        <f>IF(AD296=0,"",IFERROR(TEXT(VALUE(LEFT(Baux!$N$26,4))+C296*Baux!$O$26,"0")&amp;RIGHT(Baux!$N$26,3),""))</f>
        <v/>
      </c>
      <c r="G296" s="25">
        <f>IF(AD296=0,"",IF(F296="","",IF(SUMIFS(Indices_long!$C:$C,Indices_long!$A:$A,E296,Indices_long!$B:$B,F296)=0,"",SUMIFS(Indices_long!$C:$C,Indices_long!$A:$A,E296,Indices_long!$B:$B,F296))))</f>
        <v/>
      </c>
      <c r="H296" s="17">
        <f>IF(AD296=0,"",IF(Baux!$P$26="Base fixe",Baux!$N$26,IF(K295="Geler – rattrapage possible",H295,F295)))</f>
        <v/>
      </c>
      <c r="I296" s="25">
        <f>IF(AD296=0,"",IF(H296="","",IF(SUMIFS(Indices_long!$C:$C,Indices_long!$A:$A,E296,Indices_long!$B:$B,H296)=0,"",SUMIFS(Indices_long!$C:$C,Indices_long!$A:$A,E296,Indices_long!$B:$B,H296))))</f>
        <v/>
      </c>
      <c r="J296" s="26">
        <f>IF(OR(G296="",I296=""),"",G296/I296)</f>
        <v/>
      </c>
      <c r="K296" s="13" t="n"/>
      <c r="L296" s="27">
        <f>IF(AD296=0,"",IF(Baux!$P$26="Base fixe",Baux!$I$26,N295))</f>
        <v/>
      </c>
      <c r="M296" s="27">
        <f>IF(OR(J296="",L296=""),"",ROUND(L296*J296,2))</f>
        <v/>
      </c>
      <c r="N296" s="27">
        <f>IF(AD296=0,"",IF(LEFT(K296,5)="Geler",O296,IF(M296="","",IF(Baux!$Q$26="",M296,MIN(M296,ROUND(L296*(1+Baux!$Q$26/100)^IF(Baux!$P$26="Base fixe",C296*Baux!$O$26,VALUE(LEFT(F296,4))-VALUE(LEFT(H296,4))),2))))))</f>
        <v/>
      </c>
      <c r="O296" s="27">
        <f>IF(AD296=0,"",N295)</f>
        <v/>
      </c>
      <c r="P296" s="28">
        <f>IF(OR(N296="",O296=""),"",N296/O296-1)</f>
        <v/>
      </c>
      <c r="Q296" s="27">
        <f>IF(N296="","",N296/12)</f>
        <v/>
      </c>
      <c r="R296" s="27">
        <f>IF(N296="","",N296/IF(Baux!$L$26="Mensuelle",12,IF(Baux!$L$26="Trimestrielle",4,IF(Baux!$L$26="Semestrielle",2,1))))</f>
        <v/>
      </c>
      <c r="S296" s="27">
        <f>IF(AD296=0,"",IF(Baux!$J$26="",0,Baux!$J$26)/IF(Baux!$L$26="Mensuelle",12,IF(Baux!$L$26="Trimestrielle",4,IF(Baux!$L$26="Semestrielle",2,1))))</f>
        <v/>
      </c>
      <c r="T296" s="27">
        <f>IF(R296="","",(R296+S296)*Baux!$K$26/100)</f>
        <v/>
      </c>
      <c r="U296" s="27">
        <f>IF(R296="","",R296+S296+T296)</f>
        <v/>
      </c>
      <c r="V296" s="17">
        <f>IF(AD296=0,"",IF(LEFT(K296,5)="Geler","❄ Gelée",IF(G296="",IF(D296&lt;=TODAY(),"⚠ Indice attendu","À venir"),IF(D296&lt;=TODAY(),"✔ Calculable","Indice connu – à venir"))))</f>
        <v/>
      </c>
      <c r="W296" s="29" t="n"/>
      <c r="X296" s="13" t="n"/>
      <c r="Y296" s="14" t="n"/>
      <c r="Z296" s="14" t="n"/>
      <c r="AA296" s="13" t="n"/>
      <c r="AB296" s="17">
        <f>IF(A296="","",A296&amp;"#"&amp;C296)</f>
        <v/>
      </c>
      <c r="AC296" s="17">
        <f>IF(AND(AD296=1,D296&lt;=TODAY(),N296&lt;&gt;""),1,0)</f>
        <v/>
      </c>
      <c r="AD296" s="17">
        <f>IF(OR(A296="",D296=""),0,IF(AND(ISNUMBER(Baux!$H$26),D296&gt;Baux!$H$26),0,1))</f>
        <v/>
      </c>
    </row>
    <row r="297">
      <c r="A297" s="17">
        <f>IF(Baux!$A$26="","",Baux!$A$26)</f>
        <v/>
      </c>
      <c r="B297" s="17">
        <f>IF(A297="","",Baux!$B$26)</f>
        <v/>
      </c>
      <c r="C297" s="17" t="n">
        <v>8</v>
      </c>
      <c r="D297" s="15">
        <f>IF(OR(A297="",Baux!$F$26="",Baux!$O$26=""),"",EDATE(Baux!$F$26,12*Baux!$O$26*C297))</f>
        <v/>
      </c>
      <c r="E297" s="17">
        <f>IF(AD297=0,"",Baux!$M$26)</f>
        <v/>
      </c>
      <c r="F297" s="17">
        <f>IF(AD297=0,"",IFERROR(TEXT(VALUE(LEFT(Baux!$N$26,4))+C297*Baux!$O$26,"0")&amp;RIGHT(Baux!$N$26,3),""))</f>
        <v/>
      </c>
      <c r="G297" s="25">
        <f>IF(AD297=0,"",IF(F297="","",IF(SUMIFS(Indices_long!$C:$C,Indices_long!$A:$A,E297,Indices_long!$B:$B,F297)=0,"",SUMIFS(Indices_long!$C:$C,Indices_long!$A:$A,E297,Indices_long!$B:$B,F297))))</f>
        <v/>
      </c>
      <c r="H297" s="17">
        <f>IF(AD297=0,"",IF(Baux!$P$26="Base fixe",Baux!$N$26,IF(K296="Geler – rattrapage possible",H296,F296)))</f>
        <v/>
      </c>
      <c r="I297" s="25">
        <f>IF(AD297=0,"",IF(H297="","",IF(SUMIFS(Indices_long!$C:$C,Indices_long!$A:$A,E297,Indices_long!$B:$B,H297)=0,"",SUMIFS(Indices_long!$C:$C,Indices_long!$A:$A,E297,Indices_long!$B:$B,H297))))</f>
        <v/>
      </c>
      <c r="J297" s="26">
        <f>IF(OR(G297="",I297=""),"",G297/I297)</f>
        <v/>
      </c>
      <c r="K297" s="13" t="n"/>
      <c r="L297" s="27">
        <f>IF(AD297=0,"",IF(Baux!$P$26="Base fixe",Baux!$I$26,N296))</f>
        <v/>
      </c>
      <c r="M297" s="27">
        <f>IF(OR(J297="",L297=""),"",ROUND(L297*J297,2))</f>
        <v/>
      </c>
      <c r="N297" s="27">
        <f>IF(AD297=0,"",IF(LEFT(K297,5)="Geler",O297,IF(M297="","",IF(Baux!$Q$26="",M297,MIN(M297,ROUND(L297*(1+Baux!$Q$26/100)^IF(Baux!$P$26="Base fixe",C297*Baux!$O$26,VALUE(LEFT(F297,4))-VALUE(LEFT(H297,4))),2))))))</f>
        <v/>
      </c>
      <c r="O297" s="27">
        <f>IF(AD297=0,"",N296)</f>
        <v/>
      </c>
      <c r="P297" s="28">
        <f>IF(OR(N297="",O297=""),"",N297/O297-1)</f>
        <v/>
      </c>
      <c r="Q297" s="27">
        <f>IF(N297="","",N297/12)</f>
        <v/>
      </c>
      <c r="R297" s="27">
        <f>IF(N297="","",N297/IF(Baux!$L$26="Mensuelle",12,IF(Baux!$L$26="Trimestrielle",4,IF(Baux!$L$26="Semestrielle",2,1))))</f>
        <v/>
      </c>
      <c r="S297" s="27">
        <f>IF(AD297=0,"",IF(Baux!$J$26="",0,Baux!$J$26)/IF(Baux!$L$26="Mensuelle",12,IF(Baux!$L$26="Trimestrielle",4,IF(Baux!$L$26="Semestrielle",2,1))))</f>
        <v/>
      </c>
      <c r="T297" s="27">
        <f>IF(R297="","",(R297+S297)*Baux!$K$26/100)</f>
        <v/>
      </c>
      <c r="U297" s="27">
        <f>IF(R297="","",R297+S297+T297)</f>
        <v/>
      </c>
      <c r="V297" s="17">
        <f>IF(AD297=0,"",IF(LEFT(K297,5)="Geler","❄ Gelée",IF(G297="",IF(D297&lt;=TODAY(),"⚠ Indice attendu","À venir"),IF(D297&lt;=TODAY(),"✔ Calculable","Indice connu – à venir"))))</f>
        <v/>
      </c>
      <c r="W297" s="29" t="n"/>
      <c r="X297" s="13" t="n"/>
      <c r="Y297" s="14" t="n"/>
      <c r="Z297" s="14" t="n"/>
      <c r="AA297" s="13" t="n"/>
      <c r="AB297" s="17">
        <f>IF(A297="","",A297&amp;"#"&amp;C297)</f>
        <v/>
      </c>
      <c r="AC297" s="17">
        <f>IF(AND(AD297=1,D297&lt;=TODAY(),N297&lt;&gt;""),1,0)</f>
        <v/>
      </c>
      <c r="AD297" s="17">
        <f>IF(OR(A297="",D297=""),0,IF(AND(ISNUMBER(Baux!$H$26),D297&gt;Baux!$H$26),0,1))</f>
        <v/>
      </c>
    </row>
    <row r="298">
      <c r="A298" s="17">
        <f>IF(Baux!$A$26="","",Baux!$A$26)</f>
        <v/>
      </c>
      <c r="B298" s="17">
        <f>IF(A298="","",Baux!$B$26)</f>
        <v/>
      </c>
      <c r="C298" s="17" t="n">
        <v>9</v>
      </c>
      <c r="D298" s="15">
        <f>IF(OR(A298="",Baux!$F$26="",Baux!$O$26=""),"",EDATE(Baux!$F$26,12*Baux!$O$26*C298))</f>
        <v/>
      </c>
      <c r="E298" s="17">
        <f>IF(AD298=0,"",Baux!$M$26)</f>
        <v/>
      </c>
      <c r="F298" s="17">
        <f>IF(AD298=0,"",IFERROR(TEXT(VALUE(LEFT(Baux!$N$26,4))+C298*Baux!$O$26,"0")&amp;RIGHT(Baux!$N$26,3),""))</f>
        <v/>
      </c>
      <c r="G298" s="25">
        <f>IF(AD298=0,"",IF(F298="","",IF(SUMIFS(Indices_long!$C:$C,Indices_long!$A:$A,E298,Indices_long!$B:$B,F298)=0,"",SUMIFS(Indices_long!$C:$C,Indices_long!$A:$A,E298,Indices_long!$B:$B,F298))))</f>
        <v/>
      </c>
      <c r="H298" s="17">
        <f>IF(AD298=0,"",IF(Baux!$P$26="Base fixe",Baux!$N$26,IF(K297="Geler – rattrapage possible",H297,F297)))</f>
        <v/>
      </c>
      <c r="I298" s="25">
        <f>IF(AD298=0,"",IF(H298="","",IF(SUMIFS(Indices_long!$C:$C,Indices_long!$A:$A,E298,Indices_long!$B:$B,H298)=0,"",SUMIFS(Indices_long!$C:$C,Indices_long!$A:$A,E298,Indices_long!$B:$B,H298))))</f>
        <v/>
      </c>
      <c r="J298" s="26">
        <f>IF(OR(G298="",I298=""),"",G298/I298)</f>
        <v/>
      </c>
      <c r="K298" s="13" t="n"/>
      <c r="L298" s="27">
        <f>IF(AD298=0,"",IF(Baux!$P$26="Base fixe",Baux!$I$26,N297))</f>
        <v/>
      </c>
      <c r="M298" s="27">
        <f>IF(OR(J298="",L298=""),"",ROUND(L298*J298,2))</f>
        <v/>
      </c>
      <c r="N298" s="27">
        <f>IF(AD298=0,"",IF(LEFT(K298,5)="Geler",O298,IF(M298="","",IF(Baux!$Q$26="",M298,MIN(M298,ROUND(L298*(1+Baux!$Q$26/100)^IF(Baux!$P$26="Base fixe",C298*Baux!$O$26,VALUE(LEFT(F298,4))-VALUE(LEFT(H298,4))),2))))))</f>
        <v/>
      </c>
      <c r="O298" s="27">
        <f>IF(AD298=0,"",N297)</f>
        <v/>
      </c>
      <c r="P298" s="28">
        <f>IF(OR(N298="",O298=""),"",N298/O298-1)</f>
        <v/>
      </c>
      <c r="Q298" s="27">
        <f>IF(N298="","",N298/12)</f>
        <v/>
      </c>
      <c r="R298" s="27">
        <f>IF(N298="","",N298/IF(Baux!$L$26="Mensuelle",12,IF(Baux!$L$26="Trimestrielle",4,IF(Baux!$L$26="Semestrielle",2,1))))</f>
        <v/>
      </c>
      <c r="S298" s="27">
        <f>IF(AD298=0,"",IF(Baux!$J$26="",0,Baux!$J$26)/IF(Baux!$L$26="Mensuelle",12,IF(Baux!$L$26="Trimestrielle",4,IF(Baux!$L$26="Semestrielle",2,1))))</f>
        <v/>
      </c>
      <c r="T298" s="27">
        <f>IF(R298="","",(R298+S298)*Baux!$K$26/100)</f>
        <v/>
      </c>
      <c r="U298" s="27">
        <f>IF(R298="","",R298+S298+T298)</f>
        <v/>
      </c>
      <c r="V298" s="17">
        <f>IF(AD298=0,"",IF(LEFT(K298,5)="Geler","❄ Gelée",IF(G298="",IF(D298&lt;=TODAY(),"⚠ Indice attendu","À venir"),IF(D298&lt;=TODAY(),"✔ Calculable","Indice connu – à venir"))))</f>
        <v/>
      </c>
      <c r="W298" s="29" t="n"/>
      <c r="X298" s="13" t="n"/>
      <c r="Y298" s="14" t="n"/>
      <c r="Z298" s="14" t="n"/>
      <c r="AA298" s="13" t="n"/>
      <c r="AB298" s="17">
        <f>IF(A298="","",A298&amp;"#"&amp;C298)</f>
        <v/>
      </c>
      <c r="AC298" s="17">
        <f>IF(AND(AD298=1,D298&lt;=TODAY(),N298&lt;&gt;""),1,0)</f>
        <v/>
      </c>
      <c r="AD298" s="17">
        <f>IF(OR(A298="",D298=""),0,IF(AND(ISNUMBER(Baux!$H$26),D298&gt;Baux!$H$26),0,1))</f>
        <v/>
      </c>
    </row>
    <row r="299">
      <c r="A299" s="17">
        <f>IF(Baux!$A$26="","",Baux!$A$26)</f>
        <v/>
      </c>
      <c r="B299" s="17">
        <f>IF(A299="","",Baux!$B$26)</f>
        <v/>
      </c>
      <c r="C299" s="17" t="n">
        <v>10</v>
      </c>
      <c r="D299" s="15">
        <f>IF(OR(A299="",Baux!$F$26="",Baux!$O$26=""),"",EDATE(Baux!$F$26,12*Baux!$O$26*C299))</f>
        <v/>
      </c>
      <c r="E299" s="17">
        <f>IF(AD299=0,"",Baux!$M$26)</f>
        <v/>
      </c>
      <c r="F299" s="17">
        <f>IF(AD299=0,"",IFERROR(TEXT(VALUE(LEFT(Baux!$N$26,4))+C299*Baux!$O$26,"0")&amp;RIGHT(Baux!$N$26,3),""))</f>
        <v/>
      </c>
      <c r="G299" s="25">
        <f>IF(AD299=0,"",IF(F299="","",IF(SUMIFS(Indices_long!$C:$C,Indices_long!$A:$A,E299,Indices_long!$B:$B,F299)=0,"",SUMIFS(Indices_long!$C:$C,Indices_long!$A:$A,E299,Indices_long!$B:$B,F299))))</f>
        <v/>
      </c>
      <c r="H299" s="17">
        <f>IF(AD299=0,"",IF(Baux!$P$26="Base fixe",Baux!$N$26,IF(K298="Geler – rattrapage possible",H298,F298)))</f>
        <v/>
      </c>
      <c r="I299" s="25">
        <f>IF(AD299=0,"",IF(H299="","",IF(SUMIFS(Indices_long!$C:$C,Indices_long!$A:$A,E299,Indices_long!$B:$B,H299)=0,"",SUMIFS(Indices_long!$C:$C,Indices_long!$A:$A,E299,Indices_long!$B:$B,H299))))</f>
        <v/>
      </c>
      <c r="J299" s="26">
        <f>IF(OR(G299="",I299=""),"",G299/I299)</f>
        <v/>
      </c>
      <c r="K299" s="13" t="n"/>
      <c r="L299" s="27">
        <f>IF(AD299=0,"",IF(Baux!$P$26="Base fixe",Baux!$I$26,N298))</f>
        <v/>
      </c>
      <c r="M299" s="27">
        <f>IF(OR(J299="",L299=""),"",ROUND(L299*J299,2))</f>
        <v/>
      </c>
      <c r="N299" s="27">
        <f>IF(AD299=0,"",IF(LEFT(K299,5)="Geler",O299,IF(M299="","",IF(Baux!$Q$26="",M299,MIN(M299,ROUND(L299*(1+Baux!$Q$26/100)^IF(Baux!$P$26="Base fixe",C299*Baux!$O$26,VALUE(LEFT(F299,4))-VALUE(LEFT(H299,4))),2))))))</f>
        <v/>
      </c>
      <c r="O299" s="27">
        <f>IF(AD299=0,"",N298)</f>
        <v/>
      </c>
      <c r="P299" s="28">
        <f>IF(OR(N299="",O299=""),"",N299/O299-1)</f>
        <v/>
      </c>
      <c r="Q299" s="27">
        <f>IF(N299="","",N299/12)</f>
        <v/>
      </c>
      <c r="R299" s="27">
        <f>IF(N299="","",N299/IF(Baux!$L$26="Mensuelle",12,IF(Baux!$L$26="Trimestrielle",4,IF(Baux!$L$26="Semestrielle",2,1))))</f>
        <v/>
      </c>
      <c r="S299" s="27">
        <f>IF(AD299=0,"",IF(Baux!$J$26="",0,Baux!$J$26)/IF(Baux!$L$26="Mensuelle",12,IF(Baux!$L$26="Trimestrielle",4,IF(Baux!$L$26="Semestrielle",2,1))))</f>
        <v/>
      </c>
      <c r="T299" s="27">
        <f>IF(R299="","",(R299+S299)*Baux!$K$26/100)</f>
        <v/>
      </c>
      <c r="U299" s="27">
        <f>IF(R299="","",R299+S299+T299)</f>
        <v/>
      </c>
      <c r="V299" s="17">
        <f>IF(AD299=0,"",IF(LEFT(K299,5)="Geler","❄ Gelée",IF(G299="",IF(D299&lt;=TODAY(),"⚠ Indice attendu","À venir"),IF(D299&lt;=TODAY(),"✔ Calculable","Indice connu – à venir"))))</f>
        <v/>
      </c>
      <c r="W299" s="29" t="n"/>
      <c r="X299" s="13" t="n"/>
      <c r="Y299" s="14" t="n"/>
      <c r="Z299" s="14" t="n"/>
      <c r="AA299" s="13" t="n"/>
      <c r="AB299" s="17">
        <f>IF(A299="","",A299&amp;"#"&amp;C299)</f>
        <v/>
      </c>
      <c r="AC299" s="17">
        <f>IF(AND(AD299=1,D299&lt;=TODAY(),N299&lt;&gt;""),1,0)</f>
        <v/>
      </c>
      <c r="AD299" s="17">
        <f>IF(OR(A299="",D299=""),0,IF(AND(ISNUMBER(Baux!$H$26),D299&gt;Baux!$H$26),0,1))</f>
        <v/>
      </c>
    </row>
    <row r="300">
      <c r="A300" s="17">
        <f>IF(Baux!$A$26="","",Baux!$A$26)</f>
        <v/>
      </c>
      <c r="B300" s="17">
        <f>IF(A300="","",Baux!$B$26)</f>
        <v/>
      </c>
      <c r="C300" s="17" t="n">
        <v>11</v>
      </c>
      <c r="D300" s="15">
        <f>IF(OR(A300="",Baux!$F$26="",Baux!$O$26=""),"",EDATE(Baux!$F$26,12*Baux!$O$26*C300))</f>
        <v/>
      </c>
      <c r="E300" s="17">
        <f>IF(AD300=0,"",Baux!$M$26)</f>
        <v/>
      </c>
      <c r="F300" s="17">
        <f>IF(AD300=0,"",IFERROR(TEXT(VALUE(LEFT(Baux!$N$26,4))+C300*Baux!$O$26,"0")&amp;RIGHT(Baux!$N$26,3),""))</f>
        <v/>
      </c>
      <c r="G300" s="25">
        <f>IF(AD300=0,"",IF(F300="","",IF(SUMIFS(Indices_long!$C:$C,Indices_long!$A:$A,E300,Indices_long!$B:$B,F300)=0,"",SUMIFS(Indices_long!$C:$C,Indices_long!$A:$A,E300,Indices_long!$B:$B,F300))))</f>
        <v/>
      </c>
      <c r="H300" s="17">
        <f>IF(AD300=0,"",IF(Baux!$P$26="Base fixe",Baux!$N$26,IF(K299="Geler – rattrapage possible",H299,F299)))</f>
        <v/>
      </c>
      <c r="I300" s="25">
        <f>IF(AD300=0,"",IF(H300="","",IF(SUMIFS(Indices_long!$C:$C,Indices_long!$A:$A,E300,Indices_long!$B:$B,H300)=0,"",SUMIFS(Indices_long!$C:$C,Indices_long!$A:$A,E300,Indices_long!$B:$B,H300))))</f>
        <v/>
      </c>
      <c r="J300" s="26">
        <f>IF(OR(G300="",I300=""),"",G300/I300)</f>
        <v/>
      </c>
      <c r="K300" s="13" t="n"/>
      <c r="L300" s="27">
        <f>IF(AD300=0,"",IF(Baux!$P$26="Base fixe",Baux!$I$26,N299))</f>
        <v/>
      </c>
      <c r="M300" s="27">
        <f>IF(OR(J300="",L300=""),"",ROUND(L300*J300,2))</f>
        <v/>
      </c>
      <c r="N300" s="27">
        <f>IF(AD300=0,"",IF(LEFT(K300,5)="Geler",O300,IF(M300="","",IF(Baux!$Q$26="",M300,MIN(M300,ROUND(L300*(1+Baux!$Q$26/100)^IF(Baux!$P$26="Base fixe",C300*Baux!$O$26,VALUE(LEFT(F300,4))-VALUE(LEFT(H300,4))),2))))))</f>
        <v/>
      </c>
      <c r="O300" s="27">
        <f>IF(AD300=0,"",N299)</f>
        <v/>
      </c>
      <c r="P300" s="28">
        <f>IF(OR(N300="",O300=""),"",N300/O300-1)</f>
        <v/>
      </c>
      <c r="Q300" s="27">
        <f>IF(N300="","",N300/12)</f>
        <v/>
      </c>
      <c r="R300" s="27">
        <f>IF(N300="","",N300/IF(Baux!$L$26="Mensuelle",12,IF(Baux!$L$26="Trimestrielle",4,IF(Baux!$L$26="Semestrielle",2,1))))</f>
        <v/>
      </c>
      <c r="S300" s="27">
        <f>IF(AD300=0,"",IF(Baux!$J$26="",0,Baux!$J$26)/IF(Baux!$L$26="Mensuelle",12,IF(Baux!$L$26="Trimestrielle",4,IF(Baux!$L$26="Semestrielle",2,1))))</f>
        <v/>
      </c>
      <c r="T300" s="27">
        <f>IF(R300="","",(R300+S300)*Baux!$K$26/100)</f>
        <v/>
      </c>
      <c r="U300" s="27">
        <f>IF(R300="","",R300+S300+T300)</f>
        <v/>
      </c>
      <c r="V300" s="17">
        <f>IF(AD300=0,"",IF(LEFT(K300,5)="Geler","❄ Gelée",IF(G300="",IF(D300&lt;=TODAY(),"⚠ Indice attendu","À venir"),IF(D300&lt;=TODAY(),"✔ Calculable","Indice connu – à venir"))))</f>
        <v/>
      </c>
      <c r="W300" s="29" t="n"/>
      <c r="X300" s="13" t="n"/>
      <c r="Y300" s="14" t="n"/>
      <c r="Z300" s="14" t="n"/>
      <c r="AA300" s="13" t="n"/>
      <c r="AB300" s="17">
        <f>IF(A300="","",A300&amp;"#"&amp;C300)</f>
        <v/>
      </c>
      <c r="AC300" s="17">
        <f>IF(AND(AD300=1,D300&lt;=TODAY(),N300&lt;&gt;""),1,0)</f>
        <v/>
      </c>
      <c r="AD300" s="17">
        <f>IF(OR(A300="",D300=""),0,IF(AND(ISNUMBER(Baux!$H$26),D300&gt;Baux!$H$26),0,1))</f>
        <v/>
      </c>
    </row>
    <row r="301">
      <c r="A301" s="17">
        <f>IF(Baux!$A$26="","",Baux!$A$26)</f>
        <v/>
      </c>
      <c r="B301" s="17">
        <f>IF(A301="","",Baux!$B$26)</f>
        <v/>
      </c>
      <c r="C301" s="17" t="n">
        <v>12</v>
      </c>
      <c r="D301" s="15">
        <f>IF(OR(A301="",Baux!$F$26="",Baux!$O$26=""),"",EDATE(Baux!$F$26,12*Baux!$O$26*C301))</f>
        <v/>
      </c>
      <c r="E301" s="17">
        <f>IF(AD301=0,"",Baux!$M$26)</f>
        <v/>
      </c>
      <c r="F301" s="17">
        <f>IF(AD301=0,"",IFERROR(TEXT(VALUE(LEFT(Baux!$N$26,4))+C301*Baux!$O$26,"0")&amp;RIGHT(Baux!$N$26,3),""))</f>
        <v/>
      </c>
      <c r="G301" s="25">
        <f>IF(AD301=0,"",IF(F301="","",IF(SUMIFS(Indices_long!$C:$C,Indices_long!$A:$A,E301,Indices_long!$B:$B,F301)=0,"",SUMIFS(Indices_long!$C:$C,Indices_long!$A:$A,E301,Indices_long!$B:$B,F301))))</f>
        <v/>
      </c>
      <c r="H301" s="17">
        <f>IF(AD301=0,"",IF(Baux!$P$26="Base fixe",Baux!$N$26,IF(K300="Geler – rattrapage possible",H300,F300)))</f>
        <v/>
      </c>
      <c r="I301" s="25">
        <f>IF(AD301=0,"",IF(H301="","",IF(SUMIFS(Indices_long!$C:$C,Indices_long!$A:$A,E301,Indices_long!$B:$B,H301)=0,"",SUMIFS(Indices_long!$C:$C,Indices_long!$A:$A,E301,Indices_long!$B:$B,H301))))</f>
        <v/>
      </c>
      <c r="J301" s="26">
        <f>IF(OR(G301="",I301=""),"",G301/I301)</f>
        <v/>
      </c>
      <c r="K301" s="13" t="n"/>
      <c r="L301" s="27">
        <f>IF(AD301=0,"",IF(Baux!$P$26="Base fixe",Baux!$I$26,N300))</f>
        <v/>
      </c>
      <c r="M301" s="27">
        <f>IF(OR(J301="",L301=""),"",ROUND(L301*J301,2))</f>
        <v/>
      </c>
      <c r="N301" s="27">
        <f>IF(AD301=0,"",IF(LEFT(K301,5)="Geler",O301,IF(M301="","",IF(Baux!$Q$26="",M301,MIN(M301,ROUND(L301*(1+Baux!$Q$26/100)^IF(Baux!$P$26="Base fixe",C301*Baux!$O$26,VALUE(LEFT(F301,4))-VALUE(LEFT(H301,4))),2))))))</f>
        <v/>
      </c>
      <c r="O301" s="27">
        <f>IF(AD301=0,"",N300)</f>
        <v/>
      </c>
      <c r="P301" s="28">
        <f>IF(OR(N301="",O301=""),"",N301/O301-1)</f>
        <v/>
      </c>
      <c r="Q301" s="27">
        <f>IF(N301="","",N301/12)</f>
        <v/>
      </c>
      <c r="R301" s="27">
        <f>IF(N301="","",N301/IF(Baux!$L$26="Mensuelle",12,IF(Baux!$L$26="Trimestrielle",4,IF(Baux!$L$26="Semestrielle",2,1))))</f>
        <v/>
      </c>
      <c r="S301" s="27">
        <f>IF(AD301=0,"",IF(Baux!$J$26="",0,Baux!$J$26)/IF(Baux!$L$26="Mensuelle",12,IF(Baux!$L$26="Trimestrielle",4,IF(Baux!$L$26="Semestrielle",2,1))))</f>
        <v/>
      </c>
      <c r="T301" s="27">
        <f>IF(R301="","",(R301+S301)*Baux!$K$26/100)</f>
        <v/>
      </c>
      <c r="U301" s="27">
        <f>IF(R301="","",R301+S301+T301)</f>
        <v/>
      </c>
      <c r="V301" s="17">
        <f>IF(AD301=0,"",IF(LEFT(K301,5)="Geler","❄ Gelée",IF(G301="",IF(D301&lt;=TODAY(),"⚠ Indice attendu","À venir"),IF(D301&lt;=TODAY(),"✔ Calculable","Indice connu – à venir"))))</f>
        <v/>
      </c>
      <c r="W301" s="29" t="n"/>
      <c r="X301" s="13" t="n"/>
      <c r="Y301" s="14" t="n"/>
      <c r="Z301" s="14" t="n"/>
      <c r="AA301" s="13" t="n"/>
      <c r="AB301" s="17">
        <f>IF(A301="","",A301&amp;"#"&amp;C301)</f>
        <v/>
      </c>
      <c r="AC301" s="17">
        <f>IF(AND(AD301=1,D301&lt;=TODAY(),N301&lt;&gt;""),1,0)</f>
        <v/>
      </c>
      <c r="AD301" s="17">
        <f>IF(OR(A301="",D301=""),0,IF(AND(ISNUMBER(Baux!$H$26),D301&gt;Baux!$H$26),0,1))</f>
        <v/>
      </c>
    </row>
    <row r="302">
      <c r="A302" s="17">
        <f>IF(Baux!$A$27="","",Baux!$A$27)</f>
        <v/>
      </c>
      <c r="B302" s="17">
        <f>IF(A302="","",Baux!$B$27)</f>
        <v/>
      </c>
      <c r="C302" s="17" t="n">
        <v>1</v>
      </c>
      <c r="D302" s="15">
        <f>IF(OR(A302="",Baux!$F$27="",Baux!$O$27=""),"",EDATE(Baux!$F$27,12*Baux!$O$27*C302))</f>
        <v/>
      </c>
      <c r="E302" s="17">
        <f>IF(AD302=0,"",Baux!$M$27)</f>
        <v/>
      </c>
      <c r="F302" s="17">
        <f>IF(AD302=0,"",IFERROR(TEXT(VALUE(LEFT(Baux!$N$27,4))+C302*Baux!$O$27,"0")&amp;RIGHT(Baux!$N$27,3),""))</f>
        <v/>
      </c>
      <c r="G302" s="25">
        <f>IF(AD302=0,"",IF(F302="","",IF(SUMIFS(Indices_long!$C:$C,Indices_long!$A:$A,E302,Indices_long!$B:$B,F302)=0,"",SUMIFS(Indices_long!$C:$C,Indices_long!$A:$A,E302,Indices_long!$B:$B,F302))))</f>
        <v/>
      </c>
      <c r="H302" s="17">
        <f>IF(AD302=0,"",Baux!$N$27)</f>
        <v/>
      </c>
      <c r="I302" s="25">
        <f>IF(AD302=0,"",IF(H302="","",IF(SUMIFS(Indices_long!$C:$C,Indices_long!$A:$A,E302,Indices_long!$B:$B,H302)=0,"",SUMIFS(Indices_long!$C:$C,Indices_long!$A:$A,E302,Indices_long!$B:$B,H302))))</f>
        <v/>
      </c>
      <c r="J302" s="26">
        <f>IF(OR(G302="",I302=""),"",G302/I302)</f>
        <v/>
      </c>
      <c r="K302" s="13" t="n"/>
      <c r="L302" s="27">
        <f>IF(AD302=0,"",Baux!$I$27)</f>
        <v/>
      </c>
      <c r="M302" s="27">
        <f>IF(OR(J302="",L302=""),"",ROUND(L302*J302,2))</f>
        <v/>
      </c>
      <c r="N302" s="27">
        <f>IF(AD302=0,"",IF(LEFT(K302,5)="Geler",O302,IF(M302="","",IF(Baux!$Q$27="",M302,MIN(M302,ROUND(L302*(1+Baux!$Q$27/100)^IF(Baux!$P$27="Base fixe",C302*Baux!$O$27,VALUE(LEFT(F302,4))-VALUE(LEFT(H302,4))),2))))))</f>
        <v/>
      </c>
      <c r="O302" s="27">
        <f>IF(AD302=0,"",Baux!$I$27)</f>
        <v/>
      </c>
      <c r="P302" s="28">
        <f>IF(OR(N302="",O302=""),"",N302/O302-1)</f>
        <v/>
      </c>
      <c r="Q302" s="27">
        <f>IF(N302="","",N302/12)</f>
        <v/>
      </c>
      <c r="R302" s="27">
        <f>IF(N302="","",N302/IF(Baux!$L$27="Mensuelle",12,IF(Baux!$L$27="Trimestrielle",4,IF(Baux!$L$27="Semestrielle",2,1))))</f>
        <v/>
      </c>
      <c r="S302" s="27">
        <f>IF(AD302=0,"",IF(Baux!$J$27="",0,Baux!$J$27)/IF(Baux!$L$27="Mensuelle",12,IF(Baux!$L$27="Trimestrielle",4,IF(Baux!$L$27="Semestrielle",2,1))))</f>
        <v/>
      </c>
      <c r="T302" s="27">
        <f>IF(R302="","",(R302+S302)*Baux!$K$27/100)</f>
        <v/>
      </c>
      <c r="U302" s="27">
        <f>IF(R302="","",R302+S302+T302)</f>
        <v/>
      </c>
      <c r="V302" s="17">
        <f>IF(AD302=0,"",IF(LEFT(K302,5)="Geler","❄ Gelée",IF(G302="",IF(D302&lt;=TODAY(),"⚠ Indice attendu","À venir"),IF(D302&lt;=TODAY(),"✔ Calculable","Indice connu – à venir"))))</f>
        <v/>
      </c>
      <c r="W302" s="29" t="n"/>
      <c r="X302" s="13" t="n"/>
      <c r="Y302" s="14" t="n"/>
      <c r="Z302" s="14" t="n"/>
      <c r="AA302" s="13" t="n"/>
      <c r="AB302" s="17">
        <f>IF(A302="","",A302&amp;"#"&amp;C302)</f>
        <v/>
      </c>
      <c r="AC302" s="17">
        <f>IF(AND(AD302=1,D302&lt;=TODAY(),N302&lt;&gt;""),1,0)</f>
        <v/>
      </c>
      <c r="AD302" s="17">
        <f>IF(OR(A302="",D302=""),0,IF(AND(ISNUMBER(Baux!$H$27),D302&gt;Baux!$H$27),0,1))</f>
        <v/>
      </c>
    </row>
    <row r="303">
      <c r="A303" s="17">
        <f>IF(Baux!$A$27="","",Baux!$A$27)</f>
        <v/>
      </c>
      <c r="B303" s="17">
        <f>IF(A303="","",Baux!$B$27)</f>
        <v/>
      </c>
      <c r="C303" s="17" t="n">
        <v>2</v>
      </c>
      <c r="D303" s="15">
        <f>IF(OR(A303="",Baux!$F$27="",Baux!$O$27=""),"",EDATE(Baux!$F$27,12*Baux!$O$27*C303))</f>
        <v/>
      </c>
      <c r="E303" s="17">
        <f>IF(AD303=0,"",Baux!$M$27)</f>
        <v/>
      </c>
      <c r="F303" s="17">
        <f>IF(AD303=0,"",IFERROR(TEXT(VALUE(LEFT(Baux!$N$27,4))+C303*Baux!$O$27,"0")&amp;RIGHT(Baux!$N$27,3),""))</f>
        <v/>
      </c>
      <c r="G303" s="25">
        <f>IF(AD303=0,"",IF(F303="","",IF(SUMIFS(Indices_long!$C:$C,Indices_long!$A:$A,E303,Indices_long!$B:$B,F303)=0,"",SUMIFS(Indices_long!$C:$C,Indices_long!$A:$A,E303,Indices_long!$B:$B,F303))))</f>
        <v/>
      </c>
      <c r="H303" s="17">
        <f>IF(AD303=0,"",IF(Baux!$P$27="Base fixe",Baux!$N$27,IF(K302="Geler – rattrapage possible",H302,F302)))</f>
        <v/>
      </c>
      <c r="I303" s="25">
        <f>IF(AD303=0,"",IF(H303="","",IF(SUMIFS(Indices_long!$C:$C,Indices_long!$A:$A,E303,Indices_long!$B:$B,H303)=0,"",SUMIFS(Indices_long!$C:$C,Indices_long!$A:$A,E303,Indices_long!$B:$B,H303))))</f>
        <v/>
      </c>
      <c r="J303" s="26">
        <f>IF(OR(G303="",I303=""),"",G303/I303)</f>
        <v/>
      </c>
      <c r="K303" s="13" t="n"/>
      <c r="L303" s="27">
        <f>IF(AD303=0,"",IF(Baux!$P$27="Base fixe",Baux!$I$27,N302))</f>
        <v/>
      </c>
      <c r="M303" s="27">
        <f>IF(OR(J303="",L303=""),"",ROUND(L303*J303,2))</f>
        <v/>
      </c>
      <c r="N303" s="27">
        <f>IF(AD303=0,"",IF(LEFT(K303,5)="Geler",O303,IF(M303="","",IF(Baux!$Q$27="",M303,MIN(M303,ROUND(L303*(1+Baux!$Q$27/100)^IF(Baux!$P$27="Base fixe",C303*Baux!$O$27,VALUE(LEFT(F303,4))-VALUE(LEFT(H303,4))),2))))))</f>
        <v/>
      </c>
      <c r="O303" s="27">
        <f>IF(AD303=0,"",N302)</f>
        <v/>
      </c>
      <c r="P303" s="28">
        <f>IF(OR(N303="",O303=""),"",N303/O303-1)</f>
        <v/>
      </c>
      <c r="Q303" s="27">
        <f>IF(N303="","",N303/12)</f>
        <v/>
      </c>
      <c r="R303" s="27">
        <f>IF(N303="","",N303/IF(Baux!$L$27="Mensuelle",12,IF(Baux!$L$27="Trimestrielle",4,IF(Baux!$L$27="Semestrielle",2,1))))</f>
        <v/>
      </c>
      <c r="S303" s="27">
        <f>IF(AD303=0,"",IF(Baux!$J$27="",0,Baux!$J$27)/IF(Baux!$L$27="Mensuelle",12,IF(Baux!$L$27="Trimestrielle",4,IF(Baux!$L$27="Semestrielle",2,1))))</f>
        <v/>
      </c>
      <c r="T303" s="27">
        <f>IF(R303="","",(R303+S303)*Baux!$K$27/100)</f>
        <v/>
      </c>
      <c r="U303" s="27">
        <f>IF(R303="","",R303+S303+T303)</f>
        <v/>
      </c>
      <c r="V303" s="17">
        <f>IF(AD303=0,"",IF(LEFT(K303,5)="Geler","❄ Gelée",IF(G303="",IF(D303&lt;=TODAY(),"⚠ Indice attendu","À venir"),IF(D303&lt;=TODAY(),"✔ Calculable","Indice connu – à venir"))))</f>
        <v/>
      </c>
      <c r="W303" s="29" t="n"/>
      <c r="X303" s="13" t="n"/>
      <c r="Y303" s="14" t="n"/>
      <c r="Z303" s="14" t="n"/>
      <c r="AA303" s="13" t="n"/>
      <c r="AB303" s="17">
        <f>IF(A303="","",A303&amp;"#"&amp;C303)</f>
        <v/>
      </c>
      <c r="AC303" s="17">
        <f>IF(AND(AD303=1,D303&lt;=TODAY(),N303&lt;&gt;""),1,0)</f>
        <v/>
      </c>
      <c r="AD303" s="17">
        <f>IF(OR(A303="",D303=""),0,IF(AND(ISNUMBER(Baux!$H$27),D303&gt;Baux!$H$27),0,1))</f>
        <v/>
      </c>
    </row>
    <row r="304">
      <c r="A304" s="17">
        <f>IF(Baux!$A$27="","",Baux!$A$27)</f>
        <v/>
      </c>
      <c r="B304" s="17">
        <f>IF(A304="","",Baux!$B$27)</f>
        <v/>
      </c>
      <c r="C304" s="17" t="n">
        <v>3</v>
      </c>
      <c r="D304" s="15">
        <f>IF(OR(A304="",Baux!$F$27="",Baux!$O$27=""),"",EDATE(Baux!$F$27,12*Baux!$O$27*C304))</f>
        <v/>
      </c>
      <c r="E304" s="17">
        <f>IF(AD304=0,"",Baux!$M$27)</f>
        <v/>
      </c>
      <c r="F304" s="17">
        <f>IF(AD304=0,"",IFERROR(TEXT(VALUE(LEFT(Baux!$N$27,4))+C304*Baux!$O$27,"0")&amp;RIGHT(Baux!$N$27,3),""))</f>
        <v/>
      </c>
      <c r="G304" s="25">
        <f>IF(AD304=0,"",IF(F304="","",IF(SUMIFS(Indices_long!$C:$C,Indices_long!$A:$A,E304,Indices_long!$B:$B,F304)=0,"",SUMIFS(Indices_long!$C:$C,Indices_long!$A:$A,E304,Indices_long!$B:$B,F304))))</f>
        <v/>
      </c>
      <c r="H304" s="17">
        <f>IF(AD304=0,"",IF(Baux!$P$27="Base fixe",Baux!$N$27,IF(K303="Geler – rattrapage possible",H303,F303)))</f>
        <v/>
      </c>
      <c r="I304" s="25">
        <f>IF(AD304=0,"",IF(H304="","",IF(SUMIFS(Indices_long!$C:$C,Indices_long!$A:$A,E304,Indices_long!$B:$B,H304)=0,"",SUMIFS(Indices_long!$C:$C,Indices_long!$A:$A,E304,Indices_long!$B:$B,H304))))</f>
        <v/>
      </c>
      <c r="J304" s="26">
        <f>IF(OR(G304="",I304=""),"",G304/I304)</f>
        <v/>
      </c>
      <c r="K304" s="13" t="n"/>
      <c r="L304" s="27">
        <f>IF(AD304=0,"",IF(Baux!$P$27="Base fixe",Baux!$I$27,N303))</f>
        <v/>
      </c>
      <c r="M304" s="27">
        <f>IF(OR(J304="",L304=""),"",ROUND(L304*J304,2))</f>
        <v/>
      </c>
      <c r="N304" s="27">
        <f>IF(AD304=0,"",IF(LEFT(K304,5)="Geler",O304,IF(M304="","",IF(Baux!$Q$27="",M304,MIN(M304,ROUND(L304*(1+Baux!$Q$27/100)^IF(Baux!$P$27="Base fixe",C304*Baux!$O$27,VALUE(LEFT(F304,4))-VALUE(LEFT(H304,4))),2))))))</f>
        <v/>
      </c>
      <c r="O304" s="27">
        <f>IF(AD304=0,"",N303)</f>
        <v/>
      </c>
      <c r="P304" s="28">
        <f>IF(OR(N304="",O304=""),"",N304/O304-1)</f>
        <v/>
      </c>
      <c r="Q304" s="27">
        <f>IF(N304="","",N304/12)</f>
        <v/>
      </c>
      <c r="R304" s="27">
        <f>IF(N304="","",N304/IF(Baux!$L$27="Mensuelle",12,IF(Baux!$L$27="Trimestrielle",4,IF(Baux!$L$27="Semestrielle",2,1))))</f>
        <v/>
      </c>
      <c r="S304" s="27">
        <f>IF(AD304=0,"",IF(Baux!$J$27="",0,Baux!$J$27)/IF(Baux!$L$27="Mensuelle",12,IF(Baux!$L$27="Trimestrielle",4,IF(Baux!$L$27="Semestrielle",2,1))))</f>
        <v/>
      </c>
      <c r="T304" s="27">
        <f>IF(R304="","",(R304+S304)*Baux!$K$27/100)</f>
        <v/>
      </c>
      <c r="U304" s="27">
        <f>IF(R304="","",R304+S304+T304)</f>
        <v/>
      </c>
      <c r="V304" s="17">
        <f>IF(AD304=0,"",IF(LEFT(K304,5)="Geler","❄ Gelée",IF(G304="",IF(D304&lt;=TODAY(),"⚠ Indice attendu","À venir"),IF(D304&lt;=TODAY(),"✔ Calculable","Indice connu – à venir"))))</f>
        <v/>
      </c>
      <c r="W304" s="29" t="n"/>
      <c r="X304" s="13" t="n"/>
      <c r="Y304" s="14" t="n"/>
      <c r="Z304" s="14" t="n"/>
      <c r="AA304" s="13" t="n"/>
      <c r="AB304" s="17">
        <f>IF(A304="","",A304&amp;"#"&amp;C304)</f>
        <v/>
      </c>
      <c r="AC304" s="17">
        <f>IF(AND(AD304=1,D304&lt;=TODAY(),N304&lt;&gt;""),1,0)</f>
        <v/>
      </c>
      <c r="AD304" s="17">
        <f>IF(OR(A304="",D304=""),0,IF(AND(ISNUMBER(Baux!$H$27),D304&gt;Baux!$H$27),0,1))</f>
        <v/>
      </c>
    </row>
    <row r="305">
      <c r="A305" s="17">
        <f>IF(Baux!$A$27="","",Baux!$A$27)</f>
        <v/>
      </c>
      <c r="B305" s="17">
        <f>IF(A305="","",Baux!$B$27)</f>
        <v/>
      </c>
      <c r="C305" s="17" t="n">
        <v>4</v>
      </c>
      <c r="D305" s="15">
        <f>IF(OR(A305="",Baux!$F$27="",Baux!$O$27=""),"",EDATE(Baux!$F$27,12*Baux!$O$27*C305))</f>
        <v/>
      </c>
      <c r="E305" s="17">
        <f>IF(AD305=0,"",Baux!$M$27)</f>
        <v/>
      </c>
      <c r="F305" s="17">
        <f>IF(AD305=0,"",IFERROR(TEXT(VALUE(LEFT(Baux!$N$27,4))+C305*Baux!$O$27,"0")&amp;RIGHT(Baux!$N$27,3),""))</f>
        <v/>
      </c>
      <c r="G305" s="25">
        <f>IF(AD305=0,"",IF(F305="","",IF(SUMIFS(Indices_long!$C:$C,Indices_long!$A:$A,E305,Indices_long!$B:$B,F305)=0,"",SUMIFS(Indices_long!$C:$C,Indices_long!$A:$A,E305,Indices_long!$B:$B,F305))))</f>
        <v/>
      </c>
      <c r="H305" s="17">
        <f>IF(AD305=0,"",IF(Baux!$P$27="Base fixe",Baux!$N$27,IF(K304="Geler – rattrapage possible",H304,F304)))</f>
        <v/>
      </c>
      <c r="I305" s="25">
        <f>IF(AD305=0,"",IF(H305="","",IF(SUMIFS(Indices_long!$C:$C,Indices_long!$A:$A,E305,Indices_long!$B:$B,H305)=0,"",SUMIFS(Indices_long!$C:$C,Indices_long!$A:$A,E305,Indices_long!$B:$B,H305))))</f>
        <v/>
      </c>
      <c r="J305" s="26">
        <f>IF(OR(G305="",I305=""),"",G305/I305)</f>
        <v/>
      </c>
      <c r="K305" s="13" t="n"/>
      <c r="L305" s="27">
        <f>IF(AD305=0,"",IF(Baux!$P$27="Base fixe",Baux!$I$27,N304))</f>
        <v/>
      </c>
      <c r="M305" s="27">
        <f>IF(OR(J305="",L305=""),"",ROUND(L305*J305,2))</f>
        <v/>
      </c>
      <c r="N305" s="27">
        <f>IF(AD305=0,"",IF(LEFT(K305,5)="Geler",O305,IF(M305="","",IF(Baux!$Q$27="",M305,MIN(M305,ROUND(L305*(1+Baux!$Q$27/100)^IF(Baux!$P$27="Base fixe",C305*Baux!$O$27,VALUE(LEFT(F305,4))-VALUE(LEFT(H305,4))),2))))))</f>
        <v/>
      </c>
      <c r="O305" s="27">
        <f>IF(AD305=0,"",N304)</f>
        <v/>
      </c>
      <c r="P305" s="28">
        <f>IF(OR(N305="",O305=""),"",N305/O305-1)</f>
        <v/>
      </c>
      <c r="Q305" s="27">
        <f>IF(N305="","",N305/12)</f>
        <v/>
      </c>
      <c r="R305" s="27">
        <f>IF(N305="","",N305/IF(Baux!$L$27="Mensuelle",12,IF(Baux!$L$27="Trimestrielle",4,IF(Baux!$L$27="Semestrielle",2,1))))</f>
        <v/>
      </c>
      <c r="S305" s="27">
        <f>IF(AD305=0,"",IF(Baux!$J$27="",0,Baux!$J$27)/IF(Baux!$L$27="Mensuelle",12,IF(Baux!$L$27="Trimestrielle",4,IF(Baux!$L$27="Semestrielle",2,1))))</f>
        <v/>
      </c>
      <c r="T305" s="27">
        <f>IF(R305="","",(R305+S305)*Baux!$K$27/100)</f>
        <v/>
      </c>
      <c r="U305" s="27">
        <f>IF(R305="","",R305+S305+T305)</f>
        <v/>
      </c>
      <c r="V305" s="17">
        <f>IF(AD305=0,"",IF(LEFT(K305,5)="Geler","❄ Gelée",IF(G305="",IF(D305&lt;=TODAY(),"⚠ Indice attendu","À venir"),IF(D305&lt;=TODAY(),"✔ Calculable","Indice connu – à venir"))))</f>
        <v/>
      </c>
      <c r="W305" s="29" t="n"/>
      <c r="X305" s="13" t="n"/>
      <c r="Y305" s="14" t="n"/>
      <c r="Z305" s="14" t="n"/>
      <c r="AA305" s="13" t="n"/>
      <c r="AB305" s="17">
        <f>IF(A305="","",A305&amp;"#"&amp;C305)</f>
        <v/>
      </c>
      <c r="AC305" s="17">
        <f>IF(AND(AD305=1,D305&lt;=TODAY(),N305&lt;&gt;""),1,0)</f>
        <v/>
      </c>
      <c r="AD305" s="17">
        <f>IF(OR(A305="",D305=""),0,IF(AND(ISNUMBER(Baux!$H$27),D305&gt;Baux!$H$27),0,1))</f>
        <v/>
      </c>
    </row>
    <row r="306">
      <c r="A306" s="17">
        <f>IF(Baux!$A$27="","",Baux!$A$27)</f>
        <v/>
      </c>
      <c r="B306" s="17">
        <f>IF(A306="","",Baux!$B$27)</f>
        <v/>
      </c>
      <c r="C306" s="17" t="n">
        <v>5</v>
      </c>
      <c r="D306" s="15">
        <f>IF(OR(A306="",Baux!$F$27="",Baux!$O$27=""),"",EDATE(Baux!$F$27,12*Baux!$O$27*C306))</f>
        <v/>
      </c>
      <c r="E306" s="17">
        <f>IF(AD306=0,"",Baux!$M$27)</f>
        <v/>
      </c>
      <c r="F306" s="17">
        <f>IF(AD306=0,"",IFERROR(TEXT(VALUE(LEFT(Baux!$N$27,4))+C306*Baux!$O$27,"0")&amp;RIGHT(Baux!$N$27,3),""))</f>
        <v/>
      </c>
      <c r="G306" s="25">
        <f>IF(AD306=0,"",IF(F306="","",IF(SUMIFS(Indices_long!$C:$C,Indices_long!$A:$A,E306,Indices_long!$B:$B,F306)=0,"",SUMIFS(Indices_long!$C:$C,Indices_long!$A:$A,E306,Indices_long!$B:$B,F306))))</f>
        <v/>
      </c>
      <c r="H306" s="17">
        <f>IF(AD306=0,"",IF(Baux!$P$27="Base fixe",Baux!$N$27,IF(K305="Geler – rattrapage possible",H305,F305)))</f>
        <v/>
      </c>
      <c r="I306" s="25">
        <f>IF(AD306=0,"",IF(H306="","",IF(SUMIFS(Indices_long!$C:$C,Indices_long!$A:$A,E306,Indices_long!$B:$B,H306)=0,"",SUMIFS(Indices_long!$C:$C,Indices_long!$A:$A,E306,Indices_long!$B:$B,H306))))</f>
        <v/>
      </c>
      <c r="J306" s="26">
        <f>IF(OR(G306="",I306=""),"",G306/I306)</f>
        <v/>
      </c>
      <c r="K306" s="13" t="n"/>
      <c r="L306" s="27">
        <f>IF(AD306=0,"",IF(Baux!$P$27="Base fixe",Baux!$I$27,N305))</f>
        <v/>
      </c>
      <c r="M306" s="27">
        <f>IF(OR(J306="",L306=""),"",ROUND(L306*J306,2))</f>
        <v/>
      </c>
      <c r="N306" s="27">
        <f>IF(AD306=0,"",IF(LEFT(K306,5)="Geler",O306,IF(M306="","",IF(Baux!$Q$27="",M306,MIN(M306,ROUND(L306*(1+Baux!$Q$27/100)^IF(Baux!$P$27="Base fixe",C306*Baux!$O$27,VALUE(LEFT(F306,4))-VALUE(LEFT(H306,4))),2))))))</f>
        <v/>
      </c>
      <c r="O306" s="27">
        <f>IF(AD306=0,"",N305)</f>
        <v/>
      </c>
      <c r="P306" s="28">
        <f>IF(OR(N306="",O306=""),"",N306/O306-1)</f>
        <v/>
      </c>
      <c r="Q306" s="27">
        <f>IF(N306="","",N306/12)</f>
        <v/>
      </c>
      <c r="R306" s="27">
        <f>IF(N306="","",N306/IF(Baux!$L$27="Mensuelle",12,IF(Baux!$L$27="Trimestrielle",4,IF(Baux!$L$27="Semestrielle",2,1))))</f>
        <v/>
      </c>
      <c r="S306" s="27">
        <f>IF(AD306=0,"",IF(Baux!$J$27="",0,Baux!$J$27)/IF(Baux!$L$27="Mensuelle",12,IF(Baux!$L$27="Trimestrielle",4,IF(Baux!$L$27="Semestrielle",2,1))))</f>
        <v/>
      </c>
      <c r="T306" s="27">
        <f>IF(R306="","",(R306+S306)*Baux!$K$27/100)</f>
        <v/>
      </c>
      <c r="U306" s="27">
        <f>IF(R306="","",R306+S306+T306)</f>
        <v/>
      </c>
      <c r="V306" s="17">
        <f>IF(AD306=0,"",IF(LEFT(K306,5)="Geler","❄ Gelée",IF(G306="",IF(D306&lt;=TODAY(),"⚠ Indice attendu","À venir"),IF(D306&lt;=TODAY(),"✔ Calculable","Indice connu – à venir"))))</f>
        <v/>
      </c>
      <c r="W306" s="29" t="n"/>
      <c r="X306" s="13" t="n"/>
      <c r="Y306" s="14" t="n"/>
      <c r="Z306" s="14" t="n"/>
      <c r="AA306" s="13" t="n"/>
      <c r="AB306" s="17">
        <f>IF(A306="","",A306&amp;"#"&amp;C306)</f>
        <v/>
      </c>
      <c r="AC306" s="17">
        <f>IF(AND(AD306=1,D306&lt;=TODAY(),N306&lt;&gt;""),1,0)</f>
        <v/>
      </c>
      <c r="AD306" s="17">
        <f>IF(OR(A306="",D306=""),0,IF(AND(ISNUMBER(Baux!$H$27),D306&gt;Baux!$H$27),0,1))</f>
        <v/>
      </c>
    </row>
    <row r="307">
      <c r="A307" s="17">
        <f>IF(Baux!$A$27="","",Baux!$A$27)</f>
        <v/>
      </c>
      <c r="B307" s="17">
        <f>IF(A307="","",Baux!$B$27)</f>
        <v/>
      </c>
      <c r="C307" s="17" t="n">
        <v>6</v>
      </c>
      <c r="D307" s="15">
        <f>IF(OR(A307="",Baux!$F$27="",Baux!$O$27=""),"",EDATE(Baux!$F$27,12*Baux!$O$27*C307))</f>
        <v/>
      </c>
      <c r="E307" s="17">
        <f>IF(AD307=0,"",Baux!$M$27)</f>
        <v/>
      </c>
      <c r="F307" s="17">
        <f>IF(AD307=0,"",IFERROR(TEXT(VALUE(LEFT(Baux!$N$27,4))+C307*Baux!$O$27,"0")&amp;RIGHT(Baux!$N$27,3),""))</f>
        <v/>
      </c>
      <c r="G307" s="25">
        <f>IF(AD307=0,"",IF(F307="","",IF(SUMIFS(Indices_long!$C:$C,Indices_long!$A:$A,E307,Indices_long!$B:$B,F307)=0,"",SUMIFS(Indices_long!$C:$C,Indices_long!$A:$A,E307,Indices_long!$B:$B,F307))))</f>
        <v/>
      </c>
      <c r="H307" s="17">
        <f>IF(AD307=0,"",IF(Baux!$P$27="Base fixe",Baux!$N$27,IF(K306="Geler – rattrapage possible",H306,F306)))</f>
        <v/>
      </c>
      <c r="I307" s="25">
        <f>IF(AD307=0,"",IF(H307="","",IF(SUMIFS(Indices_long!$C:$C,Indices_long!$A:$A,E307,Indices_long!$B:$B,H307)=0,"",SUMIFS(Indices_long!$C:$C,Indices_long!$A:$A,E307,Indices_long!$B:$B,H307))))</f>
        <v/>
      </c>
      <c r="J307" s="26">
        <f>IF(OR(G307="",I307=""),"",G307/I307)</f>
        <v/>
      </c>
      <c r="K307" s="13" t="n"/>
      <c r="L307" s="27">
        <f>IF(AD307=0,"",IF(Baux!$P$27="Base fixe",Baux!$I$27,N306))</f>
        <v/>
      </c>
      <c r="M307" s="27">
        <f>IF(OR(J307="",L307=""),"",ROUND(L307*J307,2))</f>
        <v/>
      </c>
      <c r="N307" s="27">
        <f>IF(AD307=0,"",IF(LEFT(K307,5)="Geler",O307,IF(M307="","",IF(Baux!$Q$27="",M307,MIN(M307,ROUND(L307*(1+Baux!$Q$27/100)^IF(Baux!$P$27="Base fixe",C307*Baux!$O$27,VALUE(LEFT(F307,4))-VALUE(LEFT(H307,4))),2))))))</f>
        <v/>
      </c>
      <c r="O307" s="27">
        <f>IF(AD307=0,"",N306)</f>
        <v/>
      </c>
      <c r="P307" s="28">
        <f>IF(OR(N307="",O307=""),"",N307/O307-1)</f>
        <v/>
      </c>
      <c r="Q307" s="27">
        <f>IF(N307="","",N307/12)</f>
        <v/>
      </c>
      <c r="R307" s="27">
        <f>IF(N307="","",N307/IF(Baux!$L$27="Mensuelle",12,IF(Baux!$L$27="Trimestrielle",4,IF(Baux!$L$27="Semestrielle",2,1))))</f>
        <v/>
      </c>
      <c r="S307" s="27">
        <f>IF(AD307=0,"",IF(Baux!$J$27="",0,Baux!$J$27)/IF(Baux!$L$27="Mensuelle",12,IF(Baux!$L$27="Trimestrielle",4,IF(Baux!$L$27="Semestrielle",2,1))))</f>
        <v/>
      </c>
      <c r="T307" s="27">
        <f>IF(R307="","",(R307+S307)*Baux!$K$27/100)</f>
        <v/>
      </c>
      <c r="U307" s="27">
        <f>IF(R307="","",R307+S307+T307)</f>
        <v/>
      </c>
      <c r="V307" s="17">
        <f>IF(AD307=0,"",IF(LEFT(K307,5)="Geler","❄ Gelée",IF(G307="",IF(D307&lt;=TODAY(),"⚠ Indice attendu","À venir"),IF(D307&lt;=TODAY(),"✔ Calculable","Indice connu – à venir"))))</f>
        <v/>
      </c>
      <c r="W307" s="29" t="n"/>
      <c r="X307" s="13" t="n"/>
      <c r="Y307" s="14" t="n"/>
      <c r="Z307" s="14" t="n"/>
      <c r="AA307" s="13" t="n"/>
      <c r="AB307" s="17">
        <f>IF(A307="","",A307&amp;"#"&amp;C307)</f>
        <v/>
      </c>
      <c r="AC307" s="17">
        <f>IF(AND(AD307=1,D307&lt;=TODAY(),N307&lt;&gt;""),1,0)</f>
        <v/>
      </c>
      <c r="AD307" s="17">
        <f>IF(OR(A307="",D307=""),0,IF(AND(ISNUMBER(Baux!$H$27),D307&gt;Baux!$H$27),0,1))</f>
        <v/>
      </c>
    </row>
    <row r="308">
      <c r="A308" s="17">
        <f>IF(Baux!$A$27="","",Baux!$A$27)</f>
        <v/>
      </c>
      <c r="B308" s="17">
        <f>IF(A308="","",Baux!$B$27)</f>
        <v/>
      </c>
      <c r="C308" s="17" t="n">
        <v>7</v>
      </c>
      <c r="D308" s="15">
        <f>IF(OR(A308="",Baux!$F$27="",Baux!$O$27=""),"",EDATE(Baux!$F$27,12*Baux!$O$27*C308))</f>
        <v/>
      </c>
      <c r="E308" s="17">
        <f>IF(AD308=0,"",Baux!$M$27)</f>
        <v/>
      </c>
      <c r="F308" s="17">
        <f>IF(AD308=0,"",IFERROR(TEXT(VALUE(LEFT(Baux!$N$27,4))+C308*Baux!$O$27,"0")&amp;RIGHT(Baux!$N$27,3),""))</f>
        <v/>
      </c>
      <c r="G308" s="25">
        <f>IF(AD308=0,"",IF(F308="","",IF(SUMIFS(Indices_long!$C:$C,Indices_long!$A:$A,E308,Indices_long!$B:$B,F308)=0,"",SUMIFS(Indices_long!$C:$C,Indices_long!$A:$A,E308,Indices_long!$B:$B,F308))))</f>
        <v/>
      </c>
      <c r="H308" s="17">
        <f>IF(AD308=0,"",IF(Baux!$P$27="Base fixe",Baux!$N$27,IF(K307="Geler – rattrapage possible",H307,F307)))</f>
        <v/>
      </c>
      <c r="I308" s="25">
        <f>IF(AD308=0,"",IF(H308="","",IF(SUMIFS(Indices_long!$C:$C,Indices_long!$A:$A,E308,Indices_long!$B:$B,H308)=0,"",SUMIFS(Indices_long!$C:$C,Indices_long!$A:$A,E308,Indices_long!$B:$B,H308))))</f>
        <v/>
      </c>
      <c r="J308" s="26">
        <f>IF(OR(G308="",I308=""),"",G308/I308)</f>
        <v/>
      </c>
      <c r="K308" s="13" t="n"/>
      <c r="L308" s="27">
        <f>IF(AD308=0,"",IF(Baux!$P$27="Base fixe",Baux!$I$27,N307))</f>
        <v/>
      </c>
      <c r="M308" s="27">
        <f>IF(OR(J308="",L308=""),"",ROUND(L308*J308,2))</f>
        <v/>
      </c>
      <c r="N308" s="27">
        <f>IF(AD308=0,"",IF(LEFT(K308,5)="Geler",O308,IF(M308="","",IF(Baux!$Q$27="",M308,MIN(M308,ROUND(L308*(1+Baux!$Q$27/100)^IF(Baux!$P$27="Base fixe",C308*Baux!$O$27,VALUE(LEFT(F308,4))-VALUE(LEFT(H308,4))),2))))))</f>
        <v/>
      </c>
      <c r="O308" s="27">
        <f>IF(AD308=0,"",N307)</f>
        <v/>
      </c>
      <c r="P308" s="28">
        <f>IF(OR(N308="",O308=""),"",N308/O308-1)</f>
        <v/>
      </c>
      <c r="Q308" s="27">
        <f>IF(N308="","",N308/12)</f>
        <v/>
      </c>
      <c r="R308" s="27">
        <f>IF(N308="","",N308/IF(Baux!$L$27="Mensuelle",12,IF(Baux!$L$27="Trimestrielle",4,IF(Baux!$L$27="Semestrielle",2,1))))</f>
        <v/>
      </c>
      <c r="S308" s="27">
        <f>IF(AD308=0,"",IF(Baux!$J$27="",0,Baux!$J$27)/IF(Baux!$L$27="Mensuelle",12,IF(Baux!$L$27="Trimestrielle",4,IF(Baux!$L$27="Semestrielle",2,1))))</f>
        <v/>
      </c>
      <c r="T308" s="27">
        <f>IF(R308="","",(R308+S308)*Baux!$K$27/100)</f>
        <v/>
      </c>
      <c r="U308" s="27">
        <f>IF(R308="","",R308+S308+T308)</f>
        <v/>
      </c>
      <c r="V308" s="17">
        <f>IF(AD308=0,"",IF(LEFT(K308,5)="Geler","❄ Gelée",IF(G308="",IF(D308&lt;=TODAY(),"⚠ Indice attendu","À venir"),IF(D308&lt;=TODAY(),"✔ Calculable","Indice connu – à venir"))))</f>
        <v/>
      </c>
      <c r="W308" s="29" t="n"/>
      <c r="X308" s="13" t="n"/>
      <c r="Y308" s="14" t="n"/>
      <c r="Z308" s="14" t="n"/>
      <c r="AA308" s="13" t="n"/>
      <c r="AB308" s="17">
        <f>IF(A308="","",A308&amp;"#"&amp;C308)</f>
        <v/>
      </c>
      <c r="AC308" s="17">
        <f>IF(AND(AD308=1,D308&lt;=TODAY(),N308&lt;&gt;""),1,0)</f>
        <v/>
      </c>
      <c r="AD308" s="17">
        <f>IF(OR(A308="",D308=""),0,IF(AND(ISNUMBER(Baux!$H$27),D308&gt;Baux!$H$27),0,1))</f>
        <v/>
      </c>
    </row>
    <row r="309">
      <c r="A309" s="17">
        <f>IF(Baux!$A$27="","",Baux!$A$27)</f>
        <v/>
      </c>
      <c r="B309" s="17">
        <f>IF(A309="","",Baux!$B$27)</f>
        <v/>
      </c>
      <c r="C309" s="17" t="n">
        <v>8</v>
      </c>
      <c r="D309" s="15">
        <f>IF(OR(A309="",Baux!$F$27="",Baux!$O$27=""),"",EDATE(Baux!$F$27,12*Baux!$O$27*C309))</f>
        <v/>
      </c>
      <c r="E309" s="17">
        <f>IF(AD309=0,"",Baux!$M$27)</f>
        <v/>
      </c>
      <c r="F309" s="17">
        <f>IF(AD309=0,"",IFERROR(TEXT(VALUE(LEFT(Baux!$N$27,4))+C309*Baux!$O$27,"0")&amp;RIGHT(Baux!$N$27,3),""))</f>
        <v/>
      </c>
      <c r="G309" s="25">
        <f>IF(AD309=0,"",IF(F309="","",IF(SUMIFS(Indices_long!$C:$C,Indices_long!$A:$A,E309,Indices_long!$B:$B,F309)=0,"",SUMIFS(Indices_long!$C:$C,Indices_long!$A:$A,E309,Indices_long!$B:$B,F309))))</f>
        <v/>
      </c>
      <c r="H309" s="17">
        <f>IF(AD309=0,"",IF(Baux!$P$27="Base fixe",Baux!$N$27,IF(K308="Geler – rattrapage possible",H308,F308)))</f>
        <v/>
      </c>
      <c r="I309" s="25">
        <f>IF(AD309=0,"",IF(H309="","",IF(SUMIFS(Indices_long!$C:$C,Indices_long!$A:$A,E309,Indices_long!$B:$B,H309)=0,"",SUMIFS(Indices_long!$C:$C,Indices_long!$A:$A,E309,Indices_long!$B:$B,H309))))</f>
        <v/>
      </c>
      <c r="J309" s="26">
        <f>IF(OR(G309="",I309=""),"",G309/I309)</f>
        <v/>
      </c>
      <c r="K309" s="13" t="n"/>
      <c r="L309" s="27">
        <f>IF(AD309=0,"",IF(Baux!$P$27="Base fixe",Baux!$I$27,N308))</f>
        <v/>
      </c>
      <c r="M309" s="27">
        <f>IF(OR(J309="",L309=""),"",ROUND(L309*J309,2))</f>
        <v/>
      </c>
      <c r="N309" s="27">
        <f>IF(AD309=0,"",IF(LEFT(K309,5)="Geler",O309,IF(M309="","",IF(Baux!$Q$27="",M309,MIN(M309,ROUND(L309*(1+Baux!$Q$27/100)^IF(Baux!$P$27="Base fixe",C309*Baux!$O$27,VALUE(LEFT(F309,4))-VALUE(LEFT(H309,4))),2))))))</f>
        <v/>
      </c>
      <c r="O309" s="27">
        <f>IF(AD309=0,"",N308)</f>
        <v/>
      </c>
      <c r="P309" s="28">
        <f>IF(OR(N309="",O309=""),"",N309/O309-1)</f>
        <v/>
      </c>
      <c r="Q309" s="27">
        <f>IF(N309="","",N309/12)</f>
        <v/>
      </c>
      <c r="R309" s="27">
        <f>IF(N309="","",N309/IF(Baux!$L$27="Mensuelle",12,IF(Baux!$L$27="Trimestrielle",4,IF(Baux!$L$27="Semestrielle",2,1))))</f>
        <v/>
      </c>
      <c r="S309" s="27">
        <f>IF(AD309=0,"",IF(Baux!$J$27="",0,Baux!$J$27)/IF(Baux!$L$27="Mensuelle",12,IF(Baux!$L$27="Trimestrielle",4,IF(Baux!$L$27="Semestrielle",2,1))))</f>
        <v/>
      </c>
      <c r="T309" s="27">
        <f>IF(R309="","",(R309+S309)*Baux!$K$27/100)</f>
        <v/>
      </c>
      <c r="U309" s="27">
        <f>IF(R309="","",R309+S309+T309)</f>
        <v/>
      </c>
      <c r="V309" s="17">
        <f>IF(AD309=0,"",IF(LEFT(K309,5)="Geler","❄ Gelée",IF(G309="",IF(D309&lt;=TODAY(),"⚠ Indice attendu","À venir"),IF(D309&lt;=TODAY(),"✔ Calculable","Indice connu – à venir"))))</f>
        <v/>
      </c>
      <c r="W309" s="29" t="n"/>
      <c r="X309" s="13" t="n"/>
      <c r="Y309" s="14" t="n"/>
      <c r="Z309" s="14" t="n"/>
      <c r="AA309" s="13" t="n"/>
      <c r="AB309" s="17">
        <f>IF(A309="","",A309&amp;"#"&amp;C309)</f>
        <v/>
      </c>
      <c r="AC309" s="17">
        <f>IF(AND(AD309=1,D309&lt;=TODAY(),N309&lt;&gt;""),1,0)</f>
        <v/>
      </c>
      <c r="AD309" s="17">
        <f>IF(OR(A309="",D309=""),0,IF(AND(ISNUMBER(Baux!$H$27),D309&gt;Baux!$H$27),0,1))</f>
        <v/>
      </c>
    </row>
    <row r="310">
      <c r="A310" s="17">
        <f>IF(Baux!$A$27="","",Baux!$A$27)</f>
        <v/>
      </c>
      <c r="B310" s="17">
        <f>IF(A310="","",Baux!$B$27)</f>
        <v/>
      </c>
      <c r="C310" s="17" t="n">
        <v>9</v>
      </c>
      <c r="D310" s="15">
        <f>IF(OR(A310="",Baux!$F$27="",Baux!$O$27=""),"",EDATE(Baux!$F$27,12*Baux!$O$27*C310))</f>
        <v/>
      </c>
      <c r="E310" s="17">
        <f>IF(AD310=0,"",Baux!$M$27)</f>
        <v/>
      </c>
      <c r="F310" s="17">
        <f>IF(AD310=0,"",IFERROR(TEXT(VALUE(LEFT(Baux!$N$27,4))+C310*Baux!$O$27,"0")&amp;RIGHT(Baux!$N$27,3),""))</f>
        <v/>
      </c>
      <c r="G310" s="25">
        <f>IF(AD310=0,"",IF(F310="","",IF(SUMIFS(Indices_long!$C:$C,Indices_long!$A:$A,E310,Indices_long!$B:$B,F310)=0,"",SUMIFS(Indices_long!$C:$C,Indices_long!$A:$A,E310,Indices_long!$B:$B,F310))))</f>
        <v/>
      </c>
      <c r="H310" s="17">
        <f>IF(AD310=0,"",IF(Baux!$P$27="Base fixe",Baux!$N$27,IF(K309="Geler – rattrapage possible",H309,F309)))</f>
        <v/>
      </c>
      <c r="I310" s="25">
        <f>IF(AD310=0,"",IF(H310="","",IF(SUMIFS(Indices_long!$C:$C,Indices_long!$A:$A,E310,Indices_long!$B:$B,H310)=0,"",SUMIFS(Indices_long!$C:$C,Indices_long!$A:$A,E310,Indices_long!$B:$B,H310))))</f>
        <v/>
      </c>
      <c r="J310" s="26">
        <f>IF(OR(G310="",I310=""),"",G310/I310)</f>
        <v/>
      </c>
      <c r="K310" s="13" t="n"/>
      <c r="L310" s="27">
        <f>IF(AD310=0,"",IF(Baux!$P$27="Base fixe",Baux!$I$27,N309))</f>
        <v/>
      </c>
      <c r="M310" s="27">
        <f>IF(OR(J310="",L310=""),"",ROUND(L310*J310,2))</f>
        <v/>
      </c>
      <c r="N310" s="27">
        <f>IF(AD310=0,"",IF(LEFT(K310,5)="Geler",O310,IF(M310="","",IF(Baux!$Q$27="",M310,MIN(M310,ROUND(L310*(1+Baux!$Q$27/100)^IF(Baux!$P$27="Base fixe",C310*Baux!$O$27,VALUE(LEFT(F310,4))-VALUE(LEFT(H310,4))),2))))))</f>
        <v/>
      </c>
      <c r="O310" s="27">
        <f>IF(AD310=0,"",N309)</f>
        <v/>
      </c>
      <c r="P310" s="28">
        <f>IF(OR(N310="",O310=""),"",N310/O310-1)</f>
        <v/>
      </c>
      <c r="Q310" s="27">
        <f>IF(N310="","",N310/12)</f>
        <v/>
      </c>
      <c r="R310" s="27">
        <f>IF(N310="","",N310/IF(Baux!$L$27="Mensuelle",12,IF(Baux!$L$27="Trimestrielle",4,IF(Baux!$L$27="Semestrielle",2,1))))</f>
        <v/>
      </c>
      <c r="S310" s="27">
        <f>IF(AD310=0,"",IF(Baux!$J$27="",0,Baux!$J$27)/IF(Baux!$L$27="Mensuelle",12,IF(Baux!$L$27="Trimestrielle",4,IF(Baux!$L$27="Semestrielle",2,1))))</f>
        <v/>
      </c>
      <c r="T310" s="27">
        <f>IF(R310="","",(R310+S310)*Baux!$K$27/100)</f>
        <v/>
      </c>
      <c r="U310" s="27">
        <f>IF(R310="","",R310+S310+T310)</f>
        <v/>
      </c>
      <c r="V310" s="17">
        <f>IF(AD310=0,"",IF(LEFT(K310,5)="Geler","❄ Gelée",IF(G310="",IF(D310&lt;=TODAY(),"⚠ Indice attendu","À venir"),IF(D310&lt;=TODAY(),"✔ Calculable","Indice connu – à venir"))))</f>
        <v/>
      </c>
      <c r="W310" s="29" t="n"/>
      <c r="X310" s="13" t="n"/>
      <c r="Y310" s="14" t="n"/>
      <c r="Z310" s="14" t="n"/>
      <c r="AA310" s="13" t="n"/>
      <c r="AB310" s="17">
        <f>IF(A310="","",A310&amp;"#"&amp;C310)</f>
        <v/>
      </c>
      <c r="AC310" s="17">
        <f>IF(AND(AD310=1,D310&lt;=TODAY(),N310&lt;&gt;""),1,0)</f>
        <v/>
      </c>
      <c r="AD310" s="17">
        <f>IF(OR(A310="",D310=""),0,IF(AND(ISNUMBER(Baux!$H$27),D310&gt;Baux!$H$27),0,1))</f>
        <v/>
      </c>
    </row>
    <row r="311">
      <c r="A311" s="17">
        <f>IF(Baux!$A$27="","",Baux!$A$27)</f>
        <v/>
      </c>
      <c r="B311" s="17">
        <f>IF(A311="","",Baux!$B$27)</f>
        <v/>
      </c>
      <c r="C311" s="17" t="n">
        <v>10</v>
      </c>
      <c r="D311" s="15">
        <f>IF(OR(A311="",Baux!$F$27="",Baux!$O$27=""),"",EDATE(Baux!$F$27,12*Baux!$O$27*C311))</f>
        <v/>
      </c>
      <c r="E311" s="17">
        <f>IF(AD311=0,"",Baux!$M$27)</f>
        <v/>
      </c>
      <c r="F311" s="17">
        <f>IF(AD311=0,"",IFERROR(TEXT(VALUE(LEFT(Baux!$N$27,4))+C311*Baux!$O$27,"0")&amp;RIGHT(Baux!$N$27,3),""))</f>
        <v/>
      </c>
      <c r="G311" s="25">
        <f>IF(AD311=0,"",IF(F311="","",IF(SUMIFS(Indices_long!$C:$C,Indices_long!$A:$A,E311,Indices_long!$B:$B,F311)=0,"",SUMIFS(Indices_long!$C:$C,Indices_long!$A:$A,E311,Indices_long!$B:$B,F311))))</f>
        <v/>
      </c>
      <c r="H311" s="17">
        <f>IF(AD311=0,"",IF(Baux!$P$27="Base fixe",Baux!$N$27,IF(K310="Geler – rattrapage possible",H310,F310)))</f>
        <v/>
      </c>
      <c r="I311" s="25">
        <f>IF(AD311=0,"",IF(H311="","",IF(SUMIFS(Indices_long!$C:$C,Indices_long!$A:$A,E311,Indices_long!$B:$B,H311)=0,"",SUMIFS(Indices_long!$C:$C,Indices_long!$A:$A,E311,Indices_long!$B:$B,H311))))</f>
        <v/>
      </c>
      <c r="J311" s="26">
        <f>IF(OR(G311="",I311=""),"",G311/I311)</f>
        <v/>
      </c>
      <c r="K311" s="13" t="n"/>
      <c r="L311" s="27">
        <f>IF(AD311=0,"",IF(Baux!$P$27="Base fixe",Baux!$I$27,N310))</f>
        <v/>
      </c>
      <c r="M311" s="27">
        <f>IF(OR(J311="",L311=""),"",ROUND(L311*J311,2))</f>
        <v/>
      </c>
      <c r="N311" s="27">
        <f>IF(AD311=0,"",IF(LEFT(K311,5)="Geler",O311,IF(M311="","",IF(Baux!$Q$27="",M311,MIN(M311,ROUND(L311*(1+Baux!$Q$27/100)^IF(Baux!$P$27="Base fixe",C311*Baux!$O$27,VALUE(LEFT(F311,4))-VALUE(LEFT(H311,4))),2))))))</f>
        <v/>
      </c>
      <c r="O311" s="27">
        <f>IF(AD311=0,"",N310)</f>
        <v/>
      </c>
      <c r="P311" s="28">
        <f>IF(OR(N311="",O311=""),"",N311/O311-1)</f>
        <v/>
      </c>
      <c r="Q311" s="27">
        <f>IF(N311="","",N311/12)</f>
        <v/>
      </c>
      <c r="R311" s="27">
        <f>IF(N311="","",N311/IF(Baux!$L$27="Mensuelle",12,IF(Baux!$L$27="Trimestrielle",4,IF(Baux!$L$27="Semestrielle",2,1))))</f>
        <v/>
      </c>
      <c r="S311" s="27">
        <f>IF(AD311=0,"",IF(Baux!$J$27="",0,Baux!$J$27)/IF(Baux!$L$27="Mensuelle",12,IF(Baux!$L$27="Trimestrielle",4,IF(Baux!$L$27="Semestrielle",2,1))))</f>
        <v/>
      </c>
      <c r="T311" s="27">
        <f>IF(R311="","",(R311+S311)*Baux!$K$27/100)</f>
        <v/>
      </c>
      <c r="U311" s="27">
        <f>IF(R311="","",R311+S311+T311)</f>
        <v/>
      </c>
      <c r="V311" s="17">
        <f>IF(AD311=0,"",IF(LEFT(K311,5)="Geler","❄ Gelée",IF(G311="",IF(D311&lt;=TODAY(),"⚠ Indice attendu","À venir"),IF(D311&lt;=TODAY(),"✔ Calculable","Indice connu – à venir"))))</f>
        <v/>
      </c>
      <c r="W311" s="29" t="n"/>
      <c r="X311" s="13" t="n"/>
      <c r="Y311" s="14" t="n"/>
      <c r="Z311" s="14" t="n"/>
      <c r="AA311" s="13" t="n"/>
      <c r="AB311" s="17">
        <f>IF(A311="","",A311&amp;"#"&amp;C311)</f>
        <v/>
      </c>
      <c r="AC311" s="17">
        <f>IF(AND(AD311=1,D311&lt;=TODAY(),N311&lt;&gt;""),1,0)</f>
        <v/>
      </c>
      <c r="AD311" s="17">
        <f>IF(OR(A311="",D311=""),0,IF(AND(ISNUMBER(Baux!$H$27),D311&gt;Baux!$H$27),0,1))</f>
        <v/>
      </c>
    </row>
    <row r="312">
      <c r="A312" s="17">
        <f>IF(Baux!$A$27="","",Baux!$A$27)</f>
        <v/>
      </c>
      <c r="B312" s="17">
        <f>IF(A312="","",Baux!$B$27)</f>
        <v/>
      </c>
      <c r="C312" s="17" t="n">
        <v>11</v>
      </c>
      <c r="D312" s="15">
        <f>IF(OR(A312="",Baux!$F$27="",Baux!$O$27=""),"",EDATE(Baux!$F$27,12*Baux!$O$27*C312))</f>
        <v/>
      </c>
      <c r="E312" s="17">
        <f>IF(AD312=0,"",Baux!$M$27)</f>
        <v/>
      </c>
      <c r="F312" s="17">
        <f>IF(AD312=0,"",IFERROR(TEXT(VALUE(LEFT(Baux!$N$27,4))+C312*Baux!$O$27,"0")&amp;RIGHT(Baux!$N$27,3),""))</f>
        <v/>
      </c>
      <c r="G312" s="25">
        <f>IF(AD312=0,"",IF(F312="","",IF(SUMIFS(Indices_long!$C:$C,Indices_long!$A:$A,E312,Indices_long!$B:$B,F312)=0,"",SUMIFS(Indices_long!$C:$C,Indices_long!$A:$A,E312,Indices_long!$B:$B,F312))))</f>
        <v/>
      </c>
      <c r="H312" s="17">
        <f>IF(AD312=0,"",IF(Baux!$P$27="Base fixe",Baux!$N$27,IF(K311="Geler – rattrapage possible",H311,F311)))</f>
        <v/>
      </c>
      <c r="I312" s="25">
        <f>IF(AD312=0,"",IF(H312="","",IF(SUMIFS(Indices_long!$C:$C,Indices_long!$A:$A,E312,Indices_long!$B:$B,H312)=0,"",SUMIFS(Indices_long!$C:$C,Indices_long!$A:$A,E312,Indices_long!$B:$B,H312))))</f>
        <v/>
      </c>
      <c r="J312" s="26">
        <f>IF(OR(G312="",I312=""),"",G312/I312)</f>
        <v/>
      </c>
      <c r="K312" s="13" t="n"/>
      <c r="L312" s="27">
        <f>IF(AD312=0,"",IF(Baux!$P$27="Base fixe",Baux!$I$27,N311))</f>
        <v/>
      </c>
      <c r="M312" s="27">
        <f>IF(OR(J312="",L312=""),"",ROUND(L312*J312,2))</f>
        <v/>
      </c>
      <c r="N312" s="27">
        <f>IF(AD312=0,"",IF(LEFT(K312,5)="Geler",O312,IF(M312="","",IF(Baux!$Q$27="",M312,MIN(M312,ROUND(L312*(1+Baux!$Q$27/100)^IF(Baux!$P$27="Base fixe",C312*Baux!$O$27,VALUE(LEFT(F312,4))-VALUE(LEFT(H312,4))),2))))))</f>
        <v/>
      </c>
      <c r="O312" s="27">
        <f>IF(AD312=0,"",N311)</f>
        <v/>
      </c>
      <c r="P312" s="28">
        <f>IF(OR(N312="",O312=""),"",N312/O312-1)</f>
        <v/>
      </c>
      <c r="Q312" s="27">
        <f>IF(N312="","",N312/12)</f>
        <v/>
      </c>
      <c r="R312" s="27">
        <f>IF(N312="","",N312/IF(Baux!$L$27="Mensuelle",12,IF(Baux!$L$27="Trimestrielle",4,IF(Baux!$L$27="Semestrielle",2,1))))</f>
        <v/>
      </c>
      <c r="S312" s="27">
        <f>IF(AD312=0,"",IF(Baux!$J$27="",0,Baux!$J$27)/IF(Baux!$L$27="Mensuelle",12,IF(Baux!$L$27="Trimestrielle",4,IF(Baux!$L$27="Semestrielle",2,1))))</f>
        <v/>
      </c>
      <c r="T312" s="27">
        <f>IF(R312="","",(R312+S312)*Baux!$K$27/100)</f>
        <v/>
      </c>
      <c r="U312" s="27">
        <f>IF(R312="","",R312+S312+T312)</f>
        <v/>
      </c>
      <c r="V312" s="17">
        <f>IF(AD312=0,"",IF(LEFT(K312,5)="Geler","❄ Gelée",IF(G312="",IF(D312&lt;=TODAY(),"⚠ Indice attendu","À venir"),IF(D312&lt;=TODAY(),"✔ Calculable","Indice connu – à venir"))))</f>
        <v/>
      </c>
      <c r="W312" s="29" t="n"/>
      <c r="X312" s="13" t="n"/>
      <c r="Y312" s="14" t="n"/>
      <c r="Z312" s="14" t="n"/>
      <c r="AA312" s="13" t="n"/>
      <c r="AB312" s="17">
        <f>IF(A312="","",A312&amp;"#"&amp;C312)</f>
        <v/>
      </c>
      <c r="AC312" s="17">
        <f>IF(AND(AD312=1,D312&lt;=TODAY(),N312&lt;&gt;""),1,0)</f>
        <v/>
      </c>
      <c r="AD312" s="17">
        <f>IF(OR(A312="",D312=""),0,IF(AND(ISNUMBER(Baux!$H$27),D312&gt;Baux!$H$27),0,1))</f>
        <v/>
      </c>
    </row>
    <row r="313">
      <c r="A313" s="17">
        <f>IF(Baux!$A$27="","",Baux!$A$27)</f>
        <v/>
      </c>
      <c r="B313" s="17">
        <f>IF(A313="","",Baux!$B$27)</f>
        <v/>
      </c>
      <c r="C313" s="17" t="n">
        <v>12</v>
      </c>
      <c r="D313" s="15">
        <f>IF(OR(A313="",Baux!$F$27="",Baux!$O$27=""),"",EDATE(Baux!$F$27,12*Baux!$O$27*C313))</f>
        <v/>
      </c>
      <c r="E313" s="17">
        <f>IF(AD313=0,"",Baux!$M$27)</f>
        <v/>
      </c>
      <c r="F313" s="17">
        <f>IF(AD313=0,"",IFERROR(TEXT(VALUE(LEFT(Baux!$N$27,4))+C313*Baux!$O$27,"0")&amp;RIGHT(Baux!$N$27,3),""))</f>
        <v/>
      </c>
      <c r="G313" s="25">
        <f>IF(AD313=0,"",IF(F313="","",IF(SUMIFS(Indices_long!$C:$C,Indices_long!$A:$A,E313,Indices_long!$B:$B,F313)=0,"",SUMIFS(Indices_long!$C:$C,Indices_long!$A:$A,E313,Indices_long!$B:$B,F313))))</f>
        <v/>
      </c>
      <c r="H313" s="17">
        <f>IF(AD313=0,"",IF(Baux!$P$27="Base fixe",Baux!$N$27,IF(K312="Geler – rattrapage possible",H312,F312)))</f>
        <v/>
      </c>
      <c r="I313" s="25">
        <f>IF(AD313=0,"",IF(H313="","",IF(SUMIFS(Indices_long!$C:$C,Indices_long!$A:$A,E313,Indices_long!$B:$B,H313)=0,"",SUMIFS(Indices_long!$C:$C,Indices_long!$A:$A,E313,Indices_long!$B:$B,H313))))</f>
        <v/>
      </c>
      <c r="J313" s="26">
        <f>IF(OR(G313="",I313=""),"",G313/I313)</f>
        <v/>
      </c>
      <c r="K313" s="13" t="n"/>
      <c r="L313" s="27">
        <f>IF(AD313=0,"",IF(Baux!$P$27="Base fixe",Baux!$I$27,N312))</f>
        <v/>
      </c>
      <c r="M313" s="27">
        <f>IF(OR(J313="",L313=""),"",ROUND(L313*J313,2))</f>
        <v/>
      </c>
      <c r="N313" s="27">
        <f>IF(AD313=0,"",IF(LEFT(K313,5)="Geler",O313,IF(M313="","",IF(Baux!$Q$27="",M313,MIN(M313,ROUND(L313*(1+Baux!$Q$27/100)^IF(Baux!$P$27="Base fixe",C313*Baux!$O$27,VALUE(LEFT(F313,4))-VALUE(LEFT(H313,4))),2))))))</f>
        <v/>
      </c>
      <c r="O313" s="27">
        <f>IF(AD313=0,"",N312)</f>
        <v/>
      </c>
      <c r="P313" s="28">
        <f>IF(OR(N313="",O313=""),"",N313/O313-1)</f>
        <v/>
      </c>
      <c r="Q313" s="27">
        <f>IF(N313="","",N313/12)</f>
        <v/>
      </c>
      <c r="R313" s="27">
        <f>IF(N313="","",N313/IF(Baux!$L$27="Mensuelle",12,IF(Baux!$L$27="Trimestrielle",4,IF(Baux!$L$27="Semestrielle",2,1))))</f>
        <v/>
      </c>
      <c r="S313" s="27">
        <f>IF(AD313=0,"",IF(Baux!$J$27="",0,Baux!$J$27)/IF(Baux!$L$27="Mensuelle",12,IF(Baux!$L$27="Trimestrielle",4,IF(Baux!$L$27="Semestrielle",2,1))))</f>
        <v/>
      </c>
      <c r="T313" s="27">
        <f>IF(R313="","",(R313+S313)*Baux!$K$27/100)</f>
        <v/>
      </c>
      <c r="U313" s="27">
        <f>IF(R313="","",R313+S313+T313)</f>
        <v/>
      </c>
      <c r="V313" s="17">
        <f>IF(AD313=0,"",IF(LEFT(K313,5)="Geler","❄ Gelée",IF(G313="",IF(D313&lt;=TODAY(),"⚠ Indice attendu","À venir"),IF(D313&lt;=TODAY(),"✔ Calculable","Indice connu – à venir"))))</f>
        <v/>
      </c>
      <c r="W313" s="29" t="n"/>
      <c r="X313" s="13" t="n"/>
      <c r="Y313" s="14" t="n"/>
      <c r="Z313" s="14" t="n"/>
      <c r="AA313" s="13" t="n"/>
      <c r="AB313" s="17">
        <f>IF(A313="","",A313&amp;"#"&amp;C313)</f>
        <v/>
      </c>
      <c r="AC313" s="17">
        <f>IF(AND(AD313=1,D313&lt;=TODAY(),N313&lt;&gt;""),1,0)</f>
        <v/>
      </c>
      <c r="AD313" s="17">
        <f>IF(OR(A313="",D313=""),0,IF(AND(ISNUMBER(Baux!$H$27),D313&gt;Baux!$H$27),0,1))</f>
        <v/>
      </c>
    </row>
    <row r="314">
      <c r="A314" s="17">
        <f>IF(Baux!$A$28="","",Baux!$A$28)</f>
        <v/>
      </c>
      <c r="B314" s="17">
        <f>IF(A314="","",Baux!$B$28)</f>
        <v/>
      </c>
      <c r="C314" s="17" t="n">
        <v>1</v>
      </c>
      <c r="D314" s="15">
        <f>IF(OR(A314="",Baux!$F$28="",Baux!$O$28=""),"",EDATE(Baux!$F$28,12*Baux!$O$28*C314))</f>
        <v/>
      </c>
      <c r="E314" s="17">
        <f>IF(AD314=0,"",Baux!$M$28)</f>
        <v/>
      </c>
      <c r="F314" s="17">
        <f>IF(AD314=0,"",IFERROR(TEXT(VALUE(LEFT(Baux!$N$28,4))+C314*Baux!$O$28,"0")&amp;RIGHT(Baux!$N$28,3),""))</f>
        <v/>
      </c>
      <c r="G314" s="25">
        <f>IF(AD314=0,"",IF(F314="","",IF(SUMIFS(Indices_long!$C:$C,Indices_long!$A:$A,E314,Indices_long!$B:$B,F314)=0,"",SUMIFS(Indices_long!$C:$C,Indices_long!$A:$A,E314,Indices_long!$B:$B,F314))))</f>
        <v/>
      </c>
      <c r="H314" s="17">
        <f>IF(AD314=0,"",Baux!$N$28)</f>
        <v/>
      </c>
      <c r="I314" s="25">
        <f>IF(AD314=0,"",IF(H314="","",IF(SUMIFS(Indices_long!$C:$C,Indices_long!$A:$A,E314,Indices_long!$B:$B,H314)=0,"",SUMIFS(Indices_long!$C:$C,Indices_long!$A:$A,E314,Indices_long!$B:$B,H314))))</f>
        <v/>
      </c>
      <c r="J314" s="26">
        <f>IF(OR(G314="",I314=""),"",G314/I314)</f>
        <v/>
      </c>
      <c r="K314" s="13" t="n"/>
      <c r="L314" s="27">
        <f>IF(AD314=0,"",Baux!$I$28)</f>
        <v/>
      </c>
      <c r="M314" s="27">
        <f>IF(OR(J314="",L314=""),"",ROUND(L314*J314,2))</f>
        <v/>
      </c>
      <c r="N314" s="27">
        <f>IF(AD314=0,"",IF(LEFT(K314,5)="Geler",O314,IF(M314="","",IF(Baux!$Q$28="",M314,MIN(M314,ROUND(L314*(1+Baux!$Q$28/100)^IF(Baux!$P$28="Base fixe",C314*Baux!$O$28,VALUE(LEFT(F314,4))-VALUE(LEFT(H314,4))),2))))))</f>
        <v/>
      </c>
      <c r="O314" s="27">
        <f>IF(AD314=0,"",Baux!$I$28)</f>
        <v/>
      </c>
      <c r="P314" s="28">
        <f>IF(OR(N314="",O314=""),"",N314/O314-1)</f>
        <v/>
      </c>
      <c r="Q314" s="27">
        <f>IF(N314="","",N314/12)</f>
        <v/>
      </c>
      <c r="R314" s="27">
        <f>IF(N314="","",N314/IF(Baux!$L$28="Mensuelle",12,IF(Baux!$L$28="Trimestrielle",4,IF(Baux!$L$28="Semestrielle",2,1))))</f>
        <v/>
      </c>
      <c r="S314" s="27">
        <f>IF(AD314=0,"",IF(Baux!$J$28="",0,Baux!$J$28)/IF(Baux!$L$28="Mensuelle",12,IF(Baux!$L$28="Trimestrielle",4,IF(Baux!$L$28="Semestrielle",2,1))))</f>
        <v/>
      </c>
      <c r="T314" s="27">
        <f>IF(R314="","",(R314+S314)*Baux!$K$28/100)</f>
        <v/>
      </c>
      <c r="U314" s="27">
        <f>IF(R314="","",R314+S314+T314)</f>
        <v/>
      </c>
      <c r="V314" s="17">
        <f>IF(AD314=0,"",IF(LEFT(K314,5)="Geler","❄ Gelée",IF(G314="",IF(D314&lt;=TODAY(),"⚠ Indice attendu","À venir"),IF(D314&lt;=TODAY(),"✔ Calculable","Indice connu – à venir"))))</f>
        <v/>
      </c>
      <c r="W314" s="29" t="n"/>
      <c r="X314" s="13" t="n"/>
      <c r="Y314" s="14" t="n"/>
      <c r="Z314" s="14" t="n"/>
      <c r="AA314" s="13" t="n"/>
      <c r="AB314" s="17">
        <f>IF(A314="","",A314&amp;"#"&amp;C314)</f>
        <v/>
      </c>
      <c r="AC314" s="17">
        <f>IF(AND(AD314=1,D314&lt;=TODAY(),N314&lt;&gt;""),1,0)</f>
        <v/>
      </c>
      <c r="AD314" s="17">
        <f>IF(OR(A314="",D314=""),0,IF(AND(ISNUMBER(Baux!$H$28),D314&gt;Baux!$H$28),0,1))</f>
        <v/>
      </c>
    </row>
    <row r="315">
      <c r="A315" s="17">
        <f>IF(Baux!$A$28="","",Baux!$A$28)</f>
        <v/>
      </c>
      <c r="B315" s="17">
        <f>IF(A315="","",Baux!$B$28)</f>
        <v/>
      </c>
      <c r="C315" s="17" t="n">
        <v>2</v>
      </c>
      <c r="D315" s="15">
        <f>IF(OR(A315="",Baux!$F$28="",Baux!$O$28=""),"",EDATE(Baux!$F$28,12*Baux!$O$28*C315))</f>
        <v/>
      </c>
      <c r="E315" s="17">
        <f>IF(AD315=0,"",Baux!$M$28)</f>
        <v/>
      </c>
      <c r="F315" s="17">
        <f>IF(AD315=0,"",IFERROR(TEXT(VALUE(LEFT(Baux!$N$28,4))+C315*Baux!$O$28,"0")&amp;RIGHT(Baux!$N$28,3),""))</f>
        <v/>
      </c>
      <c r="G315" s="25">
        <f>IF(AD315=0,"",IF(F315="","",IF(SUMIFS(Indices_long!$C:$C,Indices_long!$A:$A,E315,Indices_long!$B:$B,F315)=0,"",SUMIFS(Indices_long!$C:$C,Indices_long!$A:$A,E315,Indices_long!$B:$B,F315))))</f>
        <v/>
      </c>
      <c r="H315" s="17">
        <f>IF(AD315=0,"",IF(Baux!$P$28="Base fixe",Baux!$N$28,IF(K314="Geler – rattrapage possible",H314,F314)))</f>
        <v/>
      </c>
      <c r="I315" s="25">
        <f>IF(AD315=0,"",IF(H315="","",IF(SUMIFS(Indices_long!$C:$C,Indices_long!$A:$A,E315,Indices_long!$B:$B,H315)=0,"",SUMIFS(Indices_long!$C:$C,Indices_long!$A:$A,E315,Indices_long!$B:$B,H315))))</f>
        <v/>
      </c>
      <c r="J315" s="26">
        <f>IF(OR(G315="",I315=""),"",G315/I315)</f>
        <v/>
      </c>
      <c r="K315" s="13" t="n"/>
      <c r="L315" s="27">
        <f>IF(AD315=0,"",IF(Baux!$P$28="Base fixe",Baux!$I$28,N314))</f>
        <v/>
      </c>
      <c r="M315" s="27">
        <f>IF(OR(J315="",L315=""),"",ROUND(L315*J315,2))</f>
        <v/>
      </c>
      <c r="N315" s="27">
        <f>IF(AD315=0,"",IF(LEFT(K315,5)="Geler",O315,IF(M315="","",IF(Baux!$Q$28="",M315,MIN(M315,ROUND(L315*(1+Baux!$Q$28/100)^IF(Baux!$P$28="Base fixe",C315*Baux!$O$28,VALUE(LEFT(F315,4))-VALUE(LEFT(H315,4))),2))))))</f>
        <v/>
      </c>
      <c r="O315" s="27">
        <f>IF(AD315=0,"",N314)</f>
        <v/>
      </c>
      <c r="P315" s="28">
        <f>IF(OR(N315="",O315=""),"",N315/O315-1)</f>
        <v/>
      </c>
      <c r="Q315" s="27">
        <f>IF(N315="","",N315/12)</f>
        <v/>
      </c>
      <c r="R315" s="27">
        <f>IF(N315="","",N315/IF(Baux!$L$28="Mensuelle",12,IF(Baux!$L$28="Trimestrielle",4,IF(Baux!$L$28="Semestrielle",2,1))))</f>
        <v/>
      </c>
      <c r="S315" s="27">
        <f>IF(AD315=0,"",IF(Baux!$J$28="",0,Baux!$J$28)/IF(Baux!$L$28="Mensuelle",12,IF(Baux!$L$28="Trimestrielle",4,IF(Baux!$L$28="Semestrielle",2,1))))</f>
        <v/>
      </c>
      <c r="T315" s="27">
        <f>IF(R315="","",(R315+S315)*Baux!$K$28/100)</f>
        <v/>
      </c>
      <c r="U315" s="27">
        <f>IF(R315="","",R315+S315+T315)</f>
        <v/>
      </c>
      <c r="V315" s="17">
        <f>IF(AD315=0,"",IF(LEFT(K315,5)="Geler","❄ Gelée",IF(G315="",IF(D315&lt;=TODAY(),"⚠ Indice attendu","À venir"),IF(D315&lt;=TODAY(),"✔ Calculable","Indice connu – à venir"))))</f>
        <v/>
      </c>
      <c r="W315" s="29" t="n"/>
      <c r="X315" s="13" t="n"/>
      <c r="Y315" s="14" t="n"/>
      <c r="Z315" s="14" t="n"/>
      <c r="AA315" s="13" t="n"/>
      <c r="AB315" s="17">
        <f>IF(A315="","",A315&amp;"#"&amp;C315)</f>
        <v/>
      </c>
      <c r="AC315" s="17">
        <f>IF(AND(AD315=1,D315&lt;=TODAY(),N315&lt;&gt;""),1,0)</f>
        <v/>
      </c>
      <c r="AD315" s="17">
        <f>IF(OR(A315="",D315=""),0,IF(AND(ISNUMBER(Baux!$H$28),D315&gt;Baux!$H$28),0,1))</f>
        <v/>
      </c>
    </row>
    <row r="316">
      <c r="A316" s="17">
        <f>IF(Baux!$A$28="","",Baux!$A$28)</f>
        <v/>
      </c>
      <c r="B316" s="17">
        <f>IF(A316="","",Baux!$B$28)</f>
        <v/>
      </c>
      <c r="C316" s="17" t="n">
        <v>3</v>
      </c>
      <c r="D316" s="15">
        <f>IF(OR(A316="",Baux!$F$28="",Baux!$O$28=""),"",EDATE(Baux!$F$28,12*Baux!$O$28*C316))</f>
        <v/>
      </c>
      <c r="E316" s="17">
        <f>IF(AD316=0,"",Baux!$M$28)</f>
        <v/>
      </c>
      <c r="F316" s="17">
        <f>IF(AD316=0,"",IFERROR(TEXT(VALUE(LEFT(Baux!$N$28,4))+C316*Baux!$O$28,"0")&amp;RIGHT(Baux!$N$28,3),""))</f>
        <v/>
      </c>
      <c r="G316" s="25">
        <f>IF(AD316=0,"",IF(F316="","",IF(SUMIFS(Indices_long!$C:$C,Indices_long!$A:$A,E316,Indices_long!$B:$B,F316)=0,"",SUMIFS(Indices_long!$C:$C,Indices_long!$A:$A,E316,Indices_long!$B:$B,F316))))</f>
        <v/>
      </c>
      <c r="H316" s="17">
        <f>IF(AD316=0,"",IF(Baux!$P$28="Base fixe",Baux!$N$28,IF(K315="Geler – rattrapage possible",H315,F315)))</f>
        <v/>
      </c>
      <c r="I316" s="25">
        <f>IF(AD316=0,"",IF(H316="","",IF(SUMIFS(Indices_long!$C:$C,Indices_long!$A:$A,E316,Indices_long!$B:$B,H316)=0,"",SUMIFS(Indices_long!$C:$C,Indices_long!$A:$A,E316,Indices_long!$B:$B,H316))))</f>
        <v/>
      </c>
      <c r="J316" s="26">
        <f>IF(OR(G316="",I316=""),"",G316/I316)</f>
        <v/>
      </c>
      <c r="K316" s="13" t="n"/>
      <c r="L316" s="27">
        <f>IF(AD316=0,"",IF(Baux!$P$28="Base fixe",Baux!$I$28,N315))</f>
        <v/>
      </c>
      <c r="M316" s="27">
        <f>IF(OR(J316="",L316=""),"",ROUND(L316*J316,2))</f>
        <v/>
      </c>
      <c r="N316" s="27">
        <f>IF(AD316=0,"",IF(LEFT(K316,5)="Geler",O316,IF(M316="","",IF(Baux!$Q$28="",M316,MIN(M316,ROUND(L316*(1+Baux!$Q$28/100)^IF(Baux!$P$28="Base fixe",C316*Baux!$O$28,VALUE(LEFT(F316,4))-VALUE(LEFT(H316,4))),2))))))</f>
        <v/>
      </c>
      <c r="O316" s="27">
        <f>IF(AD316=0,"",N315)</f>
        <v/>
      </c>
      <c r="P316" s="28">
        <f>IF(OR(N316="",O316=""),"",N316/O316-1)</f>
        <v/>
      </c>
      <c r="Q316" s="27">
        <f>IF(N316="","",N316/12)</f>
        <v/>
      </c>
      <c r="R316" s="27">
        <f>IF(N316="","",N316/IF(Baux!$L$28="Mensuelle",12,IF(Baux!$L$28="Trimestrielle",4,IF(Baux!$L$28="Semestrielle",2,1))))</f>
        <v/>
      </c>
      <c r="S316" s="27">
        <f>IF(AD316=0,"",IF(Baux!$J$28="",0,Baux!$J$28)/IF(Baux!$L$28="Mensuelle",12,IF(Baux!$L$28="Trimestrielle",4,IF(Baux!$L$28="Semestrielle",2,1))))</f>
        <v/>
      </c>
      <c r="T316" s="27">
        <f>IF(R316="","",(R316+S316)*Baux!$K$28/100)</f>
        <v/>
      </c>
      <c r="U316" s="27">
        <f>IF(R316="","",R316+S316+T316)</f>
        <v/>
      </c>
      <c r="V316" s="17">
        <f>IF(AD316=0,"",IF(LEFT(K316,5)="Geler","❄ Gelée",IF(G316="",IF(D316&lt;=TODAY(),"⚠ Indice attendu","À venir"),IF(D316&lt;=TODAY(),"✔ Calculable","Indice connu – à venir"))))</f>
        <v/>
      </c>
      <c r="W316" s="29" t="n"/>
      <c r="X316" s="13" t="n"/>
      <c r="Y316" s="14" t="n"/>
      <c r="Z316" s="14" t="n"/>
      <c r="AA316" s="13" t="n"/>
      <c r="AB316" s="17">
        <f>IF(A316="","",A316&amp;"#"&amp;C316)</f>
        <v/>
      </c>
      <c r="AC316" s="17">
        <f>IF(AND(AD316=1,D316&lt;=TODAY(),N316&lt;&gt;""),1,0)</f>
        <v/>
      </c>
      <c r="AD316" s="17">
        <f>IF(OR(A316="",D316=""),0,IF(AND(ISNUMBER(Baux!$H$28),D316&gt;Baux!$H$28),0,1))</f>
        <v/>
      </c>
    </row>
    <row r="317">
      <c r="A317" s="17">
        <f>IF(Baux!$A$28="","",Baux!$A$28)</f>
        <v/>
      </c>
      <c r="B317" s="17">
        <f>IF(A317="","",Baux!$B$28)</f>
        <v/>
      </c>
      <c r="C317" s="17" t="n">
        <v>4</v>
      </c>
      <c r="D317" s="15">
        <f>IF(OR(A317="",Baux!$F$28="",Baux!$O$28=""),"",EDATE(Baux!$F$28,12*Baux!$O$28*C317))</f>
        <v/>
      </c>
      <c r="E317" s="17">
        <f>IF(AD317=0,"",Baux!$M$28)</f>
        <v/>
      </c>
      <c r="F317" s="17">
        <f>IF(AD317=0,"",IFERROR(TEXT(VALUE(LEFT(Baux!$N$28,4))+C317*Baux!$O$28,"0")&amp;RIGHT(Baux!$N$28,3),""))</f>
        <v/>
      </c>
      <c r="G317" s="25">
        <f>IF(AD317=0,"",IF(F317="","",IF(SUMIFS(Indices_long!$C:$C,Indices_long!$A:$A,E317,Indices_long!$B:$B,F317)=0,"",SUMIFS(Indices_long!$C:$C,Indices_long!$A:$A,E317,Indices_long!$B:$B,F317))))</f>
        <v/>
      </c>
      <c r="H317" s="17">
        <f>IF(AD317=0,"",IF(Baux!$P$28="Base fixe",Baux!$N$28,IF(K316="Geler – rattrapage possible",H316,F316)))</f>
        <v/>
      </c>
      <c r="I317" s="25">
        <f>IF(AD317=0,"",IF(H317="","",IF(SUMIFS(Indices_long!$C:$C,Indices_long!$A:$A,E317,Indices_long!$B:$B,H317)=0,"",SUMIFS(Indices_long!$C:$C,Indices_long!$A:$A,E317,Indices_long!$B:$B,H317))))</f>
        <v/>
      </c>
      <c r="J317" s="26">
        <f>IF(OR(G317="",I317=""),"",G317/I317)</f>
        <v/>
      </c>
      <c r="K317" s="13" t="n"/>
      <c r="L317" s="27">
        <f>IF(AD317=0,"",IF(Baux!$P$28="Base fixe",Baux!$I$28,N316))</f>
        <v/>
      </c>
      <c r="M317" s="27">
        <f>IF(OR(J317="",L317=""),"",ROUND(L317*J317,2))</f>
        <v/>
      </c>
      <c r="N317" s="27">
        <f>IF(AD317=0,"",IF(LEFT(K317,5)="Geler",O317,IF(M317="","",IF(Baux!$Q$28="",M317,MIN(M317,ROUND(L317*(1+Baux!$Q$28/100)^IF(Baux!$P$28="Base fixe",C317*Baux!$O$28,VALUE(LEFT(F317,4))-VALUE(LEFT(H317,4))),2))))))</f>
        <v/>
      </c>
      <c r="O317" s="27">
        <f>IF(AD317=0,"",N316)</f>
        <v/>
      </c>
      <c r="P317" s="28">
        <f>IF(OR(N317="",O317=""),"",N317/O317-1)</f>
        <v/>
      </c>
      <c r="Q317" s="27">
        <f>IF(N317="","",N317/12)</f>
        <v/>
      </c>
      <c r="R317" s="27">
        <f>IF(N317="","",N317/IF(Baux!$L$28="Mensuelle",12,IF(Baux!$L$28="Trimestrielle",4,IF(Baux!$L$28="Semestrielle",2,1))))</f>
        <v/>
      </c>
      <c r="S317" s="27">
        <f>IF(AD317=0,"",IF(Baux!$J$28="",0,Baux!$J$28)/IF(Baux!$L$28="Mensuelle",12,IF(Baux!$L$28="Trimestrielle",4,IF(Baux!$L$28="Semestrielle",2,1))))</f>
        <v/>
      </c>
      <c r="T317" s="27">
        <f>IF(R317="","",(R317+S317)*Baux!$K$28/100)</f>
        <v/>
      </c>
      <c r="U317" s="27">
        <f>IF(R317="","",R317+S317+T317)</f>
        <v/>
      </c>
      <c r="V317" s="17">
        <f>IF(AD317=0,"",IF(LEFT(K317,5)="Geler","❄ Gelée",IF(G317="",IF(D317&lt;=TODAY(),"⚠ Indice attendu","À venir"),IF(D317&lt;=TODAY(),"✔ Calculable","Indice connu – à venir"))))</f>
        <v/>
      </c>
      <c r="W317" s="29" t="n"/>
      <c r="X317" s="13" t="n"/>
      <c r="Y317" s="14" t="n"/>
      <c r="Z317" s="14" t="n"/>
      <c r="AA317" s="13" t="n"/>
      <c r="AB317" s="17">
        <f>IF(A317="","",A317&amp;"#"&amp;C317)</f>
        <v/>
      </c>
      <c r="AC317" s="17">
        <f>IF(AND(AD317=1,D317&lt;=TODAY(),N317&lt;&gt;""),1,0)</f>
        <v/>
      </c>
      <c r="AD317" s="17">
        <f>IF(OR(A317="",D317=""),0,IF(AND(ISNUMBER(Baux!$H$28),D317&gt;Baux!$H$28),0,1))</f>
        <v/>
      </c>
    </row>
    <row r="318">
      <c r="A318" s="17">
        <f>IF(Baux!$A$28="","",Baux!$A$28)</f>
        <v/>
      </c>
      <c r="B318" s="17">
        <f>IF(A318="","",Baux!$B$28)</f>
        <v/>
      </c>
      <c r="C318" s="17" t="n">
        <v>5</v>
      </c>
      <c r="D318" s="15">
        <f>IF(OR(A318="",Baux!$F$28="",Baux!$O$28=""),"",EDATE(Baux!$F$28,12*Baux!$O$28*C318))</f>
        <v/>
      </c>
      <c r="E318" s="17">
        <f>IF(AD318=0,"",Baux!$M$28)</f>
        <v/>
      </c>
      <c r="F318" s="17">
        <f>IF(AD318=0,"",IFERROR(TEXT(VALUE(LEFT(Baux!$N$28,4))+C318*Baux!$O$28,"0")&amp;RIGHT(Baux!$N$28,3),""))</f>
        <v/>
      </c>
      <c r="G318" s="25">
        <f>IF(AD318=0,"",IF(F318="","",IF(SUMIFS(Indices_long!$C:$C,Indices_long!$A:$A,E318,Indices_long!$B:$B,F318)=0,"",SUMIFS(Indices_long!$C:$C,Indices_long!$A:$A,E318,Indices_long!$B:$B,F318))))</f>
        <v/>
      </c>
      <c r="H318" s="17">
        <f>IF(AD318=0,"",IF(Baux!$P$28="Base fixe",Baux!$N$28,IF(K317="Geler – rattrapage possible",H317,F317)))</f>
        <v/>
      </c>
      <c r="I318" s="25">
        <f>IF(AD318=0,"",IF(H318="","",IF(SUMIFS(Indices_long!$C:$C,Indices_long!$A:$A,E318,Indices_long!$B:$B,H318)=0,"",SUMIFS(Indices_long!$C:$C,Indices_long!$A:$A,E318,Indices_long!$B:$B,H318))))</f>
        <v/>
      </c>
      <c r="J318" s="26">
        <f>IF(OR(G318="",I318=""),"",G318/I318)</f>
        <v/>
      </c>
      <c r="K318" s="13" t="n"/>
      <c r="L318" s="27">
        <f>IF(AD318=0,"",IF(Baux!$P$28="Base fixe",Baux!$I$28,N317))</f>
        <v/>
      </c>
      <c r="M318" s="27">
        <f>IF(OR(J318="",L318=""),"",ROUND(L318*J318,2))</f>
        <v/>
      </c>
      <c r="N318" s="27">
        <f>IF(AD318=0,"",IF(LEFT(K318,5)="Geler",O318,IF(M318="","",IF(Baux!$Q$28="",M318,MIN(M318,ROUND(L318*(1+Baux!$Q$28/100)^IF(Baux!$P$28="Base fixe",C318*Baux!$O$28,VALUE(LEFT(F318,4))-VALUE(LEFT(H318,4))),2))))))</f>
        <v/>
      </c>
      <c r="O318" s="27">
        <f>IF(AD318=0,"",N317)</f>
        <v/>
      </c>
      <c r="P318" s="28">
        <f>IF(OR(N318="",O318=""),"",N318/O318-1)</f>
        <v/>
      </c>
      <c r="Q318" s="27">
        <f>IF(N318="","",N318/12)</f>
        <v/>
      </c>
      <c r="R318" s="27">
        <f>IF(N318="","",N318/IF(Baux!$L$28="Mensuelle",12,IF(Baux!$L$28="Trimestrielle",4,IF(Baux!$L$28="Semestrielle",2,1))))</f>
        <v/>
      </c>
      <c r="S318" s="27">
        <f>IF(AD318=0,"",IF(Baux!$J$28="",0,Baux!$J$28)/IF(Baux!$L$28="Mensuelle",12,IF(Baux!$L$28="Trimestrielle",4,IF(Baux!$L$28="Semestrielle",2,1))))</f>
        <v/>
      </c>
      <c r="T318" s="27">
        <f>IF(R318="","",(R318+S318)*Baux!$K$28/100)</f>
        <v/>
      </c>
      <c r="U318" s="27">
        <f>IF(R318="","",R318+S318+T318)</f>
        <v/>
      </c>
      <c r="V318" s="17">
        <f>IF(AD318=0,"",IF(LEFT(K318,5)="Geler","❄ Gelée",IF(G318="",IF(D318&lt;=TODAY(),"⚠ Indice attendu","À venir"),IF(D318&lt;=TODAY(),"✔ Calculable","Indice connu – à venir"))))</f>
        <v/>
      </c>
      <c r="W318" s="29" t="n"/>
      <c r="X318" s="13" t="n"/>
      <c r="Y318" s="14" t="n"/>
      <c r="Z318" s="14" t="n"/>
      <c r="AA318" s="13" t="n"/>
      <c r="AB318" s="17">
        <f>IF(A318="","",A318&amp;"#"&amp;C318)</f>
        <v/>
      </c>
      <c r="AC318" s="17">
        <f>IF(AND(AD318=1,D318&lt;=TODAY(),N318&lt;&gt;""),1,0)</f>
        <v/>
      </c>
      <c r="AD318" s="17">
        <f>IF(OR(A318="",D318=""),0,IF(AND(ISNUMBER(Baux!$H$28),D318&gt;Baux!$H$28),0,1))</f>
        <v/>
      </c>
    </row>
    <row r="319">
      <c r="A319" s="17">
        <f>IF(Baux!$A$28="","",Baux!$A$28)</f>
        <v/>
      </c>
      <c r="B319" s="17">
        <f>IF(A319="","",Baux!$B$28)</f>
        <v/>
      </c>
      <c r="C319" s="17" t="n">
        <v>6</v>
      </c>
      <c r="D319" s="15">
        <f>IF(OR(A319="",Baux!$F$28="",Baux!$O$28=""),"",EDATE(Baux!$F$28,12*Baux!$O$28*C319))</f>
        <v/>
      </c>
      <c r="E319" s="17">
        <f>IF(AD319=0,"",Baux!$M$28)</f>
        <v/>
      </c>
      <c r="F319" s="17">
        <f>IF(AD319=0,"",IFERROR(TEXT(VALUE(LEFT(Baux!$N$28,4))+C319*Baux!$O$28,"0")&amp;RIGHT(Baux!$N$28,3),""))</f>
        <v/>
      </c>
      <c r="G319" s="25">
        <f>IF(AD319=0,"",IF(F319="","",IF(SUMIFS(Indices_long!$C:$C,Indices_long!$A:$A,E319,Indices_long!$B:$B,F319)=0,"",SUMIFS(Indices_long!$C:$C,Indices_long!$A:$A,E319,Indices_long!$B:$B,F319))))</f>
        <v/>
      </c>
      <c r="H319" s="17">
        <f>IF(AD319=0,"",IF(Baux!$P$28="Base fixe",Baux!$N$28,IF(K318="Geler – rattrapage possible",H318,F318)))</f>
        <v/>
      </c>
      <c r="I319" s="25">
        <f>IF(AD319=0,"",IF(H319="","",IF(SUMIFS(Indices_long!$C:$C,Indices_long!$A:$A,E319,Indices_long!$B:$B,H319)=0,"",SUMIFS(Indices_long!$C:$C,Indices_long!$A:$A,E319,Indices_long!$B:$B,H319))))</f>
        <v/>
      </c>
      <c r="J319" s="26">
        <f>IF(OR(G319="",I319=""),"",G319/I319)</f>
        <v/>
      </c>
      <c r="K319" s="13" t="n"/>
      <c r="L319" s="27">
        <f>IF(AD319=0,"",IF(Baux!$P$28="Base fixe",Baux!$I$28,N318))</f>
        <v/>
      </c>
      <c r="M319" s="27">
        <f>IF(OR(J319="",L319=""),"",ROUND(L319*J319,2))</f>
        <v/>
      </c>
      <c r="N319" s="27">
        <f>IF(AD319=0,"",IF(LEFT(K319,5)="Geler",O319,IF(M319="","",IF(Baux!$Q$28="",M319,MIN(M319,ROUND(L319*(1+Baux!$Q$28/100)^IF(Baux!$P$28="Base fixe",C319*Baux!$O$28,VALUE(LEFT(F319,4))-VALUE(LEFT(H319,4))),2))))))</f>
        <v/>
      </c>
      <c r="O319" s="27">
        <f>IF(AD319=0,"",N318)</f>
        <v/>
      </c>
      <c r="P319" s="28">
        <f>IF(OR(N319="",O319=""),"",N319/O319-1)</f>
        <v/>
      </c>
      <c r="Q319" s="27">
        <f>IF(N319="","",N319/12)</f>
        <v/>
      </c>
      <c r="R319" s="27">
        <f>IF(N319="","",N319/IF(Baux!$L$28="Mensuelle",12,IF(Baux!$L$28="Trimestrielle",4,IF(Baux!$L$28="Semestrielle",2,1))))</f>
        <v/>
      </c>
      <c r="S319" s="27">
        <f>IF(AD319=0,"",IF(Baux!$J$28="",0,Baux!$J$28)/IF(Baux!$L$28="Mensuelle",12,IF(Baux!$L$28="Trimestrielle",4,IF(Baux!$L$28="Semestrielle",2,1))))</f>
        <v/>
      </c>
      <c r="T319" s="27">
        <f>IF(R319="","",(R319+S319)*Baux!$K$28/100)</f>
        <v/>
      </c>
      <c r="U319" s="27">
        <f>IF(R319="","",R319+S319+T319)</f>
        <v/>
      </c>
      <c r="V319" s="17">
        <f>IF(AD319=0,"",IF(LEFT(K319,5)="Geler","❄ Gelée",IF(G319="",IF(D319&lt;=TODAY(),"⚠ Indice attendu","À venir"),IF(D319&lt;=TODAY(),"✔ Calculable","Indice connu – à venir"))))</f>
        <v/>
      </c>
      <c r="W319" s="29" t="n"/>
      <c r="X319" s="13" t="n"/>
      <c r="Y319" s="14" t="n"/>
      <c r="Z319" s="14" t="n"/>
      <c r="AA319" s="13" t="n"/>
      <c r="AB319" s="17">
        <f>IF(A319="","",A319&amp;"#"&amp;C319)</f>
        <v/>
      </c>
      <c r="AC319" s="17">
        <f>IF(AND(AD319=1,D319&lt;=TODAY(),N319&lt;&gt;""),1,0)</f>
        <v/>
      </c>
      <c r="AD319" s="17">
        <f>IF(OR(A319="",D319=""),0,IF(AND(ISNUMBER(Baux!$H$28),D319&gt;Baux!$H$28),0,1))</f>
        <v/>
      </c>
    </row>
    <row r="320">
      <c r="A320" s="17">
        <f>IF(Baux!$A$28="","",Baux!$A$28)</f>
        <v/>
      </c>
      <c r="B320" s="17">
        <f>IF(A320="","",Baux!$B$28)</f>
        <v/>
      </c>
      <c r="C320" s="17" t="n">
        <v>7</v>
      </c>
      <c r="D320" s="15">
        <f>IF(OR(A320="",Baux!$F$28="",Baux!$O$28=""),"",EDATE(Baux!$F$28,12*Baux!$O$28*C320))</f>
        <v/>
      </c>
      <c r="E320" s="17">
        <f>IF(AD320=0,"",Baux!$M$28)</f>
        <v/>
      </c>
      <c r="F320" s="17">
        <f>IF(AD320=0,"",IFERROR(TEXT(VALUE(LEFT(Baux!$N$28,4))+C320*Baux!$O$28,"0")&amp;RIGHT(Baux!$N$28,3),""))</f>
        <v/>
      </c>
      <c r="G320" s="25">
        <f>IF(AD320=0,"",IF(F320="","",IF(SUMIFS(Indices_long!$C:$C,Indices_long!$A:$A,E320,Indices_long!$B:$B,F320)=0,"",SUMIFS(Indices_long!$C:$C,Indices_long!$A:$A,E320,Indices_long!$B:$B,F320))))</f>
        <v/>
      </c>
      <c r="H320" s="17">
        <f>IF(AD320=0,"",IF(Baux!$P$28="Base fixe",Baux!$N$28,IF(K319="Geler – rattrapage possible",H319,F319)))</f>
        <v/>
      </c>
      <c r="I320" s="25">
        <f>IF(AD320=0,"",IF(H320="","",IF(SUMIFS(Indices_long!$C:$C,Indices_long!$A:$A,E320,Indices_long!$B:$B,H320)=0,"",SUMIFS(Indices_long!$C:$C,Indices_long!$A:$A,E320,Indices_long!$B:$B,H320))))</f>
        <v/>
      </c>
      <c r="J320" s="26">
        <f>IF(OR(G320="",I320=""),"",G320/I320)</f>
        <v/>
      </c>
      <c r="K320" s="13" t="n"/>
      <c r="L320" s="27">
        <f>IF(AD320=0,"",IF(Baux!$P$28="Base fixe",Baux!$I$28,N319))</f>
        <v/>
      </c>
      <c r="M320" s="27">
        <f>IF(OR(J320="",L320=""),"",ROUND(L320*J320,2))</f>
        <v/>
      </c>
      <c r="N320" s="27">
        <f>IF(AD320=0,"",IF(LEFT(K320,5)="Geler",O320,IF(M320="","",IF(Baux!$Q$28="",M320,MIN(M320,ROUND(L320*(1+Baux!$Q$28/100)^IF(Baux!$P$28="Base fixe",C320*Baux!$O$28,VALUE(LEFT(F320,4))-VALUE(LEFT(H320,4))),2))))))</f>
        <v/>
      </c>
      <c r="O320" s="27">
        <f>IF(AD320=0,"",N319)</f>
        <v/>
      </c>
      <c r="P320" s="28">
        <f>IF(OR(N320="",O320=""),"",N320/O320-1)</f>
        <v/>
      </c>
      <c r="Q320" s="27">
        <f>IF(N320="","",N320/12)</f>
        <v/>
      </c>
      <c r="R320" s="27">
        <f>IF(N320="","",N320/IF(Baux!$L$28="Mensuelle",12,IF(Baux!$L$28="Trimestrielle",4,IF(Baux!$L$28="Semestrielle",2,1))))</f>
        <v/>
      </c>
      <c r="S320" s="27">
        <f>IF(AD320=0,"",IF(Baux!$J$28="",0,Baux!$J$28)/IF(Baux!$L$28="Mensuelle",12,IF(Baux!$L$28="Trimestrielle",4,IF(Baux!$L$28="Semestrielle",2,1))))</f>
        <v/>
      </c>
      <c r="T320" s="27">
        <f>IF(R320="","",(R320+S320)*Baux!$K$28/100)</f>
        <v/>
      </c>
      <c r="U320" s="27">
        <f>IF(R320="","",R320+S320+T320)</f>
        <v/>
      </c>
      <c r="V320" s="17">
        <f>IF(AD320=0,"",IF(LEFT(K320,5)="Geler","❄ Gelée",IF(G320="",IF(D320&lt;=TODAY(),"⚠ Indice attendu","À venir"),IF(D320&lt;=TODAY(),"✔ Calculable","Indice connu – à venir"))))</f>
        <v/>
      </c>
      <c r="W320" s="29" t="n"/>
      <c r="X320" s="13" t="n"/>
      <c r="Y320" s="14" t="n"/>
      <c r="Z320" s="14" t="n"/>
      <c r="AA320" s="13" t="n"/>
      <c r="AB320" s="17">
        <f>IF(A320="","",A320&amp;"#"&amp;C320)</f>
        <v/>
      </c>
      <c r="AC320" s="17">
        <f>IF(AND(AD320=1,D320&lt;=TODAY(),N320&lt;&gt;""),1,0)</f>
        <v/>
      </c>
      <c r="AD320" s="17">
        <f>IF(OR(A320="",D320=""),0,IF(AND(ISNUMBER(Baux!$H$28),D320&gt;Baux!$H$28),0,1))</f>
        <v/>
      </c>
    </row>
    <row r="321">
      <c r="A321" s="17">
        <f>IF(Baux!$A$28="","",Baux!$A$28)</f>
        <v/>
      </c>
      <c r="B321" s="17">
        <f>IF(A321="","",Baux!$B$28)</f>
        <v/>
      </c>
      <c r="C321" s="17" t="n">
        <v>8</v>
      </c>
      <c r="D321" s="15">
        <f>IF(OR(A321="",Baux!$F$28="",Baux!$O$28=""),"",EDATE(Baux!$F$28,12*Baux!$O$28*C321))</f>
        <v/>
      </c>
      <c r="E321" s="17">
        <f>IF(AD321=0,"",Baux!$M$28)</f>
        <v/>
      </c>
      <c r="F321" s="17">
        <f>IF(AD321=0,"",IFERROR(TEXT(VALUE(LEFT(Baux!$N$28,4))+C321*Baux!$O$28,"0")&amp;RIGHT(Baux!$N$28,3),""))</f>
        <v/>
      </c>
      <c r="G321" s="25">
        <f>IF(AD321=0,"",IF(F321="","",IF(SUMIFS(Indices_long!$C:$C,Indices_long!$A:$A,E321,Indices_long!$B:$B,F321)=0,"",SUMIFS(Indices_long!$C:$C,Indices_long!$A:$A,E321,Indices_long!$B:$B,F321))))</f>
        <v/>
      </c>
      <c r="H321" s="17">
        <f>IF(AD321=0,"",IF(Baux!$P$28="Base fixe",Baux!$N$28,IF(K320="Geler – rattrapage possible",H320,F320)))</f>
        <v/>
      </c>
      <c r="I321" s="25">
        <f>IF(AD321=0,"",IF(H321="","",IF(SUMIFS(Indices_long!$C:$C,Indices_long!$A:$A,E321,Indices_long!$B:$B,H321)=0,"",SUMIFS(Indices_long!$C:$C,Indices_long!$A:$A,E321,Indices_long!$B:$B,H321))))</f>
        <v/>
      </c>
      <c r="J321" s="26">
        <f>IF(OR(G321="",I321=""),"",G321/I321)</f>
        <v/>
      </c>
      <c r="K321" s="13" t="n"/>
      <c r="L321" s="27">
        <f>IF(AD321=0,"",IF(Baux!$P$28="Base fixe",Baux!$I$28,N320))</f>
        <v/>
      </c>
      <c r="M321" s="27">
        <f>IF(OR(J321="",L321=""),"",ROUND(L321*J321,2))</f>
        <v/>
      </c>
      <c r="N321" s="27">
        <f>IF(AD321=0,"",IF(LEFT(K321,5)="Geler",O321,IF(M321="","",IF(Baux!$Q$28="",M321,MIN(M321,ROUND(L321*(1+Baux!$Q$28/100)^IF(Baux!$P$28="Base fixe",C321*Baux!$O$28,VALUE(LEFT(F321,4))-VALUE(LEFT(H321,4))),2))))))</f>
        <v/>
      </c>
      <c r="O321" s="27">
        <f>IF(AD321=0,"",N320)</f>
        <v/>
      </c>
      <c r="P321" s="28">
        <f>IF(OR(N321="",O321=""),"",N321/O321-1)</f>
        <v/>
      </c>
      <c r="Q321" s="27">
        <f>IF(N321="","",N321/12)</f>
        <v/>
      </c>
      <c r="R321" s="27">
        <f>IF(N321="","",N321/IF(Baux!$L$28="Mensuelle",12,IF(Baux!$L$28="Trimestrielle",4,IF(Baux!$L$28="Semestrielle",2,1))))</f>
        <v/>
      </c>
      <c r="S321" s="27">
        <f>IF(AD321=0,"",IF(Baux!$J$28="",0,Baux!$J$28)/IF(Baux!$L$28="Mensuelle",12,IF(Baux!$L$28="Trimestrielle",4,IF(Baux!$L$28="Semestrielle",2,1))))</f>
        <v/>
      </c>
      <c r="T321" s="27">
        <f>IF(R321="","",(R321+S321)*Baux!$K$28/100)</f>
        <v/>
      </c>
      <c r="U321" s="27">
        <f>IF(R321="","",R321+S321+T321)</f>
        <v/>
      </c>
      <c r="V321" s="17">
        <f>IF(AD321=0,"",IF(LEFT(K321,5)="Geler","❄ Gelée",IF(G321="",IF(D321&lt;=TODAY(),"⚠ Indice attendu","À venir"),IF(D321&lt;=TODAY(),"✔ Calculable","Indice connu – à venir"))))</f>
        <v/>
      </c>
      <c r="W321" s="29" t="n"/>
      <c r="X321" s="13" t="n"/>
      <c r="Y321" s="14" t="n"/>
      <c r="Z321" s="14" t="n"/>
      <c r="AA321" s="13" t="n"/>
      <c r="AB321" s="17">
        <f>IF(A321="","",A321&amp;"#"&amp;C321)</f>
        <v/>
      </c>
      <c r="AC321" s="17">
        <f>IF(AND(AD321=1,D321&lt;=TODAY(),N321&lt;&gt;""),1,0)</f>
        <v/>
      </c>
      <c r="AD321" s="17">
        <f>IF(OR(A321="",D321=""),0,IF(AND(ISNUMBER(Baux!$H$28),D321&gt;Baux!$H$28),0,1))</f>
        <v/>
      </c>
    </row>
    <row r="322">
      <c r="A322" s="17">
        <f>IF(Baux!$A$28="","",Baux!$A$28)</f>
        <v/>
      </c>
      <c r="B322" s="17">
        <f>IF(A322="","",Baux!$B$28)</f>
        <v/>
      </c>
      <c r="C322" s="17" t="n">
        <v>9</v>
      </c>
      <c r="D322" s="15">
        <f>IF(OR(A322="",Baux!$F$28="",Baux!$O$28=""),"",EDATE(Baux!$F$28,12*Baux!$O$28*C322))</f>
        <v/>
      </c>
      <c r="E322" s="17">
        <f>IF(AD322=0,"",Baux!$M$28)</f>
        <v/>
      </c>
      <c r="F322" s="17">
        <f>IF(AD322=0,"",IFERROR(TEXT(VALUE(LEFT(Baux!$N$28,4))+C322*Baux!$O$28,"0")&amp;RIGHT(Baux!$N$28,3),""))</f>
        <v/>
      </c>
      <c r="G322" s="25">
        <f>IF(AD322=0,"",IF(F322="","",IF(SUMIFS(Indices_long!$C:$C,Indices_long!$A:$A,E322,Indices_long!$B:$B,F322)=0,"",SUMIFS(Indices_long!$C:$C,Indices_long!$A:$A,E322,Indices_long!$B:$B,F322))))</f>
        <v/>
      </c>
      <c r="H322" s="17">
        <f>IF(AD322=0,"",IF(Baux!$P$28="Base fixe",Baux!$N$28,IF(K321="Geler – rattrapage possible",H321,F321)))</f>
        <v/>
      </c>
      <c r="I322" s="25">
        <f>IF(AD322=0,"",IF(H322="","",IF(SUMIFS(Indices_long!$C:$C,Indices_long!$A:$A,E322,Indices_long!$B:$B,H322)=0,"",SUMIFS(Indices_long!$C:$C,Indices_long!$A:$A,E322,Indices_long!$B:$B,H322))))</f>
        <v/>
      </c>
      <c r="J322" s="26">
        <f>IF(OR(G322="",I322=""),"",G322/I322)</f>
        <v/>
      </c>
      <c r="K322" s="13" t="n"/>
      <c r="L322" s="27">
        <f>IF(AD322=0,"",IF(Baux!$P$28="Base fixe",Baux!$I$28,N321))</f>
        <v/>
      </c>
      <c r="M322" s="27">
        <f>IF(OR(J322="",L322=""),"",ROUND(L322*J322,2))</f>
        <v/>
      </c>
      <c r="N322" s="27">
        <f>IF(AD322=0,"",IF(LEFT(K322,5)="Geler",O322,IF(M322="","",IF(Baux!$Q$28="",M322,MIN(M322,ROUND(L322*(1+Baux!$Q$28/100)^IF(Baux!$P$28="Base fixe",C322*Baux!$O$28,VALUE(LEFT(F322,4))-VALUE(LEFT(H322,4))),2))))))</f>
        <v/>
      </c>
      <c r="O322" s="27">
        <f>IF(AD322=0,"",N321)</f>
        <v/>
      </c>
      <c r="P322" s="28">
        <f>IF(OR(N322="",O322=""),"",N322/O322-1)</f>
        <v/>
      </c>
      <c r="Q322" s="27">
        <f>IF(N322="","",N322/12)</f>
        <v/>
      </c>
      <c r="R322" s="27">
        <f>IF(N322="","",N322/IF(Baux!$L$28="Mensuelle",12,IF(Baux!$L$28="Trimestrielle",4,IF(Baux!$L$28="Semestrielle",2,1))))</f>
        <v/>
      </c>
      <c r="S322" s="27">
        <f>IF(AD322=0,"",IF(Baux!$J$28="",0,Baux!$J$28)/IF(Baux!$L$28="Mensuelle",12,IF(Baux!$L$28="Trimestrielle",4,IF(Baux!$L$28="Semestrielle",2,1))))</f>
        <v/>
      </c>
      <c r="T322" s="27">
        <f>IF(R322="","",(R322+S322)*Baux!$K$28/100)</f>
        <v/>
      </c>
      <c r="U322" s="27">
        <f>IF(R322="","",R322+S322+T322)</f>
        <v/>
      </c>
      <c r="V322" s="17">
        <f>IF(AD322=0,"",IF(LEFT(K322,5)="Geler","❄ Gelée",IF(G322="",IF(D322&lt;=TODAY(),"⚠ Indice attendu","À venir"),IF(D322&lt;=TODAY(),"✔ Calculable","Indice connu – à venir"))))</f>
        <v/>
      </c>
      <c r="W322" s="29" t="n"/>
      <c r="X322" s="13" t="n"/>
      <c r="Y322" s="14" t="n"/>
      <c r="Z322" s="14" t="n"/>
      <c r="AA322" s="13" t="n"/>
      <c r="AB322" s="17">
        <f>IF(A322="","",A322&amp;"#"&amp;C322)</f>
        <v/>
      </c>
      <c r="AC322" s="17">
        <f>IF(AND(AD322=1,D322&lt;=TODAY(),N322&lt;&gt;""),1,0)</f>
        <v/>
      </c>
      <c r="AD322" s="17">
        <f>IF(OR(A322="",D322=""),0,IF(AND(ISNUMBER(Baux!$H$28),D322&gt;Baux!$H$28),0,1))</f>
        <v/>
      </c>
    </row>
    <row r="323">
      <c r="A323" s="17">
        <f>IF(Baux!$A$28="","",Baux!$A$28)</f>
        <v/>
      </c>
      <c r="B323" s="17">
        <f>IF(A323="","",Baux!$B$28)</f>
        <v/>
      </c>
      <c r="C323" s="17" t="n">
        <v>10</v>
      </c>
      <c r="D323" s="15">
        <f>IF(OR(A323="",Baux!$F$28="",Baux!$O$28=""),"",EDATE(Baux!$F$28,12*Baux!$O$28*C323))</f>
        <v/>
      </c>
      <c r="E323" s="17">
        <f>IF(AD323=0,"",Baux!$M$28)</f>
        <v/>
      </c>
      <c r="F323" s="17">
        <f>IF(AD323=0,"",IFERROR(TEXT(VALUE(LEFT(Baux!$N$28,4))+C323*Baux!$O$28,"0")&amp;RIGHT(Baux!$N$28,3),""))</f>
        <v/>
      </c>
      <c r="G323" s="25">
        <f>IF(AD323=0,"",IF(F323="","",IF(SUMIFS(Indices_long!$C:$C,Indices_long!$A:$A,E323,Indices_long!$B:$B,F323)=0,"",SUMIFS(Indices_long!$C:$C,Indices_long!$A:$A,E323,Indices_long!$B:$B,F323))))</f>
        <v/>
      </c>
      <c r="H323" s="17">
        <f>IF(AD323=0,"",IF(Baux!$P$28="Base fixe",Baux!$N$28,IF(K322="Geler – rattrapage possible",H322,F322)))</f>
        <v/>
      </c>
      <c r="I323" s="25">
        <f>IF(AD323=0,"",IF(H323="","",IF(SUMIFS(Indices_long!$C:$C,Indices_long!$A:$A,E323,Indices_long!$B:$B,H323)=0,"",SUMIFS(Indices_long!$C:$C,Indices_long!$A:$A,E323,Indices_long!$B:$B,H323))))</f>
        <v/>
      </c>
      <c r="J323" s="26">
        <f>IF(OR(G323="",I323=""),"",G323/I323)</f>
        <v/>
      </c>
      <c r="K323" s="13" t="n"/>
      <c r="L323" s="27">
        <f>IF(AD323=0,"",IF(Baux!$P$28="Base fixe",Baux!$I$28,N322))</f>
        <v/>
      </c>
      <c r="M323" s="27">
        <f>IF(OR(J323="",L323=""),"",ROUND(L323*J323,2))</f>
        <v/>
      </c>
      <c r="N323" s="27">
        <f>IF(AD323=0,"",IF(LEFT(K323,5)="Geler",O323,IF(M323="","",IF(Baux!$Q$28="",M323,MIN(M323,ROUND(L323*(1+Baux!$Q$28/100)^IF(Baux!$P$28="Base fixe",C323*Baux!$O$28,VALUE(LEFT(F323,4))-VALUE(LEFT(H323,4))),2))))))</f>
        <v/>
      </c>
      <c r="O323" s="27">
        <f>IF(AD323=0,"",N322)</f>
        <v/>
      </c>
      <c r="P323" s="28">
        <f>IF(OR(N323="",O323=""),"",N323/O323-1)</f>
        <v/>
      </c>
      <c r="Q323" s="27">
        <f>IF(N323="","",N323/12)</f>
        <v/>
      </c>
      <c r="R323" s="27">
        <f>IF(N323="","",N323/IF(Baux!$L$28="Mensuelle",12,IF(Baux!$L$28="Trimestrielle",4,IF(Baux!$L$28="Semestrielle",2,1))))</f>
        <v/>
      </c>
      <c r="S323" s="27">
        <f>IF(AD323=0,"",IF(Baux!$J$28="",0,Baux!$J$28)/IF(Baux!$L$28="Mensuelle",12,IF(Baux!$L$28="Trimestrielle",4,IF(Baux!$L$28="Semestrielle",2,1))))</f>
        <v/>
      </c>
      <c r="T323" s="27">
        <f>IF(R323="","",(R323+S323)*Baux!$K$28/100)</f>
        <v/>
      </c>
      <c r="U323" s="27">
        <f>IF(R323="","",R323+S323+T323)</f>
        <v/>
      </c>
      <c r="V323" s="17">
        <f>IF(AD323=0,"",IF(LEFT(K323,5)="Geler","❄ Gelée",IF(G323="",IF(D323&lt;=TODAY(),"⚠ Indice attendu","À venir"),IF(D323&lt;=TODAY(),"✔ Calculable","Indice connu – à venir"))))</f>
        <v/>
      </c>
      <c r="W323" s="29" t="n"/>
      <c r="X323" s="13" t="n"/>
      <c r="Y323" s="14" t="n"/>
      <c r="Z323" s="14" t="n"/>
      <c r="AA323" s="13" t="n"/>
      <c r="AB323" s="17">
        <f>IF(A323="","",A323&amp;"#"&amp;C323)</f>
        <v/>
      </c>
      <c r="AC323" s="17">
        <f>IF(AND(AD323=1,D323&lt;=TODAY(),N323&lt;&gt;""),1,0)</f>
        <v/>
      </c>
      <c r="AD323" s="17">
        <f>IF(OR(A323="",D323=""),0,IF(AND(ISNUMBER(Baux!$H$28),D323&gt;Baux!$H$28),0,1))</f>
        <v/>
      </c>
    </row>
    <row r="324">
      <c r="A324" s="17">
        <f>IF(Baux!$A$28="","",Baux!$A$28)</f>
        <v/>
      </c>
      <c r="B324" s="17">
        <f>IF(A324="","",Baux!$B$28)</f>
        <v/>
      </c>
      <c r="C324" s="17" t="n">
        <v>11</v>
      </c>
      <c r="D324" s="15">
        <f>IF(OR(A324="",Baux!$F$28="",Baux!$O$28=""),"",EDATE(Baux!$F$28,12*Baux!$O$28*C324))</f>
        <v/>
      </c>
      <c r="E324" s="17">
        <f>IF(AD324=0,"",Baux!$M$28)</f>
        <v/>
      </c>
      <c r="F324" s="17">
        <f>IF(AD324=0,"",IFERROR(TEXT(VALUE(LEFT(Baux!$N$28,4))+C324*Baux!$O$28,"0")&amp;RIGHT(Baux!$N$28,3),""))</f>
        <v/>
      </c>
      <c r="G324" s="25">
        <f>IF(AD324=0,"",IF(F324="","",IF(SUMIFS(Indices_long!$C:$C,Indices_long!$A:$A,E324,Indices_long!$B:$B,F324)=0,"",SUMIFS(Indices_long!$C:$C,Indices_long!$A:$A,E324,Indices_long!$B:$B,F324))))</f>
        <v/>
      </c>
      <c r="H324" s="17">
        <f>IF(AD324=0,"",IF(Baux!$P$28="Base fixe",Baux!$N$28,IF(K323="Geler – rattrapage possible",H323,F323)))</f>
        <v/>
      </c>
      <c r="I324" s="25">
        <f>IF(AD324=0,"",IF(H324="","",IF(SUMIFS(Indices_long!$C:$C,Indices_long!$A:$A,E324,Indices_long!$B:$B,H324)=0,"",SUMIFS(Indices_long!$C:$C,Indices_long!$A:$A,E324,Indices_long!$B:$B,H324))))</f>
        <v/>
      </c>
      <c r="J324" s="26">
        <f>IF(OR(G324="",I324=""),"",G324/I324)</f>
        <v/>
      </c>
      <c r="K324" s="13" t="n"/>
      <c r="L324" s="27">
        <f>IF(AD324=0,"",IF(Baux!$P$28="Base fixe",Baux!$I$28,N323))</f>
        <v/>
      </c>
      <c r="M324" s="27">
        <f>IF(OR(J324="",L324=""),"",ROUND(L324*J324,2))</f>
        <v/>
      </c>
      <c r="N324" s="27">
        <f>IF(AD324=0,"",IF(LEFT(K324,5)="Geler",O324,IF(M324="","",IF(Baux!$Q$28="",M324,MIN(M324,ROUND(L324*(1+Baux!$Q$28/100)^IF(Baux!$P$28="Base fixe",C324*Baux!$O$28,VALUE(LEFT(F324,4))-VALUE(LEFT(H324,4))),2))))))</f>
        <v/>
      </c>
      <c r="O324" s="27">
        <f>IF(AD324=0,"",N323)</f>
        <v/>
      </c>
      <c r="P324" s="28">
        <f>IF(OR(N324="",O324=""),"",N324/O324-1)</f>
        <v/>
      </c>
      <c r="Q324" s="27">
        <f>IF(N324="","",N324/12)</f>
        <v/>
      </c>
      <c r="R324" s="27">
        <f>IF(N324="","",N324/IF(Baux!$L$28="Mensuelle",12,IF(Baux!$L$28="Trimestrielle",4,IF(Baux!$L$28="Semestrielle",2,1))))</f>
        <v/>
      </c>
      <c r="S324" s="27">
        <f>IF(AD324=0,"",IF(Baux!$J$28="",0,Baux!$J$28)/IF(Baux!$L$28="Mensuelle",12,IF(Baux!$L$28="Trimestrielle",4,IF(Baux!$L$28="Semestrielle",2,1))))</f>
        <v/>
      </c>
      <c r="T324" s="27">
        <f>IF(R324="","",(R324+S324)*Baux!$K$28/100)</f>
        <v/>
      </c>
      <c r="U324" s="27">
        <f>IF(R324="","",R324+S324+T324)</f>
        <v/>
      </c>
      <c r="V324" s="17">
        <f>IF(AD324=0,"",IF(LEFT(K324,5)="Geler","❄ Gelée",IF(G324="",IF(D324&lt;=TODAY(),"⚠ Indice attendu","À venir"),IF(D324&lt;=TODAY(),"✔ Calculable","Indice connu – à venir"))))</f>
        <v/>
      </c>
      <c r="W324" s="29" t="n"/>
      <c r="X324" s="13" t="n"/>
      <c r="Y324" s="14" t="n"/>
      <c r="Z324" s="14" t="n"/>
      <c r="AA324" s="13" t="n"/>
      <c r="AB324" s="17">
        <f>IF(A324="","",A324&amp;"#"&amp;C324)</f>
        <v/>
      </c>
      <c r="AC324" s="17">
        <f>IF(AND(AD324=1,D324&lt;=TODAY(),N324&lt;&gt;""),1,0)</f>
        <v/>
      </c>
      <c r="AD324" s="17">
        <f>IF(OR(A324="",D324=""),0,IF(AND(ISNUMBER(Baux!$H$28),D324&gt;Baux!$H$28),0,1))</f>
        <v/>
      </c>
    </row>
    <row r="325">
      <c r="A325" s="17">
        <f>IF(Baux!$A$28="","",Baux!$A$28)</f>
        <v/>
      </c>
      <c r="B325" s="17">
        <f>IF(A325="","",Baux!$B$28)</f>
        <v/>
      </c>
      <c r="C325" s="17" t="n">
        <v>12</v>
      </c>
      <c r="D325" s="15">
        <f>IF(OR(A325="",Baux!$F$28="",Baux!$O$28=""),"",EDATE(Baux!$F$28,12*Baux!$O$28*C325))</f>
        <v/>
      </c>
      <c r="E325" s="17">
        <f>IF(AD325=0,"",Baux!$M$28)</f>
        <v/>
      </c>
      <c r="F325" s="17">
        <f>IF(AD325=0,"",IFERROR(TEXT(VALUE(LEFT(Baux!$N$28,4))+C325*Baux!$O$28,"0")&amp;RIGHT(Baux!$N$28,3),""))</f>
        <v/>
      </c>
      <c r="G325" s="25">
        <f>IF(AD325=0,"",IF(F325="","",IF(SUMIFS(Indices_long!$C:$C,Indices_long!$A:$A,E325,Indices_long!$B:$B,F325)=0,"",SUMIFS(Indices_long!$C:$C,Indices_long!$A:$A,E325,Indices_long!$B:$B,F325))))</f>
        <v/>
      </c>
      <c r="H325" s="17">
        <f>IF(AD325=0,"",IF(Baux!$P$28="Base fixe",Baux!$N$28,IF(K324="Geler – rattrapage possible",H324,F324)))</f>
        <v/>
      </c>
      <c r="I325" s="25">
        <f>IF(AD325=0,"",IF(H325="","",IF(SUMIFS(Indices_long!$C:$C,Indices_long!$A:$A,E325,Indices_long!$B:$B,H325)=0,"",SUMIFS(Indices_long!$C:$C,Indices_long!$A:$A,E325,Indices_long!$B:$B,H325))))</f>
        <v/>
      </c>
      <c r="J325" s="26">
        <f>IF(OR(G325="",I325=""),"",G325/I325)</f>
        <v/>
      </c>
      <c r="K325" s="13" t="n"/>
      <c r="L325" s="27">
        <f>IF(AD325=0,"",IF(Baux!$P$28="Base fixe",Baux!$I$28,N324))</f>
        <v/>
      </c>
      <c r="M325" s="27">
        <f>IF(OR(J325="",L325=""),"",ROUND(L325*J325,2))</f>
        <v/>
      </c>
      <c r="N325" s="27">
        <f>IF(AD325=0,"",IF(LEFT(K325,5)="Geler",O325,IF(M325="","",IF(Baux!$Q$28="",M325,MIN(M325,ROUND(L325*(1+Baux!$Q$28/100)^IF(Baux!$P$28="Base fixe",C325*Baux!$O$28,VALUE(LEFT(F325,4))-VALUE(LEFT(H325,4))),2))))))</f>
        <v/>
      </c>
      <c r="O325" s="27">
        <f>IF(AD325=0,"",N324)</f>
        <v/>
      </c>
      <c r="P325" s="28">
        <f>IF(OR(N325="",O325=""),"",N325/O325-1)</f>
        <v/>
      </c>
      <c r="Q325" s="27">
        <f>IF(N325="","",N325/12)</f>
        <v/>
      </c>
      <c r="R325" s="27">
        <f>IF(N325="","",N325/IF(Baux!$L$28="Mensuelle",12,IF(Baux!$L$28="Trimestrielle",4,IF(Baux!$L$28="Semestrielle",2,1))))</f>
        <v/>
      </c>
      <c r="S325" s="27">
        <f>IF(AD325=0,"",IF(Baux!$J$28="",0,Baux!$J$28)/IF(Baux!$L$28="Mensuelle",12,IF(Baux!$L$28="Trimestrielle",4,IF(Baux!$L$28="Semestrielle",2,1))))</f>
        <v/>
      </c>
      <c r="T325" s="27">
        <f>IF(R325="","",(R325+S325)*Baux!$K$28/100)</f>
        <v/>
      </c>
      <c r="U325" s="27">
        <f>IF(R325="","",R325+S325+T325)</f>
        <v/>
      </c>
      <c r="V325" s="17">
        <f>IF(AD325=0,"",IF(LEFT(K325,5)="Geler","❄ Gelée",IF(G325="",IF(D325&lt;=TODAY(),"⚠ Indice attendu","À venir"),IF(D325&lt;=TODAY(),"✔ Calculable","Indice connu – à venir"))))</f>
        <v/>
      </c>
      <c r="W325" s="29" t="n"/>
      <c r="X325" s="13" t="n"/>
      <c r="Y325" s="14" t="n"/>
      <c r="Z325" s="14" t="n"/>
      <c r="AA325" s="13" t="n"/>
      <c r="AB325" s="17">
        <f>IF(A325="","",A325&amp;"#"&amp;C325)</f>
        <v/>
      </c>
      <c r="AC325" s="17">
        <f>IF(AND(AD325=1,D325&lt;=TODAY(),N325&lt;&gt;""),1,0)</f>
        <v/>
      </c>
      <c r="AD325" s="17">
        <f>IF(OR(A325="",D325=""),0,IF(AND(ISNUMBER(Baux!$H$28),D325&gt;Baux!$H$28),0,1))</f>
        <v/>
      </c>
    </row>
    <row r="326">
      <c r="A326" s="17">
        <f>IF(Baux!$A$29="","",Baux!$A$29)</f>
        <v/>
      </c>
      <c r="B326" s="17">
        <f>IF(A326="","",Baux!$B$29)</f>
        <v/>
      </c>
      <c r="C326" s="17" t="n">
        <v>1</v>
      </c>
      <c r="D326" s="15">
        <f>IF(OR(A326="",Baux!$F$29="",Baux!$O$29=""),"",EDATE(Baux!$F$29,12*Baux!$O$29*C326))</f>
        <v/>
      </c>
      <c r="E326" s="17">
        <f>IF(AD326=0,"",Baux!$M$29)</f>
        <v/>
      </c>
      <c r="F326" s="17">
        <f>IF(AD326=0,"",IFERROR(TEXT(VALUE(LEFT(Baux!$N$29,4))+C326*Baux!$O$29,"0")&amp;RIGHT(Baux!$N$29,3),""))</f>
        <v/>
      </c>
      <c r="G326" s="25">
        <f>IF(AD326=0,"",IF(F326="","",IF(SUMIFS(Indices_long!$C:$C,Indices_long!$A:$A,E326,Indices_long!$B:$B,F326)=0,"",SUMIFS(Indices_long!$C:$C,Indices_long!$A:$A,E326,Indices_long!$B:$B,F326))))</f>
        <v/>
      </c>
      <c r="H326" s="17">
        <f>IF(AD326=0,"",Baux!$N$29)</f>
        <v/>
      </c>
      <c r="I326" s="25">
        <f>IF(AD326=0,"",IF(H326="","",IF(SUMIFS(Indices_long!$C:$C,Indices_long!$A:$A,E326,Indices_long!$B:$B,H326)=0,"",SUMIFS(Indices_long!$C:$C,Indices_long!$A:$A,E326,Indices_long!$B:$B,H326))))</f>
        <v/>
      </c>
      <c r="J326" s="26">
        <f>IF(OR(G326="",I326=""),"",G326/I326)</f>
        <v/>
      </c>
      <c r="K326" s="13" t="n"/>
      <c r="L326" s="27">
        <f>IF(AD326=0,"",Baux!$I$29)</f>
        <v/>
      </c>
      <c r="M326" s="27">
        <f>IF(OR(J326="",L326=""),"",ROUND(L326*J326,2))</f>
        <v/>
      </c>
      <c r="N326" s="27">
        <f>IF(AD326=0,"",IF(LEFT(K326,5)="Geler",O326,IF(M326="","",IF(Baux!$Q$29="",M326,MIN(M326,ROUND(L326*(1+Baux!$Q$29/100)^IF(Baux!$P$29="Base fixe",C326*Baux!$O$29,VALUE(LEFT(F326,4))-VALUE(LEFT(H326,4))),2))))))</f>
        <v/>
      </c>
      <c r="O326" s="27">
        <f>IF(AD326=0,"",Baux!$I$29)</f>
        <v/>
      </c>
      <c r="P326" s="28">
        <f>IF(OR(N326="",O326=""),"",N326/O326-1)</f>
        <v/>
      </c>
      <c r="Q326" s="27">
        <f>IF(N326="","",N326/12)</f>
        <v/>
      </c>
      <c r="R326" s="27">
        <f>IF(N326="","",N326/IF(Baux!$L$29="Mensuelle",12,IF(Baux!$L$29="Trimestrielle",4,IF(Baux!$L$29="Semestrielle",2,1))))</f>
        <v/>
      </c>
      <c r="S326" s="27">
        <f>IF(AD326=0,"",IF(Baux!$J$29="",0,Baux!$J$29)/IF(Baux!$L$29="Mensuelle",12,IF(Baux!$L$29="Trimestrielle",4,IF(Baux!$L$29="Semestrielle",2,1))))</f>
        <v/>
      </c>
      <c r="T326" s="27">
        <f>IF(R326="","",(R326+S326)*Baux!$K$29/100)</f>
        <v/>
      </c>
      <c r="U326" s="27">
        <f>IF(R326="","",R326+S326+T326)</f>
        <v/>
      </c>
      <c r="V326" s="17">
        <f>IF(AD326=0,"",IF(LEFT(K326,5)="Geler","❄ Gelée",IF(G326="",IF(D326&lt;=TODAY(),"⚠ Indice attendu","À venir"),IF(D326&lt;=TODAY(),"✔ Calculable","Indice connu – à venir"))))</f>
        <v/>
      </c>
      <c r="W326" s="29" t="n"/>
      <c r="X326" s="13" t="n"/>
      <c r="Y326" s="14" t="n"/>
      <c r="Z326" s="14" t="n"/>
      <c r="AA326" s="13" t="n"/>
      <c r="AB326" s="17">
        <f>IF(A326="","",A326&amp;"#"&amp;C326)</f>
        <v/>
      </c>
      <c r="AC326" s="17">
        <f>IF(AND(AD326=1,D326&lt;=TODAY(),N326&lt;&gt;""),1,0)</f>
        <v/>
      </c>
      <c r="AD326" s="17">
        <f>IF(OR(A326="",D326=""),0,IF(AND(ISNUMBER(Baux!$H$29),D326&gt;Baux!$H$29),0,1))</f>
        <v/>
      </c>
    </row>
    <row r="327">
      <c r="A327" s="17">
        <f>IF(Baux!$A$29="","",Baux!$A$29)</f>
        <v/>
      </c>
      <c r="B327" s="17">
        <f>IF(A327="","",Baux!$B$29)</f>
        <v/>
      </c>
      <c r="C327" s="17" t="n">
        <v>2</v>
      </c>
      <c r="D327" s="15">
        <f>IF(OR(A327="",Baux!$F$29="",Baux!$O$29=""),"",EDATE(Baux!$F$29,12*Baux!$O$29*C327))</f>
        <v/>
      </c>
      <c r="E327" s="17">
        <f>IF(AD327=0,"",Baux!$M$29)</f>
        <v/>
      </c>
      <c r="F327" s="17">
        <f>IF(AD327=0,"",IFERROR(TEXT(VALUE(LEFT(Baux!$N$29,4))+C327*Baux!$O$29,"0")&amp;RIGHT(Baux!$N$29,3),""))</f>
        <v/>
      </c>
      <c r="G327" s="25">
        <f>IF(AD327=0,"",IF(F327="","",IF(SUMIFS(Indices_long!$C:$C,Indices_long!$A:$A,E327,Indices_long!$B:$B,F327)=0,"",SUMIFS(Indices_long!$C:$C,Indices_long!$A:$A,E327,Indices_long!$B:$B,F327))))</f>
        <v/>
      </c>
      <c r="H327" s="17">
        <f>IF(AD327=0,"",IF(Baux!$P$29="Base fixe",Baux!$N$29,IF(K326="Geler – rattrapage possible",H326,F326)))</f>
        <v/>
      </c>
      <c r="I327" s="25">
        <f>IF(AD327=0,"",IF(H327="","",IF(SUMIFS(Indices_long!$C:$C,Indices_long!$A:$A,E327,Indices_long!$B:$B,H327)=0,"",SUMIFS(Indices_long!$C:$C,Indices_long!$A:$A,E327,Indices_long!$B:$B,H327))))</f>
        <v/>
      </c>
      <c r="J327" s="26">
        <f>IF(OR(G327="",I327=""),"",G327/I327)</f>
        <v/>
      </c>
      <c r="K327" s="13" t="n"/>
      <c r="L327" s="27">
        <f>IF(AD327=0,"",IF(Baux!$P$29="Base fixe",Baux!$I$29,N326))</f>
        <v/>
      </c>
      <c r="M327" s="27">
        <f>IF(OR(J327="",L327=""),"",ROUND(L327*J327,2))</f>
        <v/>
      </c>
      <c r="N327" s="27">
        <f>IF(AD327=0,"",IF(LEFT(K327,5)="Geler",O327,IF(M327="","",IF(Baux!$Q$29="",M327,MIN(M327,ROUND(L327*(1+Baux!$Q$29/100)^IF(Baux!$P$29="Base fixe",C327*Baux!$O$29,VALUE(LEFT(F327,4))-VALUE(LEFT(H327,4))),2))))))</f>
        <v/>
      </c>
      <c r="O327" s="27">
        <f>IF(AD327=0,"",N326)</f>
        <v/>
      </c>
      <c r="P327" s="28">
        <f>IF(OR(N327="",O327=""),"",N327/O327-1)</f>
        <v/>
      </c>
      <c r="Q327" s="27">
        <f>IF(N327="","",N327/12)</f>
        <v/>
      </c>
      <c r="R327" s="27">
        <f>IF(N327="","",N327/IF(Baux!$L$29="Mensuelle",12,IF(Baux!$L$29="Trimestrielle",4,IF(Baux!$L$29="Semestrielle",2,1))))</f>
        <v/>
      </c>
      <c r="S327" s="27">
        <f>IF(AD327=0,"",IF(Baux!$J$29="",0,Baux!$J$29)/IF(Baux!$L$29="Mensuelle",12,IF(Baux!$L$29="Trimestrielle",4,IF(Baux!$L$29="Semestrielle",2,1))))</f>
        <v/>
      </c>
      <c r="T327" s="27">
        <f>IF(R327="","",(R327+S327)*Baux!$K$29/100)</f>
        <v/>
      </c>
      <c r="U327" s="27">
        <f>IF(R327="","",R327+S327+T327)</f>
        <v/>
      </c>
      <c r="V327" s="17">
        <f>IF(AD327=0,"",IF(LEFT(K327,5)="Geler","❄ Gelée",IF(G327="",IF(D327&lt;=TODAY(),"⚠ Indice attendu","À venir"),IF(D327&lt;=TODAY(),"✔ Calculable","Indice connu – à venir"))))</f>
        <v/>
      </c>
      <c r="W327" s="29" t="n"/>
      <c r="X327" s="13" t="n"/>
      <c r="Y327" s="14" t="n"/>
      <c r="Z327" s="14" t="n"/>
      <c r="AA327" s="13" t="n"/>
      <c r="AB327" s="17">
        <f>IF(A327="","",A327&amp;"#"&amp;C327)</f>
        <v/>
      </c>
      <c r="AC327" s="17">
        <f>IF(AND(AD327=1,D327&lt;=TODAY(),N327&lt;&gt;""),1,0)</f>
        <v/>
      </c>
      <c r="AD327" s="17">
        <f>IF(OR(A327="",D327=""),0,IF(AND(ISNUMBER(Baux!$H$29),D327&gt;Baux!$H$29),0,1))</f>
        <v/>
      </c>
    </row>
    <row r="328">
      <c r="A328" s="17">
        <f>IF(Baux!$A$29="","",Baux!$A$29)</f>
        <v/>
      </c>
      <c r="B328" s="17">
        <f>IF(A328="","",Baux!$B$29)</f>
        <v/>
      </c>
      <c r="C328" s="17" t="n">
        <v>3</v>
      </c>
      <c r="D328" s="15">
        <f>IF(OR(A328="",Baux!$F$29="",Baux!$O$29=""),"",EDATE(Baux!$F$29,12*Baux!$O$29*C328))</f>
        <v/>
      </c>
      <c r="E328" s="17">
        <f>IF(AD328=0,"",Baux!$M$29)</f>
        <v/>
      </c>
      <c r="F328" s="17">
        <f>IF(AD328=0,"",IFERROR(TEXT(VALUE(LEFT(Baux!$N$29,4))+C328*Baux!$O$29,"0")&amp;RIGHT(Baux!$N$29,3),""))</f>
        <v/>
      </c>
      <c r="G328" s="25">
        <f>IF(AD328=0,"",IF(F328="","",IF(SUMIFS(Indices_long!$C:$C,Indices_long!$A:$A,E328,Indices_long!$B:$B,F328)=0,"",SUMIFS(Indices_long!$C:$C,Indices_long!$A:$A,E328,Indices_long!$B:$B,F328))))</f>
        <v/>
      </c>
      <c r="H328" s="17">
        <f>IF(AD328=0,"",IF(Baux!$P$29="Base fixe",Baux!$N$29,IF(K327="Geler – rattrapage possible",H327,F327)))</f>
        <v/>
      </c>
      <c r="I328" s="25">
        <f>IF(AD328=0,"",IF(H328="","",IF(SUMIFS(Indices_long!$C:$C,Indices_long!$A:$A,E328,Indices_long!$B:$B,H328)=0,"",SUMIFS(Indices_long!$C:$C,Indices_long!$A:$A,E328,Indices_long!$B:$B,H328))))</f>
        <v/>
      </c>
      <c r="J328" s="26">
        <f>IF(OR(G328="",I328=""),"",G328/I328)</f>
        <v/>
      </c>
      <c r="K328" s="13" t="n"/>
      <c r="L328" s="27">
        <f>IF(AD328=0,"",IF(Baux!$P$29="Base fixe",Baux!$I$29,N327))</f>
        <v/>
      </c>
      <c r="M328" s="27">
        <f>IF(OR(J328="",L328=""),"",ROUND(L328*J328,2))</f>
        <v/>
      </c>
      <c r="N328" s="27">
        <f>IF(AD328=0,"",IF(LEFT(K328,5)="Geler",O328,IF(M328="","",IF(Baux!$Q$29="",M328,MIN(M328,ROUND(L328*(1+Baux!$Q$29/100)^IF(Baux!$P$29="Base fixe",C328*Baux!$O$29,VALUE(LEFT(F328,4))-VALUE(LEFT(H328,4))),2))))))</f>
        <v/>
      </c>
      <c r="O328" s="27">
        <f>IF(AD328=0,"",N327)</f>
        <v/>
      </c>
      <c r="P328" s="28">
        <f>IF(OR(N328="",O328=""),"",N328/O328-1)</f>
        <v/>
      </c>
      <c r="Q328" s="27">
        <f>IF(N328="","",N328/12)</f>
        <v/>
      </c>
      <c r="R328" s="27">
        <f>IF(N328="","",N328/IF(Baux!$L$29="Mensuelle",12,IF(Baux!$L$29="Trimestrielle",4,IF(Baux!$L$29="Semestrielle",2,1))))</f>
        <v/>
      </c>
      <c r="S328" s="27">
        <f>IF(AD328=0,"",IF(Baux!$J$29="",0,Baux!$J$29)/IF(Baux!$L$29="Mensuelle",12,IF(Baux!$L$29="Trimestrielle",4,IF(Baux!$L$29="Semestrielle",2,1))))</f>
        <v/>
      </c>
      <c r="T328" s="27">
        <f>IF(R328="","",(R328+S328)*Baux!$K$29/100)</f>
        <v/>
      </c>
      <c r="U328" s="27">
        <f>IF(R328="","",R328+S328+T328)</f>
        <v/>
      </c>
      <c r="V328" s="17">
        <f>IF(AD328=0,"",IF(LEFT(K328,5)="Geler","❄ Gelée",IF(G328="",IF(D328&lt;=TODAY(),"⚠ Indice attendu","À venir"),IF(D328&lt;=TODAY(),"✔ Calculable","Indice connu – à venir"))))</f>
        <v/>
      </c>
      <c r="W328" s="29" t="n"/>
      <c r="X328" s="13" t="n"/>
      <c r="Y328" s="14" t="n"/>
      <c r="Z328" s="14" t="n"/>
      <c r="AA328" s="13" t="n"/>
      <c r="AB328" s="17">
        <f>IF(A328="","",A328&amp;"#"&amp;C328)</f>
        <v/>
      </c>
      <c r="AC328" s="17">
        <f>IF(AND(AD328=1,D328&lt;=TODAY(),N328&lt;&gt;""),1,0)</f>
        <v/>
      </c>
      <c r="AD328" s="17">
        <f>IF(OR(A328="",D328=""),0,IF(AND(ISNUMBER(Baux!$H$29),D328&gt;Baux!$H$29),0,1))</f>
        <v/>
      </c>
    </row>
    <row r="329">
      <c r="A329" s="17">
        <f>IF(Baux!$A$29="","",Baux!$A$29)</f>
        <v/>
      </c>
      <c r="B329" s="17">
        <f>IF(A329="","",Baux!$B$29)</f>
        <v/>
      </c>
      <c r="C329" s="17" t="n">
        <v>4</v>
      </c>
      <c r="D329" s="15">
        <f>IF(OR(A329="",Baux!$F$29="",Baux!$O$29=""),"",EDATE(Baux!$F$29,12*Baux!$O$29*C329))</f>
        <v/>
      </c>
      <c r="E329" s="17">
        <f>IF(AD329=0,"",Baux!$M$29)</f>
        <v/>
      </c>
      <c r="F329" s="17">
        <f>IF(AD329=0,"",IFERROR(TEXT(VALUE(LEFT(Baux!$N$29,4))+C329*Baux!$O$29,"0")&amp;RIGHT(Baux!$N$29,3),""))</f>
        <v/>
      </c>
      <c r="G329" s="25">
        <f>IF(AD329=0,"",IF(F329="","",IF(SUMIFS(Indices_long!$C:$C,Indices_long!$A:$A,E329,Indices_long!$B:$B,F329)=0,"",SUMIFS(Indices_long!$C:$C,Indices_long!$A:$A,E329,Indices_long!$B:$B,F329))))</f>
        <v/>
      </c>
      <c r="H329" s="17">
        <f>IF(AD329=0,"",IF(Baux!$P$29="Base fixe",Baux!$N$29,IF(K328="Geler – rattrapage possible",H328,F328)))</f>
        <v/>
      </c>
      <c r="I329" s="25">
        <f>IF(AD329=0,"",IF(H329="","",IF(SUMIFS(Indices_long!$C:$C,Indices_long!$A:$A,E329,Indices_long!$B:$B,H329)=0,"",SUMIFS(Indices_long!$C:$C,Indices_long!$A:$A,E329,Indices_long!$B:$B,H329))))</f>
        <v/>
      </c>
      <c r="J329" s="26">
        <f>IF(OR(G329="",I329=""),"",G329/I329)</f>
        <v/>
      </c>
      <c r="K329" s="13" t="n"/>
      <c r="L329" s="27">
        <f>IF(AD329=0,"",IF(Baux!$P$29="Base fixe",Baux!$I$29,N328))</f>
        <v/>
      </c>
      <c r="M329" s="27">
        <f>IF(OR(J329="",L329=""),"",ROUND(L329*J329,2))</f>
        <v/>
      </c>
      <c r="N329" s="27">
        <f>IF(AD329=0,"",IF(LEFT(K329,5)="Geler",O329,IF(M329="","",IF(Baux!$Q$29="",M329,MIN(M329,ROUND(L329*(1+Baux!$Q$29/100)^IF(Baux!$P$29="Base fixe",C329*Baux!$O$29,VALUE(LEFT(F329,4))-VALUE(LEFT(H329,4))),2))))))</f>
        <v/>
      </c>
      <c r="O329" s="27">
        <f>IF(AD329=0,"",N328)</f>
        <v/>
      </c>
      <c r="P329" s="28">
        <f>IF(OR(N329="",O329=""),"",N329/O329-1)</f>
        <v/>
      </c>
      <c r="Q329" s="27">
        <f>IF(N329="","",N329/12)</f>
        <v/>
      </c>
      <c r="R329" s="27">
        <f>IF(N329="","",N329/IF(Baux!$L$29="Mensuelle",12,IF(Baux!$L$29="Trimestrielle",4,IF(Baux!$L$29="Semestrielle",2,1))))</f>
        <v/>
      </c>
      <c r="S329" s="27">
        <f>IF(AD329=0,"",IF(Baux!$J$29="",0,Baux!$J$29)/IF(Baux!$L$29="Mensuelle",12,IF(Baux!$L$29="Trimestrielle",4,IF(Baux!$L$29="Semestrielle",2,1))))</f>
        <v/>
      </c>
      <c r="T329" s="27">
        <f>IF(R329="","",(R329+S329)*Baux!$K$29/100)</f>
        <v/>
      </c>
      <c r="U329" s="27">
        <f>IF(R329="","",R329+S329+T329)</f>
        <v/>
      </c>
      <c r="V329" s="17">
        <f>IF(AD329=0,"",IF(LEFT(K329,5)="Geler","❄ Gelée",IF(G329="",IF(D329&lt;=TODAY(),"⚠ Indice attendu","À venir"),IF(D329&lt;=TODAY(),"✔ Calculable","Indice connu – à venir"))))</f>
        <v/>
      </c>
      <c r="W329" s="29" t="n"/>
      <c r="X329" s="13" t="n"/>
      <c r="Y329" s="14" t="n"/>
      <c r="Z329" s="14" t="n"/>
      <c r="AA329" s="13" t="n"/>
      <c r="AB329" s="17">
        <f>IF(A329="","",A329&amp;"#"&amp;C329)</f>
        <v/>
      </c>
      <c r="AC329" s="17">
        <f>IF(AND(AD329=1,D329&lt;=TODAY(),N329&lt;&gt;""),1,0)</f>
        <v/>
      </c>
      <c r="AD329" s="17">
        <f>IF(OR(A329="",D329=""),0,IF(AND(ISNUMBER(Baux!$H$29),D329&gt;Baux!$H$29),0,1))</f>
        <v/>
      </c>
    </row>
    <row r="330">
      <c r="A330" s="17">
        <f>IF(Baux!$A$29="","",Baux!$A$29)</f>
        <v/>
      </c>
      <c r="B330" s="17">
        <f>IF(A330="","",Baux!$B$29)</f>
        <v/>
      </c>
      <c r="C330" s="17" t="n">
        <v>5</v>
      </c>
      <c r="D330" s="15">
        <f>IF(OR(A330="",Baux!$F$29="",Baux!$O$29=""),"",EDATE(Baux!$F$29,12*Baux!$O$29*C330))</f>
        <v/>
      </c>
      <c r="E330" s="17">
        <f>IF(AD330=0,"",Baux!$M$29)</f>
        <v/>
      </c>
      <c r="F330" s="17">
        <f>IF(AD330=0,"",IFERROR(TEXT(VALUE(LEFT(Baux!$N$29,4))+C330*Baux!$O$29,"0")&amp;RIGHT(Baux!$N$29,3),""))</f>
        <v/>
      </c>
      <c r="G330" s="25">
        <f>IF(AD330=0,"",IF(F330="","",IF(SUMIFS(Indices_long!$C:$C,Indices_long!$A:$A,E330,Indices_long!$B:$B,F330)=0,"",SUMIFS(Indices_long!$C:$C,Indices_long!$A:$A,E330,Indices_long!$B:$B,F330))))</f>
        <v/>
      </c>
      <c r="H330" s="17">
        <f>IF(AD330=0,"",IF(Baux!$P$29="Base fixe",Baux!$N$29,IF(K329="Geler – rattrapage possible",H329,F329)))</f>
        <v/>
      </c>
      <c r="I330" s="25">
        <f>IF(AD330=0,"",IF(H330="","",IF(SUMIFS(Indices_long!$C:$C,Indices_long!$A:$A,E330,Indices_long!$B:$B,H330)=0,"",SUMIFS(Indices_long!$C:$C,Indices_long!$A:$A,E330,Indices_long!$B:$B,H330))))</f>
        <v/>
      </c>
      <c r="J330" s="26">
        <f>IF(OR(G330="",I330=""),"",G330/I330)</f>
        <v/>
      </c>
      <c r="K330" s="13" t="n"/>
      <c r="L330" s="27">
        <f>IF(AD330=0,"",IF(Baux!$P$29="Base fixe",Baux!$I$29,N329))</f>
        <v/>
      </c>
      <c r="M330" s="27">
        <f>IF(OR(J330="",L330=""),"",ROUND(L330*J330,2))</f>
        <v/>
      </c>
      <c r="N330" s="27">
        <f>IF(AD330=0,"",IF(LEFT(K330,5)="Geler",O330,IF(M330="","",IF(Baux!$Q$29="",M330,MIN(M330,ROUND(L330*(1+Baux!$Q$29/100)^IF(Baux!$P$29="Base fixe",C330*Baux!$O$29,VALUE(LEFT(F330,4))-VALUE(LEFT(H330,4))),2))))))</f>
        <v/>
      </c>
      <c r="O330" s="27">
        <f>IF(AD330=0,"",N329)</f>
        <v/>
      </c>
      <c r="P330" s="28">
        <f>IF(OR(N330="",O330=""),"",N330/O330-1)</f>
        <v/>
      </c>
      <c r="Q330" s="27">
        <f>IF(N330="","",N330/12)</f>
        <v/>
      </c>
      <c r="R330" s="27">
        <f>IF(N330="","",N330/IF(Baux!$L$29="Mensuelle",12,IF(Baux!$L$29="Trimestrielle",4,IF(Baux!$L$29="Semestrielle",2,1))))</f>
        <v/>
      </c>
      <c r="S330" s="27">
        <f>IF(AD330=0,"",IF(Baux!$J$29="",0,Baux!$J$29)/IF(Baux!$L$29="Mensuelle",12,IF(Baux!$L$29="Trimestrielle",4,IF(Baux!$L$29="Semestrielle",2,1))))</f>
        <v/>
      </c>
      <c r="T330" s="27">
        <f>IF(R330="","",(R330+S330)*Baux!$K$29/100)</f>
        <v/>
      </c>
      <c r="U330" s="27">
        <f>IF(R330="","",R330+S330+T330)</f>
        <v/>
      </c>
      <c r="V330" s="17">
        <f>IF(AD330=0,"",IF(LEFT(K330,5)="Geler","❄ Gelée",IF(G330="",IF(D330&lt;=TODAY(),"⚠ Indice attendu","À venir"),IF(D330&lt;=TODAY(),"✔ Calculable","Indice connu – à venir"))))</f>
        <v/>
      </c>
      <c r="W330" s="29" t="n"/>
      <c r="X330" s="13" t="n"/>
      <c r="Y330" s="14" t="n"/>
      <c r="Z330" s="14" t="n"/>
      <c r="AA330" s="13" t="n"/>
      <c r="AB330" s="17">
        <f>IF(A330="","",A330&amp;"#"&amp;C330)</f>
        <v/>
      </c>
      <c r="AC330" s="17">
        <f>IF(AND(AD330=1,D330&lt;=TODAY(),N330&lt;&gt;""),1,0)</f>
        <v/>
      </c>
      <c r="AD330" s="17">
        <f>IF(OR(A330="",D330=""),0,IF(AND(ISNUMBER(Baux!$H$29),D330&gt;Baux!$H$29),0,1))</f>
        <v/>
      </c>
    </row>
    <row r="331">
      <c r="A331" s="17">
        <f>IF(Baux!$A$29="","",Baux!$A$29)</f>
        <v/>
      </c>
      <c r="B331" s="17">
        <f>IF(A331="","",Baux!$B$29)</f>
        <v/>
      </c>
      <c r="C331" s="17" t="n">
        <v>6</v>
      </c>
      <c r="D331" s="15">
        <f>IF(OR(A331="",Baux!$F$29="",Baux!$O$29=""),"",EDATE(Baux!$F$29,12*Baux!$O$29*C331))</f>
        <v/>
      </c>
      <c r="E331" s="17">
        <f>IF(AD331=0,"",Baux!$M$29)</f>
        <v/>
      </c>
      <c r="F331" s="17">
        <f>IF(AD331=0,"",IFERROR(TEXT(VALUE(LEFT(Baux!$N$29,4))+C331*Baux!$O$29,"0")&amp;RIGHT(Baux!$N$29,3),""))</f>
        <v/>
      </c>
      <c r="G331" s="25">
        <f>IF(AD331=0,"",IF(F331="","",IF(SUMIFS(Indices_long!$C:$C,Indices_long!$A:$A,E331,Indices_long!$B:$B,F331)=0,"",SUMIFS(Indices_long!$C:$C,Indices_long!$A:$A,E331,Indices_long!$B:$B,F331))))</f>
        <v/>
      </c>
      <c r="H331" s="17">
        <f>IF(AD331=0,"",IF(Baux!$P$29="Base fixe",Baux!$N$29,IF(K330="Geler – rattrapage possible",H330,F330)))</f>
        <v/>
      </c>
      <c r="I331" s="25">
        <f>IF(AD331=0,"",IF(H331="","",IF(SUMIFS(Indices_long!$C:$C,Indices_long!$A:$A,E331,Indices_long!$B:$B,H331)=0,"",SUMIFS(Indices_long!$C:$C,Indices_long!$A:$A,E331,Indices_long!$B:$B,H331))))</f>
        <v/>
      </c>
      <c r="J331" s="26">
        <f>IF(OR(G331="",I331=""),"",G331/I331)</f>
        <v/>
      </c>
      <c r="K331" s="13" t="n"/>
      <c r="L331" s="27">
        <f>IF(AD331=0,"",IF(Baux!$P$29="Base fixe",Baux!$I$29,N330))</f>
        <v/>
      </c>
      <c r="M331" s="27">
        <f>IF(OR(J331="",L331=""),"",ROUND(L331*J331,2))</f>
        <v/>
      </c>
      <c r="N331" s="27">
        <f>IF(AD331=0,"",IF(LEFT(K331,5)="Geler",O331,IF(M331="","",IF(Baux!$Q$29="",M331,MIN(M331,ROUND(L331*(1+Baux!$Q$29/100)^IF(Baux!$P$29="Base fixe",C331*Baux!$O$29,VALUE(LEFT(F331,4))-VALUE(LEFT(H331,4))),2))))))</f>
        <v/>
      </c>
      <c r="O331" s="27">
        <f>IF(AD331=0,"",N330)</f>
        <v/>
      </c>
      <c r="P331" s="28">
        <f>IF(OR(N331="",O331=""),"",N331/O331-1)</f>
        <v/>
      </c>
      <c r="Q331" s="27">
        <f>IF(N331="","",N331/12)</f>
        <v/>
      </c>
      <c r="R331" s="27">
        <f>IF(N331="","",N331/IF(Baux!$L$29="Mensuelle",12,IF(Baux!$L$29="Trimestrielle",4,IF(Baux!$L$29="Semestrielle",2,1))))</f>
        <v/>
      </c>
      <c r="S331" s="27">
        <f>IF(AD331=0,"",IF(Baux!$J$29="",0,Baux!$J$29)/IF(Baux!$L$29="Mensuelle",12,IF(Baux!$L$29="Trimestrielle",4,IF(Baux!$L$29="Semestrielle",2,1))))</f>
        <v/>
      </c>
      <c r="T331" s="27">
        <f>IF(R331="","",(R331+S331)*Baux!$K$29/100)</f>
        <v/>
      </c>
      <c r="U331" s="27">
        <f>IF(R331="","",R331+S331+T331)</f>
        <v/>
      </c>
      <c r="V331" s="17">
        <f>IF(AD331=0,"",IF(LEFT(K331,5)="Geler","❄ Gelée",IF(G331="",IF(D331&lt;=TODAY(),"⚠ Indice attendu","À venir"),IF(D331&lt;=TODAY(),"✔ Calculable","Indice connu – à venir"))))</f>
        <v/>
      </c>
      <c r="W331" s="29" t="n"/>
      <c r="X331" s="13" t="n"/>
      <c r="Y331" s="14" t="n"/>
      <c r="Z331" s="14" t="n"/>
      <c r="AA331" s="13" t="n"/>
      <c r="AB331" s="17">
        <f>IF(A331="","",A331&amp;"#"&amp;C331)</f>
        <v/>
      </c>
      <c r="AC331" s="17">
        <f>IF(AND(AD331=1,D331&lt;=TODAY(),N331&lt;&gt;""),1,0)</f>
        <v/>
      </c>
      <c r="AD331" s="17">
        <f>IF(OR(A331="",D331=""),0,IF(AND(ISNUMBER(Baux!$H$29),D331&gt;Baux!$H$29),0,1))</f>
        <v/>
      </c>
    </row>
    <row r="332">
      <c r="A332" s="17">
        <f>IF(Baux!$A$29="","",Baux!$A$29)</f>
        <v/>
      </c>
      <c r="B332" s="17">
        <f>IF(A332="","",Baux!$B$29)</f>
        <v/>
      </c>
      <c r="C332" s="17" t="n">
        <v>7</v>
      </c>
      <c r="D332" s="15">
        <f>IF(OR(A332="",Baux!$F$29="",Baux!$O$29=""),"",EDATE(Baux!$F$29,12*Baux!$O$29*C332))</f>
        <v/>
      </c>
      <c r="E332" s="17">
        <f>IF(AD332=0,"",Baux!$M$29)</f>
        <v/>
      </c>
      <c r="F332" s="17">
        <f>IF(AD332=0,"",IFERROR(TEXT(VALUE(LEFT(Baux!$N$29,4))+C332*Baux!$O$29,"0")&amp;RIGHT(Baux!$N$29,3),""))</f>
        <v/>
      </c>
      <c r="G332" s="25">
        <f>IF(AD332=0,"",IF(F332="","",IF(SUMIFS(Indices_long!$C:$C,Indices_long!$A:$A,E332,Indices_long!$B:$B,F332)=0,"",SUMIFS(Indices_long!$C:$C,Indices_long!$A:$A,E332,Indices_long!$B:$B,F332))))</f>
        <v/>
      </c>
      <c r="H332" s="17">
        <f>IF(AD332=0,"",IF(Baux!$P$29="Base fixe",Baux!$N$29,IF(K331="Geler – rattrapage possible",H331,F331)))</f>
        <v/>
      </c>
      <c r="I332" s="25">
        <f>IF(AD332=0,"",IF(H332="","",IF(SUMIFS(Indices_long!$C:$C,Indices_long!$A:$A,E332,Indices_long!$B:$B,H332)=0,"",SUMIFS(Indices_long!$C:$C,Indices_long!$A:$A,E332,Indices_long!$B:$B,H332))))</f>
        <v/>
      </c>
      <c r="J332" s="26">
        <f>IF(OR(G332="",I332=""),"",G332/I332)</f>
        <v/>
      </c>
      <c r="K332" s="13" t="n"/>
      <c r="L332" s="27">
        <f>IF(AD332=0,"",IF(Baux!$P$29="Base fixe",Baux!$I$29,N331))</f>
        <v/>
      </c>
      <c r="M332" s="27">
        <f>IF(OR(J332="",L332=""),"",ROUND(L332*J332,2))</f>
        <v/>
      </c>
      <c r="N332" s="27">
        <f>IF(AD332=0,"",IF(LEFT(K332,5)="Geler",O332,IF(M332="","",IF(Baux!$Q$29="",M332,MIN(M332,ROUND(L332*(1+Baux!$Q$29/100)^IF(Baux!$P$29="Base fixe",C332*Baux!$O$29,VALUE(LEFT(F332,4))-VALUE(LEFT(H332,4))),2))))))</f>
        <v/>
      </c>
      <c r="O332" s="27">
        <f>IF(AD332=0,"",N331)</f>
        <v/>
      </c>
      <c r="P332" s="28">
        <f>IF(OR(N332="",O332=""),"",N332/O332-1)</f>
        <v/>
      </c>
      <c r="Q332" s="27">
        <f>IF(N332="","",N332/12)</f>
        <v/>
      </c>
      <c r="R332" s="27">
        <f>IF(N332="","",N332/IF(Baux!$L$29="Mensuelle",12,IF(Baux!$L$29="Trimestrielle",4,IF(Baux!$L$29="Semestrielle",2,1))))</f>
        <v/>
      </c>
      <c r="S332" s="27">
        <f>IF(AD332=0,"",IF(Baux!$J$29="",0,Baux!$J$29)/IF(Baux!$L$29="Mensuelle",12,IF(Baux!$L$29="Trimestrielle",4,IF(Baux!$L$29="Semestrielle",2,1))))</f>
        <v/>
      </c>
      <c r="T332" s="27">
        <f>IF(R332="","",(R332+S332)*Baux!$K$29/100)</f>
        <v/>
      </c>
      <c r="U332" s="27">
        <f>IF(R332="","",R332+S332+T332)</f>
        <v/>
      </c>
      <c r="V332" s="17">
        <f>IF(AD332=0,"",IF(LEFT(K332,5)="Geler","❄ Gelée",IF(G332="",IF(D332&lt;=TODAY(),"⚠ Indice attendu","À venir"),IF(D332&lt;=TODAY(),"✔ Calculable","Indice connu – à venir"))))</f>
        <v/>
      </c>
      <c r="W332" s="29" t="n"/>
      <c r="X332" s="13" t="n"/>
      <c r="Y332" s="14" t="n"/>
      <c r="Z332" s="14" t="n"/>
      <c r="AA332" s="13" t="n"/>
      <c r="AB332" s="17">
        <f>IF(A332="","",A332&amp;"#"&amp;C332)</f>
        <v/>
      </c>
      <c r="AC332" s="17">
        <f>IF(AND(AD332=1,D332&lt;=TODAY(),N332&lt;&gt;""),1,0)</f>
        <v/>
      </c>
      <c r="AD332" s="17">
        <f>IF(OR(A332="",D332=""),0,IF(AND(ISNUMBER(Baux!$H$29),D332&gt;Baux!$H$29),0,1))</f>
        <v/>
      </c>
    </row>
    <row r="333">
      <c r="A333" s="17">
        <f>IF(Baux!$A$29="","",Baux!$A$29)</f>
        <v/>
      </c>
      <c r="B333" s="17">
        <f>IF(A333="","",Baux!$B$29)</f>
        <v/>
      </c>
      <c r="C333" s="17" t="n">
        <v>8</v>
      </c>
      <c r="D333" s="15">
        <f>IF(OR(A333="",Baux!$F$29="",Baux!$O$29=""),"",EDATE(Baux!$F$29,12*Baux!$O$29*C333))</f>
        <v/>
      </c>
      <c r="E333" s="17">
        <f>IF(AD333=0,"",Baux!$M$29)</f>
        <v/>
      </c>
      <c r="F333" s="17">
        <f>IF(AD333=0,"",IFERROR(TEXT(VALUE(LEFT(Baux!$N$29,4))+C333*Baux!$O$29,"0")&amp;RIGHT(Baux!$N$29,3),""))</f>
        <v/>
      </c>
      <c r="G333" s="25">
        <f>IF(AD333=0,"",IF(F333="","",IF(SUMIFS(Indices_long!$C:$C,Indices_long!$A:$A,E333,Indices_long!$B:$B,F333)=0,"",SUMIFS(Indices_long!$C:$C,Indices_long!$A:$A,E333,Indices_long!$B:$B,F333))))</f>
        <v/>
      </c>
      <c r="H333" s="17">
        <f>IF(AD333=0,"",IF(Baux!$P$29="Base fixe",Baux!$N$29,IF(K332="Geler – rattrapage possible",H332,F332)))</f>
        <v/>
      </c>
      <c r="I333" s="25">
        <f>IF(AD333=0,"",IF(H333="","",IF(SUMIFS(Indices_long!$C:$C,Indices_long!$A:$A,E333,Indices_long!$B:$B,H333)=0,"",SUMIFS(Indices_long!$C:$C,Indices_long!$A:$A,E333,Indices_long!$B:$B,H333))))</f>
        <v/>
      </c>
      <c r="J333" s="26">
        <f>IF(OR(G333="",I333=""),"",G333/I333)</f>
        <v/>
      </c>
      <c r="K333" s="13" t="n"/>
      <c r="L333" s="27">
        <f>IF(AD333=0,"",IF(Baux!$P$29="Base fixe",Baux!$I$29,N332))</f>
        <v/>
      </c>
      <c r="M333" s="27">
        <f>IF(OR(J333="",L333=""),"",ROUND(L333*J333,2))</f>
        <v/>
      </c>
      <c r="N333" s="27">
        <f>IF(AD333=0,"",IF(LEFT(K333,5)="Geler",O333,IF(M333="","",IF(Baux!$Q$29="",M333,MIN(M333,ROUND(L333*(1+Baux!$Q$29/100)^IF(Baux!$P$29="Base fixe",C333*Baux!$O$29,VALUE(LEFT(F333,4))-VALUE(LEFT(H333,4))),2))))))</f>
        <v/>
      </c>
      <c r="O333" s="27">
        <f>IF(AD333=0,"",N332)</f>
        <v/>
      </c>
      <c r="P333" s="28">
        <f>IF(OR(N333="",O333=""),"",N333/O333-1)</f>
        <v/>
      </c>
      <c r="Q333" s="27">
        <f>IF(N333="","",N333/12)</f>
        <v/>
      </c>
      <c r="R333" s="27">
        <f>IF(N333="","",N333/IF(Baux!$L$29="Mensuelle",12,IF(Baux!$L$29="Trimestrielle",4,IF(Baux!$L$29="Semestrielle",2,1))))</f>
        <v/>
      </c>
      <c r="S333" s="27">
        <f>IF(AD333=0,"",IF(Baux!$J$29="",0,Baux!$J$29)/IF(Baux!$L$29="Mensuelle",12,IF(Baux!$L$29="Trimestrielle",4,IF(Baux!$L$29="Semestrielle",2,1))))</f>
        <v/>
      </c>
      <c r="T333" s="27">
        <f>IF(R333="","",(R333+S333)*Baux!$K$29/100)</f>
        <v/>
      </c>
      <c r="U333" s="27">
        <f>IF(R333="","",R333+S333+T333)</f>
        <v/>
      </c>
      <c r="V333" s="17">
        <f>IF(AD333=0,"",IF(LEFT(K333,5)="Geler","❄ Gelée",IF(G333="",IF(D333&lt;=TODAY(),"⚠ Indice attendu","À venir"),IF(D333&lt;=TODAY(),"✔ Calculable","Indice connu – à venir"))))</f>
        <v/>
      </c>
      <c r="W333" s="29" t="n"/>
      <c r="X333" s="13" t="n"/>
      <c r="Y333" s="14" t="n"/>
      <c r="Z333" s="14" t="n"/>
      <c r="AA333" s="13" t="n"/>
      <c r="AB333" s="17">
        <f>IF(A333="","",A333&amp;"#"&amp;C333)</f>
        <v/>
      </c>
      <c r="AC333" s="17">
        <f>IF(AND(AD333=1,D333&lt;=TODAY(),N333&lt;&gt;""),1,0)</f>
        <v/>
      </c>
      <c r="AD333" s="17">
        <f>IF(OR(A333="",D333=""),0,IF(AND(ISNUMBER(Baux!$H$29),D333&gt;Baux!$H$29),0,1))</f>
        <v/>
      </c>
    </row>
    <row r="334">
      <c r="A334" s="17">
        <f>IF(Baux!$A$29="","",Baux!$A$29)</f>
        <v/>
      </c>
      <c r="B334" s="17">
        <f>IF(A334="","",Baux!$B$29)</f>
        <v/>
      </c>
      <c r="C334" s="17" t="n">
        <v>9</v>
      </c>
      <c r="D334" s="15">
        <f>IF(OR(A334="",Baux!$F$29="",Baux!$O$29=""),"",EDATE(Baux!$F$29,12*Baux!$O$29*C334))</f>
        <v/>
      </c>
      <c r="E334" s="17">
        <f>IF(AD334=0,"",Baux!$M$29)</f>
        <v/>
      </c>
      <c r="F334" s="17">
        <f>IF(AD334=0,"",IFERROR(TEXT(VALUE(LEFT(Baux!$N$29,4))+C334*Baux!$O$29,"0")&amp;RIGHT(Baux!$N$29,3),""))</f>
        <v/>
      </c>
      <c r="G334" s="25">
        <f>IF(AD334=0,"",IF(F334="","",IF(SUMIFS(Indices_long!$C:$C,Indices_long!$A:$A,E334,Indices_long!$B:$B,F334)=0,"",SUMIFS(Indices_long!$C:$C,Indices_long!$A:$A,E334,Indices_long!$B:$B,F334))))</f>
        <v/>
      </c>
      <c r="H334" s="17">
        <f>IF(AD334=0,"",IF(Baux!$P$29="Base fixe",Baux!$N$29,IF(K333="Geler – rattrapage possible",H333,F333)))</f>
        <v/>
      </c>
      <c r="I334" s="25">
        <f>IF(AD334=0,"",IF(H334="","",IF(SUMIFS(Indices_long!$C:$C,Indices_long!$A:$A,E334,Indices_long!$B:$B,H334)=0,"",SUMIFS(Indices_long!$C:$C,Indices_long!$A:$A,E334,Indices_long!$B:$B,H334))))</f>
        <v/>
      </c>
      <c r="J334" s="26">
        <f>IF(OR(G334="",I334=""),"",G334/I334)</f>
        <v/>
      </c>
      <c r="K334" s="13" t="n"/>
      <c r="L334" s="27">
        <f>IF(AD334=0,"",IF(Baux!$P$29="Base fixe",Baux!$I$29,N333))</f>
        <v/>
      </c>
      <c r="M334" s="27">
        <f>IF(OR(J334="",L334=""),"",ROUND(L334*J334,2))</f>
        <v/>
      </c>
      <c r="N334" s="27">
        <f>IF(AD334=0,"",IF(LEFT(K334,5)="Geler",O334,IF(M334="","",IF(Baux!$Q$29="",M334,MIN(M334,ROUND(L334*(1+Baux!$Q$29/100)^IF(Baux!$P$29="Base fixe",C334*Baux!$O$29,VALUE(LEFT(F334,4))-VALUE(LEFT(H334,4))),2))))))</f>
        <v/>
      </c>
      <c r="O334" s="27">
        <f>IF(AD334=0,"",N333)</f>
        <v/>
      </c>
      <c r="P334" s="28">
        <f>IF(OR(N334="",O334=""),"",N334/O334-1)</f>
        <v/>
      </c>
      <c r="Q334" s="27">
        <f>IF(N334="","",N334/12)</f>
        <v/>
      </c>
      <c r="R334" s="27">
        <f>IF(N334="","",N334/IF(Baux!$L$29="Mensuelle",12,IF(Baux!$L$29="Trimestrielle",4,IF(Baux!$L$29="Semestrielle",2,1))))</f>
        <v/>
      </c>
      <c r="S334" s="27">
        <f>IF(AD334=0,"",IF(Baux!$J$29="",0,Baux!$J$29)/IF(Baux!$L$29="Mensuelle",12,IF(Baux!$L$29="Trimestrielle",4,IF(Baux!$L$29="Semestrielle",2,1))))</f>
        <v/>
      </c>
      <c r="T334" s="27">
        <f>IF(R334="","",(R334+S334)*Baux!$K$29/100)</f>
        <v/>
      </c>
      <c r="U334" s="27">
        <f>IF(R334="","",R334+S334+T334)</f>
        <v/>
      </c>
      <c r="V334" s="17">
        <f>IF(AD334=0,"",IF(LEFT(K334,5)="Geler","❄ Gelée",IF(G334="",IF(D334&lt;=TODAY(),"⚠ Indice attendu","À venir"),IF(D334&lt;=TODAY(),"✔ Calculable","Indice connu – à venir"))))</f>
        <v/>
      </c>
      <c r="W334" s="29" t="n"/>
      <c r="X334" s="13" t="n"/>
      <c r="Y334" s="14" t="n"/>
      <c r="Z334" s="14" t="n"/>
      <c r="AA334" s="13" t="n"/>
      <c r="AB334" s="17">
        <f>IF(A334="","",A334&amp;"#"&amp;C334)</f>
        <v/>
      </c>
      <c r="AC334" s="17">
        <f>IF(AND(AD334=1,D334&lt;=TODAY(),N334&lt;&gt;""),1,0)</f>
        <v/>
      </c>
      <c r="AD334" s="17">
        <f>IF(OR(A334="",D334=""),0,IF(AND(ISNUMBER(Baux!$H$29),D334&gt;Baux!$H$29),0,1))</f>
        <v/>
      </c>
    </row>
    <row r="335">
      <c r="A335" s="17">
        <f>IF(Baux!$A$29="","",Baux!$A$29)</f>
        <v/>
      </c>
      <c r="B335" s="17">
        <f>IF(A335="","",Baux!$B$29)</f>
        <v/>
      </c>
      <c r="C335" s="17" t="n">
        <v>10</v>
      </c>
      <c r="D335" s="15">
        <f>IF(OR(A335="",Baux!$F$29="",Baux!$O$29=""),"",EDATE(Baux!$F$29,12*Baux!$O$29*C335))</f>
        <v/>
      </c>
      <c r="E335" s="17">
        <f>IF(AD335=0,"",Baux!$M$29)</f>
        <v/>
      </c>
      <c r="F335" s="17">
        <f>IF(AD335=0,"",IFERROR(TEXT(VALUE(LEFT(Baux!$N$29,4))+C335*Baux!$O$29,"0")&amp;RIGHT(Baux!$N$29,3),""))</f>
        <v/>
      </c>
      <c r="G335" s="25">
        <f>IF(AD335=0,"",IF(F335="","",IF(SUMIFS(Indices_long!$C:$C,Indices_long!$A:$A,E335,Indices_long!$B:$B,F335)=0,"",SUMIFS(Indices_long!$C:$C,Indices_long!$A:$A,E335,Indices_long!$B:$B,F335))))</f>
        <v/>
      </c>
      <c r="H335" s="17">
        <f>IF(AD335=0,"",IF(Baux!$P$29="Base fixe",Baux!$N$29,IF(K334="Geler – rattrapage possible",H334,F334)))</f>
        <v/>
      </c>
      <c r="I335" s="25">
        <f>IF(AD335=0,"",IF(H335="","",IF(SUMIFS(Indices_long!$C:$C,Indices_long!$A:$A,E335,Indices_long!$B:$B,H335)=0,"",SUMIFS(Indices_long!$C:$C,Indices_long!$A:$A,E335,Indices_long!$B:$B,H335))))</f>
        <v/>
      </c>
      <c r="J335" s="26">
        <f>IF(OR(G335="",I335=""),"",G335/I335)</f>
        <v/>
      </c>
      <c r="K335" s="13" t="n"/>
      <c r="L335" s="27">
        <f>IF(AD335=0,"",IF(Baux!$P$29="Base fixe",Baux!$I$29,N334))</f>
        <v/>
      </c>
      <c r="M335" s="27">
        <f>IF(OR(J335="",L335=""),"",ROUND(L335*J335,2))</f>
        <v/>
      </c>
      <c r="N335" s="27">
        <f>IF(AD335=0,"",IF(LEFT(K335,5)="Geler",O335,IF(M335="","",IF(Baux!$Q$29="",M335,MIN(M335,ROUND(L335*(1+Baux!$Q$29/100)^IF(Baux!$P$29="Base fixe",C335*Baux!$O$29,VALUE(LEFT(F335,4))-VALUE(LEFT(H335,4))),2))))))</f>
        <v/>
      </c>
      <c r="O335" s="27">
        <f>IF(AD335=0,"",N334)</f>
        <v/>
      </c>
      <c r="P335" s="28">
        <f>IF(OR(N335="",O335=""),"",N335/O335-1)</f>
        <v/>
      </c>
      <c r="Q335" s="27">
        <f>IF(N335="","",N335/12)</f>
        <v/>
      </c>
      <c r="R335" s="27">
        <f>IF(N335="","",N335/IF(Baux!$L$29="Mensuelle",12,IF(Baux!$L$29="Trimestrielle",4,IF(Baux!$L$29="Semestrielle",2,1))))</f>
        <v/>
      </c>
      <c r="S335" s="27">
        <f>IF(AD335=0,"",IF(Baux!$J$29="",0,Baux!$J$29)/IF(Baux!$L$29="Mensuelle",12,IF(Baux!$L$29="Trimestrielle",4,IF(Baux!$L$29="Semestrielle",2,1))))</f>
        <v/>
      </c>
      <c r="T335" s="27">
        <f>IF(R335="","",(R335+S335)*Baux!$K$29/100)</f>
        <v/>
      </c>
      <c r="U335" s="27">
        <f>IF(R335="","",R335+S335+T335)</f>
        <v/>
      </c>
      <c r="V335" s="17">
        <f>IF(AD335=0,"",IF(LEFT(K335,5)="Geler","❄ Gelée",IF(G335="",IF(D335&lt;=TODAY(),"⚠ Indice attendu","À venir"),IF(D335&lt;=TODAY(),"✔ Calculable","Indice connu – à venir"))))</f>
        <v/>
      </c>
      <c r="W335" s="29" t="n"/>
      <c r="X335" s="13" t="n"/>
      <c r="Y335" s="14" t="n"/>
      <c r="Z335" s="14" t="n"/>
      <c r="AA335" s="13" t="n"/>
      <c r="AB335" s="17">
        <f>IF(A335="","",A335&amp;"#"&amp;C335)</f>
        <v/>
      </c>
      <c r="AC335" s="17">
        <f>IF(AND(AD335=1,D335&lt;=TODAY(),N335&lt;&gt;""),1,0)</f>
        <v/>
      </c>
      <c r="AD335" s="17">
        <f>IF(OR(A335="",D335=""),0,IF(AND(ISNUMBER(Baux!$H$29),D335&gt;Baux!$H$29),0,1))</f>
        <v/>
      </c>
    </row>
    <row r="336">
      <c r="A336" s="17">
        <f>IF(Baux!$A$29="","",Baux!$A$29)</f>
        <v/>
      </c>
      <c r="B336" s="17">
        <f>IF(A336="","",Baux!$B$29)</f>
        <v/>
      </c>
      <c r="C336" s="17" t="n">
        <v>11</v>
      </c>
      <c r="D336" s="15">
        <f>IF(OR(A336="",Baux!$F$29="",Baux!$O$29=""),"",EDATE(Baux!$F$29,12*Baux!$O$29*C336))</f>
        <v/>
      </c>
      <c r="E336" s="17">
        <f>IF(AD336=0,"",Baux!$M$29)</f>
        <v/>
      </c>
      <c r="F336" s="17">
        <f>IF(AD336=0,"",IFERROR(TEXT(VALUE(LEFT(Baux!$N$29,4))+C336*Baux!$O$29,"0")&amp;RIGHT(Baux!$N$29,3),""))</f>
        <v/>
      </c>
      <c r="G336" s="25">
        <f>IF(AD336=0,"",IF(F336="","",IF(SUMIFS(Indices_long!$C:$C,Indices_long!$A:$A,E336,Indices_long!$B:$B,F336)=0,"",SUMIFS(Indices_long!$C:$C,Indices_long!$A:$A,E336,Indices_long!$B:$B,F336))))</f>
        <v/>
      </c>
      <c r="H336" s="17">
        <f>IF(AD336=0,"",IF(Baux!$P$29="Base fixe",Baux!$N$29,IF(K335="Geler – rattrapage possible",H335,F335)))</f>
        <v/>
      </c>
      <c r="I336" s="25">
        <f>IF(AD336=0,"",IF(H336="","",IF(SUMIFS(Indices_long!$C:$C,Indices_long!$A:$A,E336,Indices_long!$B:$B,H336)=0,"",SUMIFS(Indices_long!$C:$C,Indices_long!$A:$A,E336,Indices_long!$B:$B,H336))))</f>
        <v/>
      </c>
      <c r="J336" s="26">
        <f>IF(OR(G336="",I336=""),"",G336/I336)</f>
        <v/>
      </c>
      <c r="K336" s="13" t="n"/>
      <c r="L336" s="27">
        <f>IF(AD336=0,"",IF(Baux!$P$29="Base fixe",Baux!$I$29,N335))</f>
        <v/>
      </c>
      <c r="M336" s="27">
        <f>IF(OR(J336="",L336=""),"",ROUND(L336*J336,2))</f>
        <v/>
      </c>
      <c r="N336" s="27">
        <f>IF(AD336=0,"",IF(LEFT(K336,5)="Geler",O336,IF(M336="","",IF(Baux!$Q$29="",M336,MIN(M336,ROUND(L336*(1+Baux!$Q$29/100)^IF(Baux!$P$29="Base fixe",C336*Baux!$O$29,VALUE(LEFT(F336,4))-VALUE(LEFT(H336,4))),2))))))</f>
        <v/>
      </c>
      <c r="O336" s="27">
        <f>IF(AD336=0,"",N335)</f>
        <v/>
      </c>
      <c r="P336" s="28">
        <f>IF(OR(N336="",O336=""),"",N336/O336-1)</f>
        <v/>
      </c>
      <c r="Q336" s="27">
        <f>IF(N336="","",N336/12)</f>
        <v/>
      </c>
      <c r="R336" s="27">
        <f>IF(N336="","",N336/IF(Baux!$L$29="Mensuelle",12,IF(Baux!$L$29="Trimestrielle",4,IF(Baux!$L$29="Semestrielle",2,1))))</f>
        <v/>
      </c>
      <c r="S336" s="27">
        <f>IF(AD336=0,"",IF(Baux!$J$29="",0,Baux!$J$29)/IF(Baux!$L$29="Mensuelle",12,IF(Baux!$L$29="Trimestrielle",4,IF(Baux!$L$29="Semestrielle",2,1))))</f>
        <v/>
      </c>
      <c r="T336" s="27">
        <f>IF(R336="","",(R336+S336)*Baux!$K$29/100)</f>
        <v/>
      </c>
      <c r="U336" s="27">
        <f>IF(R336="","",R336+S336+T336)</f>
        <v/>
      </c>
      <c r="V336" s="17">
        <f>IF(AD336=0,"",IF(LEFT(K336,5)="Geler","❄ Gelée",IF(G336="",IF(D336&lt;=TODAY(),"⚠ Indice attendu","À venir"),IF(D336&lt;=TODAY(),"✔ Calculable","Indice connu – à venir"))))</f>
        <v/>
      </c>
      <c r="W336" s="29" t="n"/>
      <c r="X336" s="13" t="n"/>
      <c r="Y336" s="14" t="n"/>
      <c r="Z336" s="14" t="n"/>
      <c r="AA336" s="13" t="n"/>
      <c r="AB336" s="17">
        <f>IF(A336="","",A336&amp;"#"&amp;C336)</f>
        <v/>
      </c>
      <c r="AC336" s="17">
        <f>IF(AND(AD336=1,D336&lt;=TODAY(),N336&lt;&gt;""),1,0)</f>
        <v/>
      </c>
      <c r="AD336" s="17">
        <f>IF(OR(A336="",D336=""),0,IF(AND(ISNUMBER(Baux!$H$29),D336&gt;Baux!$H$29),0,1))</f>
        <v/>
      </c>
    </row>
    <row r="337">
      <c r="A337" s="17">
        <f>IF(Baux!$A$29="","",Baux!$A$29)</f>
        <v/>
      </c>
      <c r="B337" s="17">
        <f>IF(A337="","",Baux!$B$29)</f>
        <v/>
      </c>
      <c r="C337" s="17" t="n">
        <v>12</v>
      </c>
      <c r="D337" s="15">
        <f>IF(OR(A337="",Baux!$F$29="",Baux!$O$29=""),"",EDATE(Baux!$F$29,12*Baux!$O$29*C337))</f>
        <v/>
      </c>
      <c r="E337" s="17">
        <f>IF(AD337=0,"",Baux!$M$29)</f>
        <v/>
      </c>
      <c r="F337" s="17">
        <f>IF(AD337=0,"",IFERROR(TEXT(VALUE(LEFT(Baux!$N$29,4))+C337*Baux!$O$29,"0")&amp;RIGHT(Baux!$N$29,3),""))</f>
        <v/>
      </c>
      <c r="G337" s="25">
        <f>IF(AD337=0,"",IF(F337="","",IF(SUMIFS(Indices_long!$C:$C,Indices_long!$A:$A,E337,Indices_long!$B:$B,F337)=0,"",SUMIFS(Indices_long!$C:$C,Indices_long!$A:$A,E337,Indices_long!$B:$B,F337))))</f>
        <v/>
      </c>
      <c r="H337" s="17">
        <f>IF(AD337=0,"",IF(Baux!$P$29="Base fixe",Baux!$N$29,IF(K336="Geler – rattrapage possible",H336,F336)))</f>
        <v/>
      </c>
      <c r="I337" s="25">
        <f>IF(AD337=0,"",IF(H337="","",IF(SUMIFS(Indices_long!$C:$C,Indices_long!$A:$A,E337,Indices_long!$B:$B,H337)=0,"",SUMIFS(Indices_long!$C:$C,Indices_long!$A:$A,E337,Indices_long!$B:$B,H337))))</f>
        <v/>
      </c>
      <c r="J337" s="26">
        <f>IF(OR(G337="",I337=""),"",G337/I337)</f>
        <v/>
      </c>
      <c r="K337" s="13" t="n"/>
      <c r="L337" s="27">
        <f>IF(AD337=0,"",IF(Baux!$P$29="Base fixe",Baux!$I$29,N336))</f>
        <v/>
      </c>
      <c r="M337" s="27">
        <f>IF(OR(J337="",L337=""),"",ROUND(L337*J337,2))</f>
        <v/>
      </c>
      <c r="N337" s="27">
        <f>IF(AD337=0,"",IF(LEFT(K337,5)="Geler",O337,IF(M337="","",IF(Baux!$Q$29="",M337,MIN(M337,ROUND(L337*(1+Baux!$Q$29/100)^IF(Baux!$P$29="Base fixe",C337*Baux!$O$29,VALUE(LEFT(F337,4))-VALUE(LEFT(H337,4))),2))))))</f>
        <v/>
      </c>
      <c r="O337" s="27">
        <f>IF(AD337=0,"",N336)</f>
        <v/>
      </c>
      <c r="P337" s="28">
        <f>IF(OR(N337="",O337=""),"",N337/O337-1)</f>
        <v/>
      </c>
      <c r="Q337" s="27">
        <f>IF(N337="","",N337/12)</f>
        <v/>
      </c>
      <c r="R337" s="27">
        <f>IF(N337="","",N337/IF(Baux!$L$29="Mensuelle",12,IF(Baux!$L$29="Trimestrielle",4,IF(Baux!$L$29="Semestrielle",2,1))))</f>
        <v/>
      </c>
      <c r="S337" s="27">
        <f>IF(AD337=0,"",IF(Baux!$J$29="",0,Baux!$J$29)/IF(Baux!$L$29="Mensuelle",12,IF(Baux!$L$29="Trimestrielle",4,IF(Baux!$L$29="Semestrielle",2,1))))</f>
        <v/>
      </c>
      <c r="T337" s="27">
        <f>IF(R337="","",(R337+S337)*Baux!$K$29/100)</f>
        <v/>
      </c>
      <c r="U337" s="27">
        <f>IF(R337="","",R337+S337+T337)</f>
        <v/>
      </c>
      <c r="V337" s="17">
        <f>IF(AD337=0,"",IF(LEFT(K337,5)="Geler","❄ Gelée",IF(G337="",IF(D337&lt;=TODAY(),"⚠ Indice attendu","À venir"),IF(D337&lt;=TODAY(),"✔ Calculable","Indice connu – à venir"))))</f>
        <v/>
      </c>
      <c r="W337" s="29" t="n"/>
      <c r="X337" s="13" t="n"/>
      <c r="Y337" s="14" t="n"/>
      <c r="Z337" s="14" t="n"/>
      <c r="AA337" s="13" t="n"/>
      <c r="AB337" s="17">
        <f>IF(A337="","",A337&amp;"#"&amp;C337)</f>
        <v/>
      </c>
      <c r="AC337" s="17">
        <f>IF(AND(AD337=1,D337&lt;=TODAY(),N337&lt;&gt;""),1,0)</f>
        <v/>
      </c>
      <c r="AD337" s="17">
        <f>IF(OR(A337="",D337=""),0,IF(AND(ISNUMBER(Baux!$H$29),D337&gt;Baux!$H$29),0,1))</f>
        <v/>
      </c>
    </row>
    <row r="338">
      <c r="A338" s="17">
        <f>IF(Baux!$A$30="","",Baux!$A$30)</f>
        <v/>
      </c>
      <c r="B338" s="17">
        <f>IF(A338="","",Baux!$B$30)</f>
        <v/>
      </c>
      <c r="C338" s="17" t="n">
        <v>1</v>
      </c>
      <c r="D338" s="15">
        <f>IF(OR(A338="",Baux!$F$30="",Baux!$O$30=""),"",EDATE(Baux!$F$30,12*Baux!$O$30*C338))</f>
        <v/>
      </c>
      <c r="E338" s="17">
        <f>IF(AD338=0,"",Baux!$M$30)</f>
        <v/>
      </c>
      <c r="F338" s="17">
        <f>IF(AD338=0,"",IFERROR(TEXT(VALUE(LEFT(Baux!$N$30,4))+C338*Baux!$O$30,"0")&amp;RIGHT(Baux!$N$30,3),""))</f>
        <v/>
      </c>
      <c r="G338" s="25">
        <f>IF(AD338=0,"",IF(F338="","",IF(SUMIFS(Indices_long!$C:$C,Indices_long!$A:$A,E338,Indices_long!$B:$B,F338)=0,"",SUMIFS(Indices_long!$C:$C,Indices_long!$A:$A,E338,Indices_long!$B:$B,F338))))</f>
        <v/>
      </c>
      <c r="H338" s="17">
        <f>IF(AD338=0,"",Baux!$N$30)</f>
        <v/>
      </c>
      <c r="I338" s="25">
        <f>IF(AD338=0,"",IF(H338="","",IF(SUMIFS(Indices_long!$C:$C,Indices_long!$A:$A,E338,Indices_long!$B:$B,H338)=0,"",SUMIFS(Indices_long!$C:$C,Indices_long!$A:$A,E338,Indices_long!$B:$B,H338))))</f>
        <v/>
      </c>
      <c r="J338" s="26">
        <f>IF(OR(G338="",I338=""),"",G338/I338)</f>
        <v/>
      </c>
      <c r="K338" s="13" t="n"/>
      <c r="L338" s="27">
        <f>IF(AD338=0,"",Baux!$I$30)</f>
        <v/>
      </c>
      <c r="M338" s="27">
        <f>IF(OR(J338="",L338=""),"",ROUND(L338*J338,2))</f>
        <v/>
      </c>
      <c r="N338" s="27">
        <f>IF(AD338=0,"",IF(LEFT(K338,5)="Geler",O338,IF(M338="","",IF(Baux!$Q$30="",M338,MIN(M338,ROUND(L338*(1+Baux!$Q$30/100)^IF(Baux!$P$30="Base fixe",C338*Baux!$O$30,VALUE(LEFT(F338,4))-VALUE(LEFT(H338,4))),2))))))</f>
        <v/>
      </c>
      <c r="O338" s="27">
        <f>IF(AD338=0,"",Baux!$I$30)</f>
        <v/>
      </c>
      <c r="P338" s="28">
        <f>IF(OR(N338="",O338=""),"",N338/O338-1)</f>
        <v/>
      </c>
      <c r="Q338" s="27">
        <f>IF(N338="","",N338/12)</f>
        <v/>
      </c>
      <c r="R338" s="27">
        <f>IF(N338="","",N338/IF(Baux!$L$30="Mensuelle",12,IF(Baux!$L$30="Trimestrielle",4,IF(Baux!$L$30="Semestrielle",2,1))))</f>
        <v/>
      </c>
      <c r="S338" s="27">
        <f>IF(AD338=0,"",IF(Baux!$J$30="",0,Baux!$J$30)/IF(Baux!$L$30="Mensuelle",12,IF(Baux!$L$30="Trimestrielle",4,IF(Baux!$L$30="Semestrielle",2,1))))</f>
        <v/>
      </c>
      <c r="T338" s="27">
        <f>IF(R338="","",(R338+S338)*Baux!$K$30/100)</f>
        <v/>
      </c>
      <c r="U338" s="27">
        <f>IF(R338="","",R338+S338+T338)</f>
        <v/>
      </c>
      <c r="V338" s="17">
        <f>IF(AD338=0,"",IF(LEFT(K338,5)="Geler","❄ Gelée",IF(G338="",IF(D338&lt;=TODAY(),"⚠ Indice attendu","À venir"),IF(D338&lt;=TODAY(),"✔ Calculable","Indice connu – à venir"))))</f>
        <v/>
      </c>
      <c r="W338" s="29" t="n"/>
      <c r="X338" s="13" t="n"/>
      <c r="Y338" s="14" t="n"/>
      <c r="Z338" s="14" t="n"/>
      <c r="AA338" s="13" t="n"/>
      <c r="AB338" s="17">
        <f>IF(A338="","",A338&amp;"#"&amp;C338)</f>
        <v/>
      </c>
      <c r="AC338" s="17">
        <f>IF(AND(AD338=1,D338&lt;=TODAY(),N338&lt;&gt;""),1,0)</f>
        <v/>
      </c>
      <c r="AD338" s="17">
        <f>IF(OR(A338="",D338=""),0,IF(AND(ISNUMBER(Baux!$H$30),D338&gt;Baux!$H$30),0,1))</f>
        <v/>
      </c>
    </row>
    <row r="339">
      <c r="A339" s="17">
        <f>IF(Baux!$A$30="","",Baux!$A$30)</f>
        <v/>
      </c>
      <c r="B339" s="17">
        <f>IF(A339="","",Baux!$B$30)</f>
        <v/>
      </c>
      <c r="C339" s="17" t="n">
        <v>2</v>
      </c>
      <c r="D339" s="15">
        <f>IF(OR(A339="",Baux!$F$30="",Baux!$O$30=""),"",EDATE(Baux!$F$30,12*Baux!$O$30*C339))</f>
        <v/>
      </c>
      <c r="E339" s="17">
        <f>IF(AD339=0,"",Baux!$M$30)</f>
        <v/>
      </c>
      <c r="F339" s="17">
        <f>IF(AD339=0,"",IFERROR(TEXT(VALUE(LEFT(Baux!$N$30,4))+C339*Baux!$O$30,"0")&amp;RIGHT(Baux!$N$30,3),""))</f>
        <v/>
      </c>
      <c r="G339" s="25">
        <f>IF(AD339=0,"",IF(F339="","",IF(SUMIFS(Indices_long!$C:$C,Indices_long!$A:$A,E339,Indices_long!$B:$B,F339)=0,"",SUMIFS(Indices_long!$C:$C,Indices_long!$A:$A,E339,Indices_long!$B:$B,F339))))</f>
        <v/>
      </c>
      <c r="H339" s="17">
        <f>IF(AD339=0,"",IF(Baux!$P$30="Base fixe",Baux!$N$30,IF(K338="Geler – rattrapage possible",H338,F338)))</f>
        <v/>
      </c>
      <c r="I339" s="25">
        <f>IF(AD339=0,"",IF(H339="","",IF(SUMIFS(Indices_long!$C:$C,Indices_long!$A:$A,E339,Indices_long!$B:$B,H339)=0,"",SUMIFS(Indices_long!$C:$C,Indices_long!$A:$A,E339,Indices_long!$B:$B,H339))))</f>
        <v/>
      </c>
      <c r="J339" s="26">
        <f>IF(OR(G339="",I339=""),"",G339/I339)</f>
        <v/>
      </c>
      <c r="K339" s="13" t="n"/>
      <c r="L339" s="27">
        <f>IF(AD339=0,"",IF(Baux!$P$30="Base fixe",Baux!$I$30,N338))</f>
        <v/>
      </c>
      <c r="M339" s="27">
        <f>IF(OR(J339="",L339=""),"",ROUND(L339*J339,2))</f>
        <v/>
      </c>
      <c r="N339" s="27">
        <f>IF(AD339=0,"",IF(LEFT(K339,5)="Geler",O339,IF(M339="","",IF(Baux!$Q$30="",M339,MIN(M339,ROUND(L339*(1+Baux!$Q$30/100)^IF(Baux!$P$30="Base fixe",C339*Baux!$O$30,VALUE(LEFT(F339,4))-VALUE(LEFT(H339,4))),2))))))</f>
        <v/>
      </c>
      <c r="O339" s="27">
        <f>IF(AD339=0,"",N338)</f>
        <v/>
      </c>
      <c r="P339" s="28">
        <f>IF(OR(N339="",O339=""),"",N339/O339-1)</f>
        <v/>
      </c>
      <c r="Q339" s="27">
        <f>IF(N339="","",N339/12)</f>
        <v/>
      </c>
      <c r="R339" s="27">
        <f>IF(N339="","",N339/IF(Baux!$L$30="Mensuelle",12,IF(Baux!$L$30="Trimestrielle",4,IF(Baux!$L$30="Semestrielle",2,1))))</f>
        <v/>
      </c>
      <c r="S339" s="27">
        <f>IF(AD339=0,"",IF(Baux!$J$30="",0,Baux!$J$30)/IF(Baux!$L$30="Mensuelle",12,IF(Baux!$L$30="Trimestrielle",4,IF(Baux!$L$30="Semestrielle",2,1))))</f>
        <v/>
      </c>
      <c r="T339" s="27">
        <f>IF(R339="","",(R339+S339)*Baux!$K$30/100)</f>
        <v/>
      </c>
      <c r="U339" s="27">
        <f>IF(R339="","",R339+S339+T339)</f>
        <v/>
      </c>
      <c r="V339" s="17">
        <f>IF(AD339=0,"",IF(LEFT(K339,5)="Geler","❄ Gelée",IF(G339="",IF(D339&lt;=TODAY(),"⚠ Indice attendu","À venir"),IF(D339&lt;=TODAY(),"✔ Calculable","Indice connu – à venir"))))</f>
        <v/>
      </c>
      <c r="W339" s="29" t="n"/>
      <c r="X339" s="13" t="n"/>
      <c r="Y339" s="14" t="n"/>
      <c r="Z339" s="14" t="n"/>
      <c r="AA339" s="13" t="n"/>
      <c r="AB339" s="17">
        <f>IF(A339="","",A339&amp;"#"&amp;C339)</f>
        <v/>
      </c>
      <c r="AC339" s="17">
        <f>IF(AND(AD339=1,D339&lt;=TODAY(),N339&lt;&gt;""),1,0)</f>
        <v/>
      </c>
      <c r="AD339" s="17">
        <f>IF(OR(A339="",D339=""),0,IF(AND(ISNUMBER(Baux!$H$30),D339&gt;Baux!$H$30),0,1))</f>
        <v/>
      </c>
    </row>
    <row r="340">
      <c r="A340" s="17">
        <f>IF(Baux!$A$30="","",Baux!$A$30)</f>
        <v/>
      </c>
      <c r="B340" s="17">
        <f>IF(A340="","",Baux!$B$30)</f>
        <v/>
      </c>
      <c r="C340" s="17" t="n">
        <v>3</v>
      </c>
      <c r="D340" s="15">
        <f>IF(OR(A340="",Baux!$F$30="",Baux!$O$30=""),"",EDATE(Baux!$F$30,12*Baux!$O$30*C340))</f>
        <v/>
      </c>
      <c r="E340" s="17">
        <f>IF(AD340=0,"",Baux!$M$30)</f>
        <v/>
      </c>
      <c r="F340" s="17">
        <f>IF(AD340=0,"",IFERROR(TEXT(VALUE(LEFT(Baux!$N$30,4))+C340*Baux!$O$30,"0")&amp;RIGHT(Baux!$N$30,3),""))</f>
        <v/>
      </c>
      <c r="G340" s="25">
        <f>IF(AD340=0,"",IF(F340="","",IF(SUMIFS(Indices_long!$C:$C,Indices_long!$A:$A,E340,Indices_long!$B:$B,F340)=0,"",SUMIFS(Indices_long!$C:$C,Indices_long!$A:$A,E340,Indices_long!$B:$B,F340))))</f>
        <v/>
      </c>
      <c r="H340" s="17">
        <f>IF(AD340=0,"",IF(Baux!$P$30="Base fixe",Baux!$N$30,IF(K339="Geler – rattrapage possible",H339,F339)))</f>
        <v/>
      </c>
      <c r="I340" s="25">
        <f>IF(AD340=0,"",IF(H340="","",IF(SUMIFS(Indices_long!$C:$C,Indices_long!$A:$A,E340,Indices_long!$B:$B,H340)=0,"",SUMIFS(Indices_long!$C:$C,Indices_long!$A:$A,E340,Indices_long!$B:$B,H340))))</f>
        <v/>
      </c>
      <c r="J340" s="26">
        <f>IF(OR(G340="",I340=""),"",G340/I340)</f>
        <v/>
      </c>
      <c r="K340" s="13" t="n"/>
      <c r="L340" s="27">
        <f>IF(AD340=0,"",IF(Baux!$P$30="Base fixe",Baux!$I$30,N339))</f>
        <v/>
      </c>
      <c r="M340" s="27">
        <f>IF(OR(J340="",L340=""),"",ROUND(L340*J340,2))</f>
        <v/>
      </c>
      <c r="N340" s="27">
        <f>IF(AD340=0,"",IF(LEFT(K340,5)="Geler",O340,IF(M340="","",IF(Baux!$Q$30="",M340,MIN(M340,ROUND(L340*(1+Baux!$Q$30/100)^IF(Baux!$P$30="Base fixe",C340*Baux!$O$30,VALUE(LEFT(F340,4))-VALUE(LEFT(H340,4))),2))))))</f>
        <v/>
      </c>
      <c r="O340" s="27">
        <f>IF(AD340=0,"",N339)</f>
        <v/>
      </c>
      <c r="P340" s="28">
        <f>IF(OR(N340="",O340=""),"",N340/O340-1)</f>
        <v/>
      </c>
      <c r="Q340" s="27">
        <f>IF(N340="","",N340/12)</f>
        <v/>
      </c>
      <c r="R340" s="27">
        <f>IF(N340="","",N340/IF(Baux!$L$30="Mensuelle",12,IF(Baux!$L$30="Trimestrielle",4,IF(Baux!$L$30="Semestrielle",2,1))))</f>
        <v/>
      </c>
      <c r="S340" s="27">
        <f>IF(AD340=0,"",IF(Baux!$J$30="",0,Baux!$J$30)/IF(Baux!$L$30="Mensuelle",12,IF(Baux!$L$30="Trimestrielle",4,IF(Baux!$L$30="Semestrielle",2,1))))</f>
        <v/>
      </c>
      <c r="T340" s="27">
        <f>IF(R340="","",(R340+S340)*Baux!$K$30/100)</f>
        <v/>
      </c>
      <c r="U340" s="27">
        <f>IF(R340="","",R340+S340+T340)</f>
        <v/>
      </c>
      <c r="V340" s="17">
        <f>IF(AD340=0,"",IF(LEFT(K340,5)="Geler","❄ Gelée",IF(G340="",IF(D340&lt;=TODAY(),"⚠ Indice attendu","À venir"),IF(D340&lt;=TODAY(),"✔ Calculable","Indice connu – à venir"))))</f>
        <v/>
      </c>
      <c r="W340" s="29" t="n"/>
      <c r="X340" s="13" t="n"/>
      <c r="Y340" s="14" t="n"/>
      <c r="Z340" s="14" t="n"/>
      <c r="AA340" s="13" t="n"/>
      <c r="AB340" s="17">
        <f>IF(A340="","",A340&amp;"#"&amp;C340)</f>
        <v/>
      </c>
      <c r="AC340" s="17">
        <f>IF(AND(AD340=1,D340&lt;=TODAY(),N340&lt;&gt;""),1,0)</f>
        <v/>
      </c>
      <c r="AD340" s="17">
        <f>IF(OR(A340="",D340=""),0,IF(AND(ISNUMBER(Baux!$H$30),D340&gt;Baux!$H$30),0,1))</f>
        <v/>
      </c>
    </row>
    <row r="341">
      <c r="A341" s="17">
        <f>IF(Baux!$A$30="","",Baux!$A$30)</f>
        <v/>
      </c>
      <c r="B341" s="17">
        <f>IF(A341="","",Baux!$B$30)</f>
        <v/>
      </c>
      <c r="C341" s="17" t="n">
        <v>4</v>
      </c>
      <c r="D341" s="15">
        <f>IF(OR(A341="",Baux!$F$30="",Baux!$O$30=""),"",EDATE(Baux!$F$30,12*Baux!$O$30*C341))</f>
        <v/>
      </c>
      <c r="E341" s="17">
        <f>IF(AD341=0,"",Baux!$M$30)</f>
        <v/>
      </c>
      <c r="F341" s="17">
        <f>IF(AD341=0,"",IFERROR(TEXT(VALUE(LEFT(Baux!$N$30,4))+C341*Baux!$O$30,"0")&amp;RIGHT(Baux!$N$30,3),""))</f>
        <v/>
      </c>
      <c r="G341" s="25">
        <f>IF(AD341=0,"",IF(F341="","",IF(SUMIFS(Indices_long!$C:$C,Indices_long!$A:$A,E341,Indices_long!$B:$B,F341)=0,"",SUMIFS(Indices_long!$C:$C,Indices_long!$A:$A,E341,Indices_long!$B:$B,F341))))</f>
        <v/>
      </c>
      <c r="H341" s="17">
        <f>IF(AD341=0,"",IF(Baux!$P$30="Base fixe",Baux!$N$30,IF(K340="Geler – rattrapage possible",H340,F340)))</f>
        <v/>
      </c>
      <c r="I341" s="25">
        <f>IF(AD341=0,"",IF(H341="","",IF(SUMIFS(Indices_long!$C:$C,Indices_long!$A:$A,E341,Indices_long!$B:$B,H341)=0,"",SUMIFS(Indices_long!$C:$C,Indices_long!$A:$A,E341,Indices_long!$B:$B,H341))))</f>
        <v/>
      </c>
      <c r="J341" s="26">
        <f>IF(OR(G341="",I341=""),"",G341/I341)</f>
        <v/>
      </c>
      <c r="K341" s="13" t="n"/>
      <c r="L341" s="27">
        <f>IF(AD341=0,"",IF(Baux!$P$30="Base fixe",Baux!$I$30,N340))</f>
        <v/>
      </c>
      <c r="M341" s="27">
        <f>IF(OR(J341="",L341=""),"",ROUND(L341*J341,2))</f>
        <v/>
      </c>
      <c r="N341" s="27">
        <f>IF(AD341=0,"",IF(LEFT(K341,5)="Geler",O341,IF(M341="","",IF(Baux!$Q$30="",M341,MIN(M341,ROUND(L341*(1+Baux!$Q$30/100)^IF(Baux!$P$30="Base fixe",C341*Baux!$O$30,VALUE(LEFT(F341,4))-VALUE(LEFT(H341,4))),2))))))</f>
        <v/>
      </c>
      <c r="O341" s="27">
        <f>IF(AD341=0,"",N340)</f>
        <v/>
      </c>
      <c r="P341" s="28">
        <f>IF(OR(N341="",O341=""),"",N341/O341-1)</f>
        <v/>
      </c>
      <c r="Q341" s="27">
        <f>IF(N341="","",N341/12)</f>
        <v/>
      </c>
      <c r="R341" s="27">
        <f>IF(N341="","",N341/IF(Baux!$L$30="Mensuelle",12,IF(Baux!$L$30="Trimestrielle",4,IF(Baux!$L$30="Semestrielle",2,1))))</f>
        <v/>
      </c>
      <c r="S341" s="27">
        <f>IF(AD341=0,"",IF(Baux!$J$30="",0,Baux!$J$30)/IF(Baux!$L$30="Mensuelle",12,IF(Baux!$L$30="Trimestrielle",4,IF(Baux!$L$30="Semestrielle",2,1))))</f>
        <v/>
      </c>
      <c r="T341" s="27">
        <f>IF(R341="","",(R341+S341)*Baux!$K$30/100)</f>
        <v/>
      </c>
      <c r="U341" s="27">
        <f>IF(R341="","",R341+S341+T341)</f>
        <v/>
      </c>
      <c r="V341" s="17">
        <f>IF(AD341=0,"",IF(LEFT(K341,5)="Geler","❄ Gelée",IF(G341="",IF(D341&lt;=TODAY(),"⚠ Indice attendu","À venir"),IF(D341&lt;=TODAY(),"✔ Calculable","Indice connu – à venir"))))</f>
        <v/>
      </c>
      <c r="W341" s="29" t="n"/>
      <c r="X341" s="13" t="n"/>
      <c r="Y341" s="14" t="n"/>
      <c r="Z341" s="14" t="n"/>
      <c r="AA341" s="13" t="n"/>
      <c r="AB341" s="17">
        <f>IF(A341="","",A341&amp;"#"&amp;C341)</f>
        <v/>
      </c>
      <c r="AC341" s="17">
        <f>IF(AND(AD341=1,D341&lt;=TODAY(),N341&lt;&gt;""),1,0)</f>
        <v/>
      </c>
      <c r="AD341" s="17">
        <f>IF(OR(A341="",D341=""),0,IF(AND(ISNUMBER(Baux!$H$30),D341&gt;Baux!$H$30),0,1))</f>
        <v/>
      </c>
    </row>
    <row r="342">
      <c r="A342" s="17">
        <f>IF(Baux!$A$30="","",Baux!$A$30)</f>
        <v/>
      </c>
      <c r="B342" s="17">
        <f>IF(A342="","",Baux!$B$30)</f>
        <v/>
      </c>
      <c r="C342" s="17" t="n">
        <v>5</v>
      </c>
      <c r="D342" s="15">
        <f>IF(OR(A342="",Baux!$F$30="",Baux!$O$30=""),"",EDATE(Baux!$F$30,12*Baux!$O$30*C342))</f>
        <v/>
      </c>
      <c r="E342" s="17">
        <f>IF(AD342=0,"",Baux!$M$30)</f>
        <v/>
      </c>
      <c r="F342" s="17">
        <f>IF(AD342=0,"",IFERROR(TEXT(VALUE(LEFT(Baux!$N$30,4))+C342*Baux!$O$30,"0")&amp;RIGHT(Baux!$N$30,3),""))</f>
        <v/>
      </c>
      <c r="G342" s="25">
        <f>IF(AD342=0,"",IF(F342="","",IF(SUMIFS(Indices_long!$C:$C,Indices_long!$A:$A,E342,Indices_long!$B:$B,F342)=0,"",SUMIFS(Indices_long!$C:$C,Indices_long!$A:$A,E342,Indices_long!$B:$B,F342))))</f>
        <v/>
      </c>
      <c r="H342" s="17">
        <f>IF(AD342=0,"",IF(Baux!$P$30="Base fixe",Baux!$N$30,IF(K341="Geler – rattrapage possible",H341,F341)))</f>
        <v/>
      </c>
      <c r="I342" s="25">
        <f>IF(AD342=0,"",IF(H342="","",IF(SUMIFS(Indices_long!$C:$C,Indices_long!$A:$A,E342,Indices_long!$B:$B,H342)=0,"",SUMIFS(Indices_long!$C:$C,Indices_long!$A:$A,E342,Indices_long!$B:$B,H342))))</f>
        <v/>
      </c>
      <c r="J342" s="26">
        <f>IF(OR(G342="",I342=""),"",G342/I342)</f>
        <v/>
      </c>
      <c r="K342" s="13" t="n"/>
      <c r="L342" s="27">
        <f>IF(AD342=0,"",IF(Baux!$P$30="Base fixe",Baux!$I$30,N341))</f>
        <v/>
      </c>
      <c r="M342" s="27">
        <f>IF(OR(J342="",L342=""),"",ROUND(L342*J342,2))</f>
        <v/>
      </c>
      <c r="N342" s="27">
        <f>IF(AD342=0,"",IF(LEFT(K342,5)="Geler",O342,IF(M342="","",IF(Baux!$Q$30="",M342,MIN(M342,ROUND(L342*(1+Baux!$Q$30/100)^IF(Baux!$P$30="Base fixe",C342*Baux!$O$30,VALUE(LEFT(F342,4))-VALUE(LEFT(H342,4))),2))))))</f>
        <v/>
      </c>
      <c r="O342" s="27">
        <f>IF(AD342=0,"",N341)</f>
        <v/>
      </c>
      <c r="P342" s="28">
        <f>IF(OR(N342="",O342=""),"",N342/O342-1)</f>
        <v/>
      </c>
      <c r="Q342" s="27">
        <f>IF(N342="","",N342/12)</f>
        <v/>
      </c>
      <c r="R342" s="27">
        <f>IF(N342="","",N342/IF(Baux!$L$30="Mensuelle",12,IF(Baux!$L$30="Trimestrielle",4,IF(Baux!$L$30="Semestrielle",2,1))))</f>
        <v/>
      </c>
      <c r="S342" s="27">
        <f>IF(AD342=0,"",IF(Baux!$J$30="",0,Baux!$J$30)/IF(Baux!$L$30="Mensuelle",12,IF(Baux!$L$30="Trimestrielle",4,IF(Baux!$L$30="Semestrielle",2,1))))</f>
        <v/>
      </c>
      <c r="T342" s="27">
        <f>IF(R342="","",(R342+S342)*Baux!$K$30/100)</f>
        <v/>
      </c>
      <c r="U342" s="27">
        <f>IF(R342="","",R342+S342+T342)</f>
        <v/>
      </c>
      <c r="V342" s="17">
        <f>IF(AD342=0,"",IF(LEFT(K342,5)="Geler","❄ Gelée",IF(G342="",IF(D342&lt;=TODAY(),"⚠ Indice attendu","À venir"),IF(D342&lt;=TODAY(),"✔ Calculable","Indice connu – à venir"))))</f>
        <v/>
      </c>
      <c r="W342" s="29" t="n"/>
      <c r="X342" s="13" t="n"/>
      <c r="Y342" s="14" t="n"/>
      <c r="Z342" s="14" t="n"/>
      <c r="AA342" s="13" t="n"/>
      <c r="AB342" s="17">
        <f>IF(A342="","",A342&amp;"#"&amp;C342)</f>
        <v/>
      </c>
      <c r="AC342" s="17">
        <f>IF(AND(AD342=1,D342&lt;=TODAY(),N342&lt;&gt;""),1,0)</f>
        <v/>
      </c>
      <c r="AD342" s="17">
        <f>IF(OR(A342="",D342=""),0,IF(AND(ISNUMBER(Baux!$H$30),D342&gt;Baux!$H$30),0,1))</f>
        <v/>
      </c>
    </row>
    <row r="343">
      <c r="A343" s="17">
        <f>IF(Baux!$A$30="","",Baux!$A$30)</f>
        <v/>
      </c>
      <c r="B343" s="17">
        <f>IF(A343="","",Baux!$B$30)</f>
        <v/>
      </c>
      <c r="C343" s="17" t="n">
        <v>6</v>
      </c>
      <c r="D343" s="15">
        <f>IF(OR(A343="",Baux!$F$30="",Baux!$O$30=""),"",EDATE(Baux!$F$30,12*Baux!$O$30*C343))</f>
        <v/>
      </c>
      <c r="E343" s="17">
        <f>IF(AD343=0,"",Baux!$M$30)</f>
        <v/>
      </c>
      <c r="F343" s="17">
        <f>IF(AD343=0,"",IFERROR(TEXT(VALUE(LEFT(Baux!$N$30,4))+C343*Baux!$O$30,"0")&amp;RIGHT(Baux!$N$30,3),""))</f>
        <v/>
      </c>
      <c r="G343" s="25">
        <f>IF(AD343=0,"",IF(F343="","",IF(SUMIFS(Indices_long!$C:$C,Indices_long!$A:$A,E343,Indices_long!$B:$B,F343)=0,"",SUMIFS(Indices_long!$C:$C,Indices_long!$A:$A,E343,Indices_long!$B:$B,F343))))</f>
        <v/>
      </c>
      <c r="H343" s="17">
        <f>IF(AD343=0,"",IF(Baux!$P$30="Base fixe",Baux!$N$30,IF(K342="Geler – rattrapage possible",H342,F342)))</f>
        <v/>
      </c>
      <c r="I343" s="25">
        <f>IF(AD343=0,"",IF(H343="","",IF(SUMIFS(Indices_long!$C:$C,Indices_long!$A:$A,E343,Indices_long!$B:$B,H343)=0,"",SUMIFS(Indices_long!$C:$C,Indices_long!$A:$A,E343,Indices_long!$B:$B,H343))))</f>
        <v/>
      </c>
      <c r="J343" s="26">
        <f>IF(OR(G343="",I343=""),"",G343/I343)</f>
        <v/>
      </c>
      <c r="K343" s="13" t="n"/>
      <c r="L343" s="27">
        <f>IF(AD343=0,"",IF(Baux!$P$30="Base fixe",Baux!$I$30,N342))</f>
        <v/>
      </c>
      <c r="M343" s="27">
        <f>IF(OR(J343="",L343=""),"",ROUND(L343*J343,2))</f>
        <v/>
      </c>
      <c r="N343" s="27">
        <f>IF(AD343=0,"",IF(LEFT(K343,5)="Geler",O343,IF(M343="","",IF(Baux!$Q$30="",M343,MIN(M343,ROUND(L343*(1+Baux!$Q$30/100)^IF(Baux!$P$30="Base fixe",C343*Baux!$O$30,VALUE(LEFT(F343,4))-VALUE(LEFT(H343,4))),2))))))</f>
        <v/>
      </c>
      <c r="O343" s="27">
        <f>IF(AD343=0,"",N342)</f>
        <v/>
      </c>
      <c r="P343" s="28">
        <f>IF(OR(N343="",O343=""),"",N343/O343-1)</f>
        <v/>
      </c>
      <c r="Q343" s="27">
        <f>IF(N343="","",N343/12)</f>
        <v/>
      </c>
      <c r="R343" s="27">
        <f>IF(N343="","",N343/IF(Baux!$L$30="Mensuelle",12,IF(Baux!$L$30="Trimestrielle",4,IF(Baux!$L$30="Semestrielle",2,1))))</f>
        <v/>
      </c>
      <c r="S343" s="27">
        <f>IF(AD343=0,"",IF(Baux!$J$30="",0,Baux!$J$30)/IF(Baux!$L$30="Mensuelle",12,IF(Baux!$L$30="Trimestrielle",4,IF(Baux!$L$30="Semestrielle",2,1))))</f>
        <v/>
      </c>
      <c r="T343" s="27">
        <f>IF(R343="","",(R343+S343)*Baux!$K$30/100)</f>
        <v/>
      </c>
      <c r="U343" s="27">
        <f>IF(R343="","",R343+S343+T343)</f>
        <v/>
      </c>
      <c r="V343" s="17">
        <f>IF(AD343=0,"",IF(LEFT(K343,5)="Geler","❄ Gelée",IF(G343="",IF(D343&lt;=TODAY(),"⚠ Indice attendu","À venir"),IF(D343&lt;=TODAY(),"✔ Calculable","Indice connu – à venir"))))</f>
        <v/>
      </c>
      <c r="W343" s="29" t="n"/>
      <c r="X343" s="13" t="n"/>
      <c r="Y343" s="14" t="n"/>
      <c r="Z343" s="14" t="n"/>
      <c r="AA343" s="13" t="n"/>
      <c r="AB343" s="17">
        <f>IF(A343="","",A343&amp;"#"&amp;C343)</f>
        <v/>
      </c>
      <c r="AC343" s="17">
        <f>IF(AND(AD343=1,D343&lt;=TODAY(),N343&lt;&gt;""),1,0)</f>
        <v/>
      </c>
      <c r="AD343" s="17">
        <f>IF(OR(A343="",D343=""),0,IF(AND(ISNUMBER(Baux!$H$30),D343&gt;Baux!$H$30),0,1))</f>
        <v/>
      </c>
    </row>
    <row r="344">
      <c r="A344" s="17">
        <f>IF(Baux!$A$30="","",Baux!$A$30)</f>
        <v/>
      </c>
      <c r="B344" s="17">
        <f>IF(A344="","",Baux!$B$30)</f>
        <v/>
      </c>
      <c r="C344" s="17" t="n">
        <v>7</v>
      </c>
      <c r="D344" s="15">
        <f>IF(OR(A344="",Baux!$F$30="",Baux!$O$30=""),"",EDATE(Baux!$F$30,12*Baux!$O$30*C344))</f>
        <v/>
      </c>
      <c r="E344" s="17">
        <f>IF(AD344=0,"",Baux!$M$30)</f>
        <v/>
      </c>
      <c r="F344" s="17">
        <f>IF(AD344=0,"",IFERROR(TEXT(VALUE(LEFT(Baux!$N$30,4))+C344*Baux!$O$30,"0")&amp;RIGHT(Baux!$N$30,3),""))</f>
        <v/>
      </c>
      <c r="G344" s="25">
        <f>IF(AD344=0,"",IF(F344="","",IF(SUMIFS(Indices_long!$C:$C,Indices_long!$A:$A,E344,Indices_long!$B:$B,F344)=0,"",SUMIFS(Indices_long!$C:$C,Indices_long!$A:$A,E344,Indices_long!$B:$B,F344))))</f>
        <v/>
      </c>
      <c r="H344" s="17">
        <f>IF(AD344=0,"",IF(Baux!$P$30="Base fixe",Baux!$N$30,IF(K343="Geler – rattrapage possible",H343,F343)))</f>
        <v/>
      </c>
      <c r="I344" s="25">
        <f>IF(AD344=0,"",IF(H344="","",IF(SUMIFS(Indices_long!$C:$C,Indices_long!$A:$A,E344,Indices_long!$B:$B,H344)=0,"",SUMIFS(Indices_long!$C:$C,Indices_long!$A:$A,E344,Indices_long!$B:$B,H344))))</f>
        <v/>
      </c>
      <c r="J344" s="26">
        <f>IF(OR(G344="",I344=""),"",G344/I344)</f>
        <v/>
      </c>
      <c r="K344" s="13" t="n"/>
      <c r="L344" s="27">
        <f>IF(AD344=0,"",IF(Baux!$P$30="Base fixe",Baux!$I$30,N343))</f>
        <v/>
      </c>
      <c r="M344" s="27">
        <f>IF(OR(J344="",L344=""),"",ROUND(L344*J344,2))</f>
        <v/>
      </c>
      <c r="N344" s="27">
        <f>IF(AD344=0,"",IF(LEFT(K344,5)="Geler",O344,IF(M344="","",IF(Baux!$Q$30="",M344,MIN(M344,ROUND(L344*(1+Baux!$Q$30/100)^IF(Baux!$P$30="Base fixe",C344*Baux!$O$30,VALUE(LEFT(F344,4))-VALUE(LEFT(H344,4))),2))))))</f>
        <v/>
      </c>
      <c r="O344" s="27">
        <f>IF(AD344=0,"",N343)</f>
        <v/>
      </c>
      <c r="P344" s="28">
        <f>IF(OR(N344="",O344=""),"",N344/O344-1)</f>
        <v/>
      </c>
      <c r="Q344" s="27">
        <f>IF(N344="","",N344/12)</f>
        <v/>
      </c>
      <c r="R344" s="27">
        <f>IF(N344="","",N344/IF(Baux!$L$30="Mensuelle",12,IF(Baux!$L$30="Trimestrielle",4,IF(Baux!$L$30="Semestrielle",2,1))))</f>
        <v/>
      </c>
      <c r="S344" s="27">
        <f>IF(AD344=0,"",IF(Baux!$J$30="",0,Baux!$J$30)/IF(Baux!$L$30="Mensuelle",12,IF(Baux!$L$30="Trimestrielle",4,IF(Baux!$L$30="Semestrielle",2,1))))</f>
        <v/>
      </c>
      <c r="T344" s="27">
        <f>IF(R344="","",(R344+S344)*Baux!$K$30/100)</f>
        <v/>
      </c>
      <c r="U344" s="27">
        <f>IF(R344="","",R344+S344+T344)</f>
        <v/>
      </c>
      <c r="V344" s="17">
        <f>IF(AD344=0,"",IF(LEFT(K344,5)="Geler","❄ Gelée",IF(G344="",IF(D344&lt;=TODAY(),"⚠ Indice attendu","À venir"),IF(D344&lt;=TODAY(),"✔ Calculable","Indice connu – à venir"))))</f>
        <v/>
      </c>
      <c r="W344" s="29" t="n"/>
      <c r="X344" s="13" t="n"/>
      <c r="Y344" s="14" t="n"/>
      <c r="Z344" s="14" t="n"/>
      <c r="AA344" s="13" t="n"/>
      <c r="AB344" s="17">
        <f>IF(A344="","",A344&amp;"#"&amp;C344)</f>
        <v/>
      </c>
      <c r="AC344" s="17">
        <f>IF(AND(AD344=1,D344&lt;=TODAY(),N344&lt;&gt;""),1,0)</f>
        <v/>
      </c>
      <c r="AD344" s="17">
        <f>IF(OR(A344="",D344=""),0,IF(AND(ISNUMBER(Baux!$H$30),D344&gt;Baux!$H$30),0,1))</f>
        <v/>
      </c>
    </row>
    <row r="345">
      <c r="A345" s="17">
        <f>IF(Baux!$A$30="","",Baux!$A$30)</f>
        <v/>
      </c>
      <c r="B345" s="17">
        <f>IF(A345="","",Baux!$B$30)</f>
        <v/>
      </c>
      <c r="C345" s="17" t="n">
        <v>8</v>
      </c>
      <c r="D345" s="15">
        <f>IF(OR(A345="",Baux!$F$30="",Baux!$O$30=""),"",EDATE(Baux!$F$30,12*Baux!$O$30*C345))</f>
        <v/>
      </c>
      <c r="E345" s="17">
        <f>IF(AD345=0,"",Baux!$M$30)</f>
        <v/>
      </c>
      <c r="F345" s="17">
        <f>IF(AD345=0,"",IFERROR(TEXT(VALUE(LEFT(Baux!$N$30,4))+C345*Baux!$O$30,"0")&amp;RIGHT(Baux!$N$30,3),""))</f>
        <v/>
      </c>
      <c r="G345" s="25">
        <f>IF(AD345=0,"",IF(F345="","",IF(SUMIFS(Indices_long!$C:$C,Indices_long!$A:$A,E345,Indices_long!$B:$B,F345)=0,"",SUMIFS(Indices_long!$C:$C,Indices_long!$A:$A,E345,Indices_long!$B:$B,F345))))</f>
        <v/>
      </c>
      <c r="H345" s="17">
        <f>IF(AD345=0,"",IF(Baux!$P$30="Base fixe",Baux!$N$30,IF(K344="Geler – rattrapage possible",H344,F344)))</f>
        <v/>
      </c>
      <c r="I345" s="25">
        <f>IF(AD345=0,"",IF(H345="","",IF(SUMIFS(Indices_long!$C:$C,Indices_long!$A:$A,E345,Indices_long!$B:$B,H345)=0,"",SUMIFS(Indices_long!$C:$C,Indices_long!$A:$A,E345,Indices_long!$B:$B,H345))))</f>
        <v/>
      </c>
      <c r="J345" s="26">
        <f>IF(OR(G345="",I345=""),"",G345/I345)</f>
        <v/>
      </c>
      <c r="K345" s="13" t="n"/>
      <c r="L345" s="27">
        <f>IF(AD345=0,"",IF(Baux!$P$30="Base fixe",Baux!$I$30,N344))</f>
        <v/>
      </c>
      <c r="M345" s="27">
        <f>IF(OR(J345="",L345=""),"",ROUND(L345*J345,2))</f>
        <v/>
      </c>
      <c r="N345" s="27">
        <f>IF(AD345=0,"",IF(LEFT(K345,5)="Geler",O345,IF(M345="","",IF(Baux!$Q$30="",M345,MIN(M345,ROUND(L345*(1+Baux!$Q$30/100)^IF(Baux!$P$30="Base fixe",C345*Baux!$O$30,VALUE(LEFT(F345,4))-VALUE(LEFT(H345,4))),2))))))</f>
        <v/>
      </c>
      <c r="O345" s="27">
        <f>IF(AD345=0,"",N344)</f>
        <v/>
      </c>
      <c r="P345" s="28">
        <f>IF(OR(N345="",O345=""),"",N345/O345-1)</f>
        <v/>
      </c>
      <c r="Q345" s="27">
        <f>IF(N345="","",N345/12)</f>
        <v/>
      </c>
      <c r="R345" s="27">
        <f>IF(N345="","",N345/IF(Baux!$L$30="Mensuelle",12,IF(Baux!$L$30="Trimestrielle",4,IF(Baux!$L$30="Semestrielle",2,1))))</f>
        <v/>
      </c>
      <c r="S345" s="27">
        <f>IF(AD345=0,"",IF(Baux!$J$30="",0,Baux!$J$30)/IF(Baux!$L$30="Mensuelle",12,IF(Baux!$L$30="Trimestrielle",4,IF(Baux!$L$30="Semestrielle",2,1))))</f>
        <v/>
      </c>
      <c r="T345" s="27">
        <f>IF(R345="","",(R345+S345)*Baux!$K$30/100)</f>
        <v/>
      </c>
      <c r="U345" s="27">
        <f>IF(R345="","",R345+S345+T345)</f>
        <v/>
      </c>
      <c r="V345" s="17">
        <f>IF(AD345=0,"",IF(LEFT(K345,5)="Geler","❄ Gelée",IF(G345="",IF(D345&lt;=TODAY(),"⚠ Indice attendu","À venir"),IF(D345&lt;=TODAY(),"✔ Calculable","Indice connu – à venir"))))</f>
        <v/>
      </c>
      <c r="W345" s="29" t="n"/>
      <c r="X345" s="13" t="n"/>
      <c r="Y345" s="14" t="n"/>
      <c r="Z345" s="14" t="n"/>
      <c r="AA345" s="13" t="n"/>
      <c r="AB345" s="17">
        <f>IF(A345="","",A345&amp;"#"&amp;C345)</f>
        <v/>
      </c>
      <c r="AC345" s="17">
        <f>IF(AND(AD345=1,D345&lt;=TODAY(),N345&lt;&gt;""),1,0)</f>
        <v/>
      </c>
      <c r="AD345" s="17">
        <f>IF(OR(A345="",D345=""),0,IF(AND(ISNUMBER(Baux!$H$30),D345&gt;Baux!$H$30),0,1))</f>
        <v/>
      </c>
    </row>
    <row r="346">
      <c r="A346" s="17">
        <f>IF(Baux!$A$30="","",Baux!$A$30)</f>
        <v/>
      </c>
      <c r="B346" s="17">
        <f>IF(A346="","",Baux!$B$30)</f>
        <v/>
      </c>
      <c r="C346" s="17" t="n">
        <v>9</v>
      </c>
      <c r="D346" s="15">
        <f>IF(OR(A346="",Baux!$F$30="",Baux!$O$30=""),"",EDATE(Baux!$F$30,12*Baux!$O$30*C346))</f>
        <v/>
      </c>
      <c r="E346" s="17">
        <f>IF(AD346=0,"",Baux!$M$30)</f>
        <v/>
      </c>
      <c r="F346" s="17">
        <f>IF(AD346=0,"",IFERROR(TEXT(VALUE(LEFT(Baux!$N$30,4))+C346*Baux!$O$30,"0")&amp;RIGHT(Baux!$N$30,3),""))</f>
        <v/>
      </c>
      <c r="G346" s="25">
        <f>IF(AD346=0,"",IF(F346="","",IF(SUMIFS(Indices_long!$C:$C,Indices_long!$A:$A,E346,Indices_long!$B:$B,F346)=0,"",SUMIFS(Indices_long!$C:$C,Indices_long!$A:$A,E346,Indices_long!$B:$B,F346))))</f>
        <v/>
      </c>
      <c r="H346" s="17">
        <f>IF(AD346=0,"",IF(Baux!$P$30="Base fixe",Baux!$N$30,IF(K345="Geler – rattrapage possible",H345,F345)))</f>
        <v/>
      </c>
      <c r="I346" s="25">
        <f>IF(AD346=0,"",IF(H346="","",IF(SUMIFS(Indices_long!$C:$C,Indices_long!$A:$A,E346,Indices_long!$B:$B,H346)=0,"",SUMIFS(Indices_long!$C:$C,Indices_long!$A:$A,E346,Indices_long!$B:$B,H346))))</f>
        <v/>
      </c>
      <c r="J346" s="26">
        <f>IF(OR(G346="",I346=""),"",G346/I346)</f>
        <v/>
      </c>
      <c r="K346" s="13" t="n"/>
      <c r="L346" s="27">
        <f>IF(AD346=0,"",IF(Baux!$P$30="Base fixe",Baux!$I$30,N345))</f>
        <v/>
      </c>
      <c r="M346" s="27">
        <f>IF(OR(J346="",L346=""),"",ROUND(L346*J346,2))</f>
        <v/>
      </c>
      <c r="N346" s="27">
        <f>IF(AD346=0,"",IF(LEFT(K346,5)="Geler",O346,IF(M346="","",IF(Baux!$Q$30="",M346,MIN(M346,ROUND(L346*(1+Baux!$Q$30/100)^IF(Baux!$P$30="Base fixe",C346*Baux!$O$30,VALUE(LEFT(F346,4))-VALUE(LEFT(H346,4))),2))))))</f>
        <v/>
      </c>
      <c r="O346" s="27">
        <f>IF(AD346=0,"",N345)</f>
        <v/>
      </c>
      <c r="P346" s="28">
        <f>IF(OR(N346="",O346=""),"",N346/O346-1)</f>
        <v/>
      </c>
      <c r="Q346" s="27">
        <f>IF(N346="","",N346/12)</f>
        <v/>
      </c>
      <c r="R346" s="27">
        <f>IF(N346="","",N346/IF(Baux!$L$30="Mensuelle",12,IF(Baux!$L$30="Trimestrielle",4,IF(Baux!$L$30="Semestrielle",2,1))))</f>
        <v/>
      </c>
      <c r="S346" s="27">
        <f>IF(AD346=0,"",IF(Baux!$J$30="",0,Baux!$J$30)/IF(Baux!$L$30="Mensuelle",12,IF(Baux!$L$30="Trimestrielle",4,IF(Baux!$L$30="Semestrielle",2,1))))</f>
        <v/>
      </c>
      <c r="T346" s="27">
        <f>IF(R346="","",(R346+S346)*Baux!$K$30/100)</f>
        <v/>
      </c>
      <c r="U346" s="27">
        <f>IF(R346="","",R346+S346+T346)</f>
        <v/>
      </c>
      <c r="V346" s="17">
        <f>IF(AD346=0,"",IF(LEFT(K346,5)="Geler","❄ Gelée",IF(G346="",IF(D346&lt;=TODAY(),"⚠ Indice attendu","À venir"),IF(D346&lt;=TODAY(),"✔ Calculable","Indice connu – à venir"))))</f>
        <v/>
      </c>
      <c r="W346" s="29" t="n"/>
      <c r="X346" s="13" t="n"/>
      <c r="Y346" s="14" t="n"/>
      <c r="Z346" s="14" t="n"/>
      <c r="AA346" s="13" t="n"/>
      <c r="AB346" s="17">
        <f>IF(A346="","",A346&amp;"#"&amp;C346)</f>
        <v/>
      </c>
      <c r="AC346" s="17">
        <f>IF(AND(AD346=1,D346&lt;=TODAY(),N346&lt;&gt;""),1,0)</f>
        <v/>
      </c>
      <c r="AD346" s="17">
        <f>IF(OR(A346="",D346=""),0,IF(AND(ISNUMBER(Baux!$H$30),D346&gt;Baux!$H$30),0,1))</f>
        <v/>
      </c>
    </row>
    <row r="347">
      <c r="A347" s="17">
        <f>IF(Baux!$A$30="","",Baux!$A$30)</f>
        <v/>
      </c>
      <c r="B347" s="17">
        <f>IF(A347="","",Baux!$B$30)</f>
        <v/>
      </c>
      <c r="C347" s="17" t="n">
        <v>10</v>
      </c>
      <c r="D347" s="15">
        <f>IF(OR(A347="",Baux!$F$30="",Baux!$O$30=""),"",EDATE(Baux!$F$30,12*Baux!$O$30*C347))</f>
        <v/>
      </c>
      <c r="E347" s="17">
        <f>IF(AD347=0,"",Baux!$M$30)</f>
        <v/>
      </c>
      <c r="F347" s="17">
        <f>IF(AD347=0,"",IFERROR(TEXT(VALUE(LEFT(Baux!$N$30,4))+C347*Baux!$O$30,"0")&amp;RIGHT(Baux!$N$30,3),""))</f>
        <v/>
      </c>
      <c r="G347" s="25">
        <f>IF(AD347=0,"",IF(F347="","",IF(SUMIFS(Indices_long!$C:$C,Indices_long!$A:$A,E347,Indices_long!$B:$B,F347)=0,"",SUMIFS(Indices_long!$C:$C,Indices_long!$A:$A,E347,Indices_long!$B:$B,F347))))</f>
        <v/>
      </c>
      <c r="H347" s="17">
        <f>IF(AD347=0,"",IF(Baux!$P$30="Base fixe",Baux!$N$30,IF(K346="Geler – rattrapage possible",H346,F346)))</f>
        <v/>
      </c>
      <c r="I347" s="25">
        <f>IF(AD347=0,"",IF(H347="","",IF(SUMIFS(Indices_long!$C:$C,Indices_long!$A:$A,E347,Indices_long!$B:$B,H347)=0,"",SUMIFS(Indices_long!$C:$C,Indices_long!$A:$A,E347,Indices_long!$B:$B,H347))))</f>
        <v/>
      </c>
      <c r="J347" s="26">
        <f>IF(OR(G347="",I347=""),"",G347/I347)</f>
        <v/>
      </c>
      <c r="K347" s="13" t="n"/>
      <c r="L347" s="27">
        <f>IF(AD347=0,"",IF(Baux!$P$30="Base fixe",Baux!$I$30,N346))</f>
        <v/>
      </c>
      <c r="M347" s="27">
        <f>IF(OR(J347="",L347=""),"",ROUND(L347*J347,2))</f>
        <v/>
      </c>
      <c r="N347" s="27">
        <f>IF(AD347=0,"",IF(LEFT(K347,5)="Geler",O347,IF(M347="","",IF(Baux!$Q$30="",M347,MIN(M347,ROUND(L347*(1+Baux!$Q$30/100)^IF(Baux!$P$30="Base fixe",C347*Baux!$O$30,VALUE(LEFT(F347,4))-VALUE(LEFT(H347,4))),2))))))</f>
        <v/>
      </c>
      <c r="O347" s="27">
        <f>IF(AD347=0,"",N346)</f>
        <v/>
      </c>
      <c r="P347" s="28">
        <f>IF(OR(N347="",O347=""),"",N347/O347-1)</f>
        <v/>
      </c>
      <c r="Q347" s="27">
        <f>IF(N347="","",N347/12)</f>
        <v/>
      </c>
      <c r="R347" s="27">
        <f>IF(N347="","",N347/IF(Baux!$L$30="Mensuelle",12,IF(Baux!$L$30="Trimestrielle",4,IF(Baux!$L$30="Semestrielle",2,1))))</f>
        <v/>
      </c>
      <c r="S347" s="27">
        <f>IF(AD347=0,"",IF(Baux!$J$30="",0,Baux!$J$30)/IF(Baux!$L$30="Mensuelle",12,IF(Baux!$L$30="Trimestrielle",4,IF(Baux!$L$30="Semestrielle",2,1))))</f>
        <v/>
      </c>
      <c r="T347" s="27">
        <f>IF(R347="","",(R347+S347)*Baux!$K$30/100)</f>
        <v/>
      </c>
      <c r="U347" s="27">
        <f>IF(R347="","",R347+S347+T347)</f>
        <v/>
      </c>
      <c r="V347" s="17">
        <f>IF(AD347=0,"",IF(LEFT(K347,5)="Geler","❄ Gelée",IF(G347="",IF(D347&lt;=TODAY(),"⚠ Indice attendu","À venir"),IF(D347&lt;=TODAY(),"✔ Calculable","Indice connu – à venir"))))</f>
        <v/>
      </c>
      <c r="W347" s="29" t="n"/>
      <c r="X347" s="13" t="n"/>
      <c r="Y347" s="14" t="n"/>
      <c r="Z347" s="14" t="n"/>
      <c r="AA347" s="13" t="n"/>
      <c r="AB347" s="17">
        <f>IF(A347="","",A347&amp;"#"&amp;C347)</f>
        <v/>
      </c>
      <c r="AC347" s="17">
        <f>IF(AND(AD347=1,D347&lt;=TODAY(),N347&lt;&gt;""),1,0)</f>
        <v/>
      </c>
      <c r="AD347" s="17">
        <f>IF(OR(A347="",D347=""),0,IF(AND(ISNUMBER(Baux!$H$30),D347&gt;Baux!$H$30),0,1))</f>
        <v/>
      </c>
    </row>
    <row r="348">
      <c r="A348" s="17">
        <f>IF(Baux!$A$30="","",Baux!$A$30)</f>
        <v/>
      </c>
      <c r="B348" s="17">
        <f>IF(A348="","",Baux!$B$30)</f>
        <v/>
      </c>
      <c r="C348" s="17" t="n">
        <v>11</v>
      </c>
      <c r="D348" s="15">
        <f>IF(OR(A348="",Baux!$F$30="",Baux!$O$30=""),"",EDATE(Baux!$F$30,12*Baux!$O$30*C348))</f>
        <v/>
      </c>
      <c r="E348" s="17">
        <f>IF(AD348=0,"",Baux!$M$30)</f>
        <v/>
      </c>
      <c r="F348" s="17">
        <f>IF(AD348=0,"",IFERROR(TEXT(VALUE(LEFT(Baux!$N$30,4))+C348*Baux!$O$30,"0")&amp;RIGHT(Baux!$N$30,3),""))</f>
        <v/>
      </c>
      <c r="G348" s="25">
        <f>IF(AD348=0,"",IF(F348="","",IF(SUMIFS(Indices_long!$C:$C,Indices_long!$A:$A,E348,Indices_long!$B:$B,F348)=0,"",SUMIFS(Indices_long!$C:$C,Indices_long!$A:$A,E348,Indices_long!$B:$B,F348))))</f>
        <v/>
      </c>
      <c r="H348" s="17">
        <f>IF(AD348=0,"",IF(Baux!$P$30="Base fixe",Baux!$N$30,IF(K347="Geler – rattrapage possible",H347,F347)))</f>
        <v/>
      </c>
      <c r="I348" s="25">
        <f>IF(AD348=0,"",IF(H348="","",IF(SUMIFS(Indices_long!$C:$C,Indices_long!$A:$A,E348,Indices_long!$B:$B,H348)=0,"",SUMIFS(Indices_long!$C:$C,Indices_long!$A:$A,E348,Indices_long!$B:$B,H348))))</f>
        <v/>
      </c>
      <c r="J348" s="26">
        <f>IF(OR(G348="",I348=""),"",G348/I348)</f>
        <v/>
      </c>
      <c r="K348" s="13" t="n"/>
      <c r="L348" s="27">
        <f>IF(AD348=0,"",IF(Baux!$P$30="Base fixe",Baux!$I$30,N347))</f>
        <v/>
      </c>
      <c r="M348" s="27">
        <f>IF(OR(J348="",L348=""),"",ROUND(L348*J348,2))</f>
        <v/>
      </c>
      <c r="N348" s="27">
        <f>IF(AD348=0,"",IF(LEFT(K348,5)="Geler",O348,IF(M348="","",IF(Baux!$Q$30="",M348,MIN(M348,ROUND(L348*(1+Baux!$Q$30/100)^IF(Baux!$P$30="Base fixe",C348*Baux!$O$30,VALUE(LEFT(F348,4))-VALUE(LEFT(H348,4))),2))))))</f>
        <v/>
      </c>
      <c r="O348" s="27">
        <f>IF(AD348=0,"",N347)</f>
        <v/>
      </c>
      <c r="P348" s="28">
        <f>IF(OR(N348="",O348=""),"",N348/O348-1)</f>
        <v/>
      </c>
      <c r="Q348" s="27">
        <f>IF(N348="","",N348/12)</f>
        <v/>
      </c>
      <c r="R348" s="27">
        <f>IF(N348="","",N348/IF(Baux!$L$30="Mensuelle",12,IF(Baux!$L$30="Trimestrielle",4,IF(Baux!$L$30="Semestrielle",2,1))))</f>
        <v/>
      </c>
      <c r="S348" s="27">
        <f>IF(AD348=0,"",IF(Baux!$J$30="",0,Baux!$J$30)/IF(Baux!$L$30="Mensuelle",12,IF(Baux!$L$30="Trimestrielle",4,IF(Baux!$L$30="Semestrielle",2,1))))</f>
        <v/>
      </c>
      <c r="T348" s="27">
        <f>IF(R348="","",(R348+S348)*Baux!$K$30/100)</f>
        <v/>
      </c>
      <c r="U348" s="27">
        <f>IF(R348="","",R348+S348+T348)</f>
        <v/>
      </c>
      <c r="V348" s="17">
        <f>IF(AD348=0,"",IF(LEFT(K348,5)="Geler","❄ Gelée",IF(G348="",IF(D348&lt;=TODAY(),"⚠ Indice attendu","À venir"),IF(D348&lt;=TODAY(),"✔ Calculable","Indice connu – à venir"))))</f>
        <v/>
      </c>
      <c r="W348" s="29" t="n"/>
      <c r="X348" s="13" t="n"/>
      <c r="Y348" s="14" t="n"/>
      <c r="Z348" s="14" t="n"/>
      <c r="AA348" s="13" t="n"/>
      <c r="AB348" s="17">
        <f>IF(A348="","",A348&amp;"#"&amp;C348)</f>
        <v/>
      </c>
      <c r="AC348" s="17">
        <f>IF(AND(AD348=1,D348&lt;=TODAY(),N348&lt;&gt;""),1,0)</f>
        <v/>
      </c>
      <c r="AD348" s="17">
        <f>IF(OR(A348="",D348=""),0,IF(AND(ISNUMBER(Baux!$H$30),D348&gt;Baux!$H$30),0,1))</f>
        <v/>
      </c>
    </row>
    <row r="349">
      <c r="A349" s="17">
        <f>IF(Baux!$A$30="","",Baux!$A$30)</f>
        <v/>
      </c>
      <c r="B349" s="17">
        <f>IF(A349="","",Baux!$B$30)</f>
        <v/>
      </c>
      <c r="C349" s="17" t="n">
        <v>12</v>
      </c>
      <c r="D349" s="15">
        <f>IF(OR(A349="",Baux!$F$30="",Baux!$O$30=""),"",EDATE(Baux!$F$30,12*Baux!$O$30*C349))</f>
        <v/>
      </c>
      <c r="E349" s="17">
        <f>IF(AD349=0,"",Baux!$M$30)</f>
        <v/>
      </c>
      <c r="F349" s="17">
        <f>IF(AD349=0,"",IFERROR(TEXT(VALUE(LEFT(Baux!$N$30,4))+C349*Baux!$O$30,"0")&amp;RIGHT(Baux!$N$30,3),""))</f>
        <v/>
      </c>
      <c r="G349" s="25">
        <f>IF(AD349=0,"",IF(F349="","",IF(SUMIFS(Indices_long!$C:$C,Indices_long!$A:$A,E349,Indices_long!$B:$B,F349)=0,"",SUMIFS(Indices_long!$C:$C,Indices_long!$A:$A,E349,Indices_long!$B:$B,F349))))</f>
        <v/>
      </c>
      <c r="H349" s="17">
        <f>IF(AD349=0,"",IF(Baux!$P$30="Base fixe",Baux!$N$30,IF(K348="Geler – rattrapage possible",H348,F348)))</f>
        <v/>
      </c>
      <c r="I349" s="25">
        <f>IF(AD349=0,"",IF(H349="","",IF(SUMIFS(Indices_long!$C:$C,Indices_long!$A:$A,E349,Indices_long!$B:$B,H349)=0,"",SUMIFS(Indices_long!$C:$C,Indices_long!$A:$A,E349,Indices_long!$B:$B,H349))))</f>
        <v/>
      </c>
      <c r="J349" s="26">
        <f>IF(OR(G349="",I349=""),"",G349/I349)</f>
        <v/>
      </c>
      <c r="K349" s="13" t="n"/>
      <c r="L349" s="27">
        <f>IF(AD349=0,"",IF(Baux!$P$30="Base fixe",Baux!$I$30,N348))</f>
        <v/>
      </c>
      <c r="M349" s="27">
        <f>IF(OR(J349="",L349=""),"",ROUND(L349*J349,2))</f>
        <v/>
      </c>
      <c r="N349" s="27">
        <f>IF(AD349=0,"",IF(LEFT(K349,5)="Geler",O349,IF(M349="","",IF(Baux!$Q$30="",M349,MIN(M349,ROUND(L349*(1+Baux!$Q$30/100)^IF(Baux!$P$30="Base fixe",C349*Baux!$O$30,VALUE(LEFT(F349,4))-VALUE(LEFT(H349,4))),2))))))</f>
        <v/>
      </c>
      <c r="O349" s="27">
        <f>IF(AD349=0,"",N348)</f>
        <v/>
      </c>
      <c r="P349" s="28">
        <f>IF(OR(N349="",O349=""),"",N349/O349-1)</f>
        <v/>
      </c>
      <c r="Q349" s="27">
        <f>IF(N349="","",N349/12)</f>
        <v/>
      </c>
      <c r="R349" s="27">
        <f>IF(N349="","",N349/IF(Baux!$L$30="Mensuelle",12,IF(Baux!$L$30="Trimestrielle",4,IF(Baux!$L$30="Semestrielle",2,1))))</f>
        <v/>
      </c>
      <c r="S349" s="27">
        <f>IF(AD349=0,"",IF(Baux!$J$30="",0,Baux!$J$30)/IF(Baux!$L$30="Mensuelle",12,IF(Baux!$L$30="Trimestrielle",4,IF(Baux!$L$30="Semestrielle",2,1))))</f>
        <v/>
      </c>
      <c r="T349" s="27">
        <f>IF(R349="","",(R349+S349)*Baux!$K$30/100)</f>
        <v/>
      </c>
      <c r="U349" s="27">
        <f>IF(R349="","",R349+S349+T349)</f>
        <v/>
      </c>
      <c r="V349" s="17">
        <f>IF(AD349=0,"",IF(LEFT(K349,5)="Geler","❄ Gelée",IF(G349="",IF(D349&lt;=TODAY(),"⚠ Indice attendu","À venir"),IF(D349&lt;=TODAY(),"✔ Calculable","Indice connu – à venir"))))</f>
        <v/>
      </c>
      <c r="W349" s="29" t="n"/>
      <c r="X349" s="13" t="n"/>
      <c r="Y349" s="14" t="n"/>
      <c r="Z349" s="14" t="n"/>
      <c r="AA349" s="13" t="n"/>
      <c r="AB349" s="17">
        <f>IF(A349="","",A349&amp;"#"&amp;C349)</f>
        <v/>
      </c>
      <c r="AC349" s="17">
        <f>IF(AND(AD349=1,D349&lt;=TODAY(),N349&lt;&gt;""),1,0)</f>
        <v/>
      </c>
      <c r="AD349" s="17">
        <f>IF(OR(A349="",D349=""),0,IF(AND(ISNUMBER(Baux!$H$30),D349&gt;Baux!$H$30),0,1))</f>
        <v/>
      </c>
    </row>
    <row r="350">
      <c r="A350" s="17">
        <f>IF(Baux!$A$31="","",Baux!$A$31)</f>
        <v/>
      </c>
      <c r="B350" s="17">
        <f>IF(A350="","",Baux!$B$31)</f>
        <v/>
      </c>
      <c r="C350" s="17" t="n">
        <v>1</v>
      </c>
      <c r="D350" s="15">
        <f>IF(OR(A350="",Baux!$F$31="",Baux!$O$31=""),"",EDATE(Baux!$F$31,12*Baux!$O$31*C350))</f>
        <v/>
      </c>
      <c r="E350" s="17">
        <f>IF(AD350=0,"",Baux!$M$31)</f>
        <v/>
      </c>
      <c r="F350" s="17">
        <f>IF(AD350=0,"",IFERROR(TEXT(VALUE(LEFT(Baux!$N$31,4))+C350*Baux!$O$31,"0")&amp;RIGHT(Baux!$N$31,3),""))</f>
        <v/>
      </c>
      <c r="G350" s="25">
        <f>IF(AD350=0,"",IF(F350="","",IF(SUMIFS(Indices_long!$C:$C,Indices_long!$A:$A,E350,Indices_long!$B:$B,F350)=0,"",SUMIFS(Indices_long!$C:$C,Indices_long!$A:$A,E350,Indices_long!$B:$B,F350))))</f>
        <v/>
      </c>
      <c r="H350" s="17">
        <f>IF(AD350=0,"",Baux!$N$31)</f>
        <v/>
      </c>
      <c r="I350" s="25">
        <f>IF(AD350=0,"",IF(H350="","",IF(SUMIFS(Indices_long!$C:$C,Indices_long!$A:$A,E350,Indices_long!$B:$B,H350)=0,"",SUMIFS(Indices_long!$C:$C,Indices_long!$A:$A,E350,Indices_long!$B:$B,H350))))</f>
        <v/>
      </c>
      <c r="J350" s="26">
        <f>IF(OR(G350="",I350=""),"",G350/I350)</f>
        <v/>
      </c>
      <c r="K350" s="13" t="n"/>
      <c r="L350" s="27">
        <f>IF(AD350=0,"",Baux!$I$31)</f>
        <v/>
      </c>
      <c r="M350" s="27">
        <f>IF(OR(J350="",L350=""),"",ROUND(L350*J350,2))</f>
        <v/>
      </c>
      <c r="N350" s="27">
        <f>IF(AD350=0,"",IF(LEFT(K350,5)="Geler",O350,IF(M350="","",IF(Baux!$Q$31="",M350,MIN(M350,ROUND(L350*(1+Baux!$Q$31/100)^IF(Baux!$P$31="Base fixe",C350*Baux!$O$31,VALUE(LEFT(F350,4))-VALUE(LEFT(H350,4))),2))))))</f>
        <v/>
      </c>
      <c r="O350" s="27">
        <f>IF(AD350=0,"",Baux!$I$31)</f>
        <v/>
      </c>
      <c r="P350" s="28">
        <f>IF(OR(N350="",O350=""),"",N350/O350-1)</f>
        <v/>
      </c>
      <c r="Q350" s="27">
        <f>IF(N350="","",N350/12)</f>
        <v/>
      </c>
      <c r="R350" s="27">
        <f>IF(N350="","",N350/IF(Baux!$L$31="Mensuelle",12,IF(Baux!$L$31="Trimestrielle",4,IF(Baux!$L$31="Semestrielle",2,1))))</f>
        <v/>
      </c>
      <c r="S350" s="27">
        <f>IF(AD350=0,"",IF(Baux!$J$31="",0,Baux!$J$31)/IF(Baux!$L$31="Mensuelle",12,IF(Baux!$L$31="Trimestrielle",4,IF(Baux!$L$31="Semestrielle",2,1))))</f>
        <v/>
      </c>
      <c r="T350" s="27">
        <f>IF(R350="","",(R350+S350)*Baux!$K$31/100)</f>
        <v/>
      </c>
      <c r="U350" s="27">
        <f>IF(R350="","",R350+S350+T350)</f>
        <v/>
      </c>
      <c r="V350" s="17">
        <f>IF(AD350=0,"",IF(LEFT(K350,5)="Geler","❄ Gelée",IF(G350="",IF(D350&lt;=TODAY(),"⚠ Indice attendu","À venir"),IF(D350&lt;=TODAY(),"✔ Calculable","Indice connu – à venir"))))</f>
        <v/>
      </c>
      <c r="W350" s="29" t="n"/>
      <c r="X350" s="13" t="n"/>
      <c r="Y350" s="14" t="n"/>
      <c r="Z350" s="14" t="n"/>
      <c r="AA350" s="13" t="n"/>
      <c r="AB350" s="17">
        <f>IF(A350="","",A350&amp;"#"&amp;C350)</f>
        <v/>
      </c>
      <c r="AC350" s="17">
        <f>IF(AND(AD350=1,D350&lt;=TODAY(),N350&lt;&gt;""),1,0)</f>
        <v/>
      </c>
      <c r="AD350" s="17">
        <f>IF(OR(A350="",D350=""),0,IF(AND(ISNUMBER(Baux!$H$31),D350&gt;Baux!$H$31),0,1))</f>
        <v/>
      </c>
    </row>
    <row r="351">
      <c r="A351" s="17">
        <f>IF(Baux!$A$31="","",Baux!$A$31)</f>
        <v/>
      </c>
      <c r="B351" s="17">
        <f>IF(A351="","",Baux!$B$31)</f>
        <v/>
      </c>
      <c r="C351" s="17" t="n">
        <v>2</v>
      </c>
      <c r="D351" s="15">
        <f>IF(OR(A351="",Baux!$F$31="",Baux!$O$31=""),"",EDATE(Baux!$F$31,12*Baux!$O$31*C351))</f>
        <v/>
      </c>
      <c r="E351" s="17">
        <f>IF(AD351=0,"",Baux!$M$31)</f>
        <v/>
      </c>
      <c r="F351" s="17">
        <f>IF(AD351=0,"",IFERROR(TEXT(VALUE(LEFT(Baux!$N$31,4))+C351*Baux!$O$31,"0")&amp;RIGHT(Baux!$N$31,3),""))</f>
        <v/>
      </c>
      <c r="G351" s="25">
        <f>IF(AD351=0,"",IF(F351="","",IF(SUMIFS(Indices_long!$C:$C,Indices_long!$A:$A,E351,Indices_long!$B:$B,F351)=0,"",SUMIFS(Indices_long!$C:$C,Indices_long!$A:$A,E351,Indices_long!$B:$B,F351))))</f>
        <v/>
      </c>
      <c r="H351" s="17">
        <f>IF(AD351=0,"",IF(Baux!$P$31="Base fixe",Baux!$N$31,IF(K350="Geler – rattrapage possible",H350,F350)))</f>
        <v/>
      </c>
      <c r="I351" s="25">
        <f>IF(AD351=0,"",IF(H351="","",IF(SUMIFS(Indices_long!$C:$C,Indices_long!$A:$A,E351,Indices_long!$B:$B,H351)=0,"",SUMIFS(Indices_long!$C:$C,Indices_long!$A:$A,E351,Indices_long!$B:$B,H351))))</f>
        <v/>
      </c>
      <c r="J351" s="26">
        <f>IF(OR(G351="",I351=""),"",G351/I351)</f>
        <v/>
      </c>
      <c r="K351" s="13" t="n"/>
      <c r="L351" s="27">
        <f>IF(AD351=0,"",IF(Baux!$P$31="Base fixe",Baux!$I$31,N350))</f>
        <v/>
      </c>
      <c r="M351" s="27">
        <f>IF(OR(J351="",L351=""),"",ROUND(L351*J351,2))</f>
        <v/>
      </c>
      <c r="N351" s="27">
        <f>IF(AD351=0,"",IF(LEFT(K351,5)="Geler",O351,IF(M351="","",IF(Baux!$Q$31="",M351,MIN(M351,ROUND(L351*(1+Baux!$Q$31/100)^IF(Baux!$P$31="Base fixe",C351*Baux!$O$31,VALUE(LEFT(F351,4))-VALUE(LEFT(H351,4))),2))))))</f>
        <v/>
      </c>
      <c r="O351" s="27">
        <f>IF(AD351=0,"",N350)</f>
        <v/>
      </c>
      <c r="P351" s="28">
        <f>IF(OR(N351="",O351=""),"",N351/O351-1)</f>
        <v/>
      </c>
      <c r="Q351" s="27">
        <f>IF(N351="","",N351/12)</f>
        <v/>
      </c>
      <c r="R351" s="27">
        <f>IF(N351="","",N351/IF(Baux!$L$31="Mensuelle",12,IF(Baux!$L$31="Trimestrielle",4,IF(Baux!$L$31="Semestrielle",2,1))))</f>
        <v/>
      </c>
      <c r="S351" s="27">
        <f>IF(AD351=0,"",IF(Baux!$J$31="",0,Baux!$J$31)/IF(Baux!$L$31="Mensuelle",12,IF(Baux!$L$31="Trimestrielle",4,IF(Baux!$L$31="Semestrielle",2,1))))</f>
        <v/>
      </c>
      <c r="T351" s="27">
        <f>IF(R351="","",(R351+S351)*Baux!$K$31/100)</f>
        <v/>
      </c>
      <c r="U351" s="27">
        <f>IF(R351="","",R351+S351+T351)</f>
        <v/>
      </c>
      <c r="V351" s="17">
        <f>IF(AD351=0,"",IF(LEFT(K351,5)="Geler","❄ Gelée",IF(G351="",IF(D351&lt;=TODAY(),"⚠ Indice attendu","À venir"),IF(D351&lt;=TODAY(),"✔ Calculable","Indice connu – à venir"))))</f>
        <v/>
      </c>
      <c r="W351" s="29" t="n"/>
      <c r="X351" s="13" t="n"/>
      <c r="Y351" s="14" t="n"/>
      <c r="Z351" s="14" t="n"/>
      <c r="AA351" s="13" t="n"/>
      <c r="AB351" s="17">
        <f>IF(A351="","",A351&amp;"#"&amp;C351)</f>
        <v/>
      </c>
      <c r="AC351" s="17">
        <f>IF(AND(AD351=1,D351&lt;=TODAY(),N351&lt;&gt;""),1,0)</f>
        <v/>
      </c>
      <c r="AD351" s="17">
        <f>IF(OR(A351="",D351=""),0,IF(AND(ISNUMBER(Baux!$H$31),D351&gt;Baux!$H$31),0,1))</f>
        <v/>
      </c>
    </row>
    <row r="352">
      <c r="A352" s="17">
        <f>IF(Baux!$A$31="","",Baux!$A$31)</f>
        <v/>
      </c>
      <c r="B352" s="17">
        <f>IF(A352="","",Baux!$B$31)</f>
        <v/>
      </c>
      <c r="C352" s="17" t="n">
        <v>3</v>
      </c>
      <c r="D352" s="15">
        <f>IF(OR(A352="",Baux!$F$31="",Baux!$O$31=""),"",EDATE(Baux!$F$31,12*Baux!$O$31*C352))</f>
        <v/>
      </c>
      <c r="E352" s="17">
        <f>IF(AD352=0,"",Baux!$M$31)</f>
        <v/>
      </c>
      <c r="F352" s="17">
        <f>IF(AD352=0,"",IFERROR(TEXT(VALUE(LEFT(Baux!$N$31,4))+C352*Baux!$O$31,"0")&amp;RIGHT(Baux!$N$31,3),""))</f>
        <v/>
      </c>
      <c r="G352" s="25">
        <f>IF(AD352=0,"",IF(F352="","",IF(SUMIFS(Indices_long!$C:$C,Indices_long!$A:$A,E352,Indices_long!$B:$B,F352)=0,"",SUMIFS(Indices_long!$C:$C,Indices_long!$A:$A,E352,Indices_long!$B:$B,F352))))</f>
        <v/>
      </c>
      <c r="H352" s="17">
        <f>IF(AD352=0,"",IF(Baux!$P$31="Base fixe",Baux!$N$31,IF(K351="Geler – rattrapage possible",H351,F351)))</f>
        <v/>
      </c>
      <c r="I352" s="25">
        <f>IF(AD352=0,"",IF(H352="","",IF(SUMIFS(Indices_long!$C:$C,Indices_long!$A:$A,E352,Indices_long!$B:$B,H352)=0,"",SUMIFS(Indices_long!$C:$C,Indices_long!$A:$A,E352,Indices_long!$B:$B,H352))))</f>
        <v/>
      </c>
      <c r="J352" s="26">
        <f>IF(OR(G352="",I352=""),"",G352/I352)</f>
        <v/>
      </c>
      <c r="K352" s="13" t="n"/>
      <c r="L352" s="27">
        <f>IF(AD352=0,"",IF(Baux!$P$31="Base fixe",Baux!$I$31,N351))</f>
        <v/>
      </c>
      <c r="M352" s="27">
        <f>IF(OR(J352="",L352=""),"",ROUND(L352*J352,2))</f>
        <v/>
      </c>
      <c r="N352" s="27">
        <f>IF(AD352=0,"",IF(LEFT(K352,5)="Geler",O352,IF(M352="","",IF(Baux!$Q$31="",M352,MIN(M352,ROUND(L352*(1+Baux!$Q$31/100)^IF(Baux!$P$31="Base fixe",C352*Baux!$O$31,VALUE(LEFT(F352,4))-VALUE(LEFT(H352,4))),2))))))</f>
        <v/>
      </c>
      <c r="O352" s="27">
        <f>IF(AD352=0,"",N351)</f>
        <v/>
      </c>
      <c r="P352" s="28">
        <f>IF(OR(N352="",O352=""),"",N352/O352-1)</f>
        <v/>
      </c>
      <c r="Q352" s="27">
        <f>IF(N352="","",N352/12)</f>
        <v/>
      </c>
      <c r="R352" s="27">
        <f>IF(N352="","",N352/IF(Baux!$L$31="Mensuelle",12,IF(Baux!$L$31="Trimestrielle",4,IF(Baux!$L$31="Semestrielle",2,1))))</f>
        <v/>
      </c>
      <c r="S352" s="27">
        <f>IF(AD352=0,"",IF(Baux!$J$31="",0,Baux!$J$31)/IF(Baux!$L$31="Mensuelle",12,IF(Baux!$L$31="Trimestrielle",4,IF(Baux!$L$31="Semestrielle",2,1))))</f>
        <v/>
      </c>
      <c r="T352" s="27">
        <f>IF(R352="","",(R352+S352)*Baux!$K$31/100)</f>
        <v/>
      </c>
      <c r="U352" s="27">
        <f>IF(R352="","",R352+S352+T352)</f>
        <v/>
      </c>
      <c r="V352" s="17">
        <f>IF(AD352=0,"",IF(LEFT(K352,5)="Geler","❄ Gelée",IF(G352="",IF(D352&lt;=TODAY(),"⚠ Indice attendu","À venir"),IF(D352&lt;=TODAY(),"✔ Calculable","Indice connu – à venir"))))</f>
        <v/>
      </c>
      <c r="W352" s="29" t="n"/>
      <c r="X352" s="13" t="n"/>
      <c r="Y352" s="14" t="n"/>
      <c r="Z352" s="14" t="n"/>
      <c r="AA352" s="13" t="n"/>
      <c r="AB352" s="17">
        <f>IF(A352="","",A352&amp;"#"&amp;C352)</f>
        <v/>
      </c>
      <c r="AC352" s="17">
        <f>IF(AND(AD352=1,D352&lt;=TODAY(),N352&lt;&gt;""),1,0)</f>
        <v/>
      </c>
      <c r="AD352" s="17">
        <f>IF(OR(A352="",D352=""),0,IF(AND(ISNUMBER(Baux!$H$31),D352&gt;Baux!$H$31),0,1))</f>
        <v/>
      </c>
    </row>
    <row r="353">
      <c r="A353" s="17">
        <f>IF(Baux!$A$31="","",Baux!$A$31)</f>
        <v/>
      </c>
      <c r="B353" s="17">
        <f>IF(A353="","",Baux!$B$31)</f>
        <v/>
      </c>
      <c r="C353" s="17" t="n">
        <v>4</v>
      </c>
      <c r="D353" s="15">
        <f>IF(OR(A353="",Baux!$F$31="",Baux!$O$31=""),"",EDATE(Baux!$F$31,12*Baux!$O$31*C353))</f>
        <v/>
      </c>
      <c r="E353" s="17">
        <f>IF(AD353=0,"",Baux!$M$31)</f>
        <v/>
      </c>
      <c r="F353" s="17">
        <f>IF(AD353=0,"",IFERROR(TEXT(VALUE(LEFT(Baux!$N$31,4))+C353*Baux!$O$31,"0")&amp;RIGHT(Baux!$N$31,3),""))</f>
        <v/>
      </c>
      <c r="G353" s="25">
        <f>IF(AD353=0,"",IF(F353="","",IF(SUMIFS(Indices_long!$C:$C,Indices_long!$A:$A,E353,Indices_long!$B:$B,F353)=0,"",SUMIFS(Indices_long!$C:$C,Indices_long!$A:$A,E353,Indices_long!$B:$B,F353))))</f>
        <v/>
      </c>
      <c r="H353" s="17">
        <f>IF(AD353=0,"",IF(Baux!$P$31="Base fixe",Baux!$N$31,IF(K352="Geler – rattrapage possible",H352,F352)))</f>
        <v/>
      </c>
      <c r="I353" s="25">
        <f>IF(AD353=0,"",IF(H353="","",IF(SUMIFS(Indices_long!$C:$C,Indices_long!$A:$A,E353,Indices_long!$B:$B,H353)=0,"",SUMIFS(Indices_long!$C:$C,Indices_long!$A:$A,E353,Indices_long!$B:$B,H353))))</f>
        <v/>
      </c>
      <c r="J353" s="26">
        <f>IF(OR(G353="",I353=""),"",G353/I353)</f>
        <v/>
      </c>
      <c r="K353" s="13" t="n"/>
      <c r="L353" s="27">
        <f>IF(AD353=0,"",IF(Baux!$P$31="Base fixe",Baux!$I$31,N352))</f>
        <v/>
      </c>
      <c r="M353" s="27">
        <f>IF(OR(J353="",L353=""),"",ROUND(L353*J353,2))</f>
        <v/>
      </c>
      <c r="N353" s="27">
        <f>IF(AD353=0,"",IF(LEFT(K353,5)="Geler",O353,IF(M353="","",IF(Baux!$Q$31="",M353,MIN(M353,ROUND(L353*(1+Baux!$Q$31/100)^IF(Baux!$P$31="Base fixe",C353*Baux!$O$31,VALUE(LEFT(F353,4))-VALUE(LEFT(H353,4))),2))))))</f>
        <v/>
      </c>
      <c r="O353" s="27">
        <f>IF(AD353=0,"",N352)</f>
        <v/>
      </c>
      <c r="P353" s="28">
        <f>IF(OR(N353="",O353=""),"",N353/O353-1)</f>
        <v/>
      </c>
      <c r="Q353" s="27">
        <f>IF(N353="","",N353/12)</f>
        <v/>
      </c>
      <c r="R353" s="27">
        <f>IF(N353="","",N353/IF(Baux!$L$31="Mensuelle",12,IF(Baux!$L$31="Trimestrielle",4,IF(Baux!$L$31="Semestrielle",2,1))))</f>
        <v/>
      </c>
      <c r="S353" s="27">
        <f>IF(AD353=0,"",IF(Baux!$J$31="",0,Baux!$J$31)/IF(Baux!$L$31="Mensuelle",12,IF(Baux!$L$31="Trimestrielle",4,IF(Baux!$L$31="Semestrielle",2,1))))</f>
        <v/>
      </c>
      <c r="T353" s="27">
        <f>IF(R353="","",(R353+S353)*Baux!$K$31/100)</f>
        <v/>
      </c>
      <c r="U353" s="27">
        <f>IF(R353="","",R353+S353+T353)</f>
        <v/>
      </c>
      <c r="V353" s="17">
        <f>IF(AD353=0,"",IF(LEFT(K353,5)="Geler","❄ Gelée",IF(G353="",IF(D353&lt;=TODAY(),"⚠ Indice attendu","À venir"),IF(D353&lt;=TODAY(),"✔ Calculable","Indice connu – à venir"))))</f>
        <v/>
      </c>
      <c r="W353" s="29" t="n"/>
      <c r="X353" s="13" t="n"/>
      <c r="Y353" s="14" t="n"/>
      <c r="Z353" s="14" t="n"/>
      <c r="AA353" s="13" t="n"/>
      <c r="AB353" s="17">
        <f>IF(A353="","",A353&amp;"#"&amp;C353)</f>
        <v/>
      </c>
      <c r="AC353" s="17">
        <f>IF(AND(AD353=1,D353&lt;=TODAY(),N353&lt;&gt;""),1,0)</f>
        <v/>
      </c>
      <c r="AD353" s="17">
        <f>IF(OR(A353="",D353=""),0,IF(AND(ISNUMBER(Baux!$H$31),D353&gt;Baux!$H$31),0,1))</f>
        <v/>
      </c>
    </row>
    <row r="354">
      <c r="A354" s="17">
        <f>IF(Baux!$A$31="","",Baux!$A$31)</f>
        <v/>
      </c>
      <c r="B354" s="17">
        <f>IF(A354="","",Baux!$B$31)</f>
        <v/>
      </c>
      <c r="C354" s="17" t="n">
        <v>5</v>
      </c>
      <c r="D354" s="15">
        <f>IF(OR(A354="",Baux!$F$31="",Baux!$O$31=""),"",EDATE(Baux!$F$31,12*Baux!$O$31*C354))</f>
        <v/>
      </c>
      <c r="E354" s="17">
        <f>IF(AD354=0,"",Baux!$M$31)</f>
        <v/>
      </c>
      <c r="F354" s="17">
        <f>IF(AD354=0,"",IFERROR(TEXT(VALUE(LEFT(Baux!$N$31,4))+C354*Baux!$O$31,"0")&amp;RIGHT(Baux!$N$31,3),""))</f>
        <v/>
      </c>
      <c r="G354" s="25">
        <f>IF(AD354=0,"",IF(F354="","",IF(SUMIFS(Indices_long!$C:$C,Indices_long!$A:$A,E354,Indices_long!$B:$B,F354)=0,"",SUMIFS(Indices_long!$C:$C,Indices_long!$A:$A,E354,Indices_long!$B:$B,F354))))</f>
        <v/>
      </c>
      <c r="H354" s="17">
        <f>IF(AD354=0,"",IF(Baux!$P$31="Base fixe",Baux!$N$31,IF(K353="Geler – rattrapage possible",H353,F353)))</f>
        <v/>
      </c>
      <c r="I354" s="25">
        <f>IF(AD354=0,"",IF(H354="","",IF(SUMIFS(Indices_long!$C:$C,Indices_long!$A:$A,E354,Indices_long!$B:$B,H354)=0,"",SUMIFS(Indices_long!$C:$C,Indices_long!$A:$A,E354,Indices_long!$B:$B,H354))))</f>
        <v/>
      </c>
      <c r="J354" s="26">
        <f>IF(OR(G354="",I354=""),"",G354/I354)</f>
        <v/>
      </c>
      <c r="K354" s="13" t="n"/>
      <c r="L354" s="27">
        <f>IF(AD354=0,"",IF(Baux!$P$31="Base fixe",Baux!$I$31,N353))</f>
        <v/>
      </c>
      <c r="M354" s="27">
        <f>IF(OR(J354="",L354=""),"",ROUND(L354*J354,2))</f>
        <v/>
      </c>
      <c r="N354" s="27">
        <f>IF(AD354=0,"",IF(LEFT(K354,5)="Geler",O354,IF(M354="","",IF(Baux!$Q$31="",M354,MIN(M354,ROUND(L354*(1+Baux!$Q$31/100)^IF(Baux!$P$31="Base fixe",C354*Baux!$O$31,VALUE(LEFT(F354,4))-VALUE(LEFT(H354,4))),2))))))</f>
        <v/>
      </c>
      <c r="O354" s="27">
        <f>IF(AD354=0,"",N353)</f>
        <v/>
      </c>
      <c r="P354" s="28">
        <f>IF(OR(N354="",O354=""),"",N354/O354-1)</f>
        <v/>
      </c>
      <c r="Q354" s="27">
        <f>IF(N354="","",N354/12)</f>
        <v/>
      </c>
      <c r="R354" s="27">
        <f>IF(N354="","",N354/IF(Baux!$L$31="Mensuelle",12,IF(Baux!$L$31="Trimestrielle",4,IF(Baux!$L$31="Semestrielle",2,1))))</f>
        <v/>
      </c>
      <c r="S354" s="27">
        <f>IF(AD354=0,"",IF(Baux!$J$31="",0,Baux!$J$31)/IF(Baux!$L$31="Mensuelle",12,IF(Baux!$L$31="Trimestrielle",4,IF(Baux!$L$31="Semestrielle",2,1))))</f>
        <v/>
      </c>
      <c r="T354" s="27">
        <f>IF(R354="","",(R354+S354)*Baux!$K$31/100)</f>
        <v/>
      </c>
      <c r="U354" s="27">
        <f>IF(R354="","",R354+S354+T354)</f>
        <v/>
      </c>
      <c r="V354" s="17">
        <f>IF(AD354=0,"",IF(LEFT(K354,5)="Geler","❄ Gelée",IF(G354="",IF(D354&lt;=TODAY(),"⚠ Indice attendu","À venir"),IF(D354&lt;=TODAY(),"✔ Calculable","Indice connu – à venir"))))</f>
        <v/>
      </c>
      <c r="W354" s="29" t="n"/>
      <c r="X354" s="13" t="n"/>
      <c r="Y354" s="14" t="n"/>
      <c r="Z354" s="14" t="n"/>
      <c r="AA354" s="13" t="n"/>
      <c r="AB354" s="17">
        <f>IF(A354="","",A354&amp;"#"&amp;C354)</f>
        <v/>
      </c>
      <c r="AC354" s="17">
        <f>IF(AND(AD354=1,D354&lt;=TODAY(),N354&lt;&gt;""),1,0)</f>
        <v/>
      </c>
      <c r="AD354" s="17">
        <f>IF(OR(A354="",D354=""),0,IF(AND(ISNUMBER(Baux!$H$31),D354&gt;Baux!$H$31),0,1))</f>
        <v/>
      </c>
    </row>
    <row r="355">
      <c r="A355" s="17">
        <f>IF(Baux!$A$31="","",Baux!$A$31)</f>
        <v/>
      </c>
      <c r="B355" s="17">
        <f>IF(A355="","",Baux!$B$31)</f>
        <v/>
      </c>
      <c r="C355" s="17" t="n">
        <v>6</v>
      </c>
      <c r="D355" s="15">
        <f>IF(OR(A355="",Baux!$F$31="",Baux!$O$31=""),"",EDATE(Baux!$F$31,12*Baux!$O$31*C355))</f>
        <v/>
      </c>
      <c r="E355" s="17">
        <f>IF(AD355=0,"",Baux!$M$31)</f>
        <v/>
      </c>
      <c r="F355" s="17">
        <f>IF(AD355=0,"",IFERROR(TEXT(VALUE(LEFT(Baux!$N$31,4))+C355*Baux!$O$31,"0")&amp;RIGHT(Baux!$N$31,3),""))</f>
        <v/>
      </c>
      <c r="G355" s="25">
        <f>IF(AD355=0,"",IF(F355="","",IF(SUMIFS(Indices_long!$C:$C,Indices_long!$A:$A,E355,Indices_long!$B:$B,F355)=0,"",SUMIFS(Indices_long!$C:$C,Indices_long!$A:$A,E355,Indices_long!$B:$B,F355))))</f>
        <v/>
      </c>
      <c r="H355" s="17">
        <f>IF(AD355=0,"",IF(Baux!$P$31="Base fixe",Baux!$N$31,IF(K354="Geler – rattrapage possible",H354,F354)))</f>
        <v/>
      </c>
      <c r="I355" s="25">
        <f>IF(AD355=0,"",IF(H355="","",IF(SUMIFS(Indices_long!$C:$C,Indices_long!$A:$A,E355,Indices_long!$B:$B,H355)=0,"",SUMIFS(Indices_long!$C:$C,Indices_long!$A:$A,E355,Indices_long!$B:$B,H355))))</f>
        <v/>
      </c>
      <c r="J355" s="26">
        <f>IF(OR(G355="",I355=""),"",G355/I355)</f>
        <v/>
      </c>
      <c r="K355" s="13" t="n"/>
      <c r="L355" s="27">
        <f>IF(AD355=0,"",IF(Baux!$P$31="Base fixe",Baux!$I$31,N354))</f>
        <v/>
      </c>
      <c r="M355" s="27">
        <f>IF(OR(J355="",L355=""),"",ROUND(L355*J355,2))</f>
        <v/>
      </c>
      <c r="N355" s="27">
        <f>IF(AD355=0,"",IF(LEFT(K355,5)="Geler",O355,IF(M355="","",IF(Baux!$Q$31="",M355,MIN(M355,ROUND(L355*(1+Baux!$Q$31/100)^IF(Baux!$P$31="Base fixe",C355*Baux!$O$31,VALUE(LEFT(F355,4))-VALUE(LEFT(H355,4))),2))))))</f>
        <v/>
      </c>
      <c r="O355" s="27">
        <f>IF(AD355=0,"",N354)</f>
        <v/>
      </c>
      <c r="P355" s="28">
        <f>IF(OR(N355="",O355=""),"",N355/O355-1)</f>
        <v/>
      </c>
      <c r="Q355" s="27">
        <f>IF(N355="","",N355/12)</f>
        <v/>
      </c>
      <c r="R355" s="27">
        <f>IF(N355="","",N355/IF(Baux!$L$31="Mensuelle",12,IF(Baux!$L$31="Trimestrielle",4,IF(Baux!$L$31="Semestrielle",2,1))))</f>
        <v/>
      </c>
      <c r="S355" s="27">
        <f>IF(AD355=0,"",IF(Baux!$J$31="",0,Baux!$J$31)/IF(Baux!$L$31="Mensuelle",12,IF(Baux!$L$31="Trimestrielle",4,IF(Baux!$L$31="Semestrielle",2,1))))</f>
        <v/>
      </c>
      <c r="T355" s="27">
        <f>IF(R355="","",(R355+S355)*Baux!$K$31/100)</f>
        <v/>
      </c>
      <c r="U355" s="27">
        <f>IF(R355="","",R355+S355+T355)</f>
        <v/>
      </c>
      <c r="V355" s="17">
        <f>IF(AD355=0,"",IF(LEFT(K355,5)="Geler","❄ Gelée",IF(G355="",IF(D355&lt;=TODAY(),"⚠ Indice attendu","À venir"),IF(D355&lt;=TODAY(),"✔ Calculable","Indice connu – à venir"))))</f>
        <v/>
      </c>
      <c r="W355" s="29" t="n"/>
      <c r="X355" s="13" t="n"/>
      <c r="Y355" s="14" t="n"/>
      <c r="Z355" s="14" t="n"/>
      <c r="AA355" s="13" t="n"/>
      <c r="AB355" s="17">
        <f>IF(A355="","",A355&amp;"#"&amp;C355)</f>
        <v/>
      </c>
      <c r="AC355" s="17">
        <f>IF(AND(AD355=1,D355&lt;=TODAY(),N355&lt;&gt;""),1,0)</f>
        <v/>
      </c>
      <c r="AD355" s="17">
        <f>IF(OR(A355="",D355=""),0,IF(AND(ISNUMBER(Baux!$H$31),D355&gt;Baux!$H$31),0,1))</f>
        <v/>
      </c>
    </row>
    <row r="356">
      <c r="A356" s="17">
        <f>IF(Baux!$A$31="","",Baux!$A$31)</f>
        <v/>
      </c>
      <c r="B356" s="17">
        <f>IF(A356="","",Baux!$B$31)</f>
        <v/>
      </c>
      <c r="C356" s="17" t="n">
        <v>7</v>
      </c>
      <c r="D356" s="15">
        <f>IF(OR(A356="",Baux!$F$31="",Baux!$O$31=""),"",EDATE(Baux!$F$31,12*Baux!$O$31*C356))</f>
        <v/>
      </c>
      <c r="E356" s="17">
        <f>IF(AD356=0,"",Baux!$M$31)</f>
        <v/>
      </c>
      <c r="F356" s="17">
        <f>IF(AD356=0,"",IFERROR(TEXT(VALUE(LEFT(Baux!$N$31,4))+C356*Baux!$O$31,"0")&amp;RIGHT(Baux!$N$31,3),""))</f>
        <v/>
      </c>
      <c r="G356" s="25">
        <f>IF(AD356=0,"",IF(F356="","",IF(SUMIFS(Indices_long!$C:$C,Indices_long!$A:$A,E356,Indices_long!$B:$B,F356)=0,"",SUMIFS(Indices_long!$C:$C,Indices_long!$A:$A,E356,Indices_long!$B:$B,F356))))</f>
        <v/>
      </c>
      <c r="H356" s="17">
        <f>IF(AD356=0,"",IF(Baux!$P$31="Base fixe",Baux!$N$31,IF(K355="Geler – rattrapage possible",H355,F355)))</f>
        <v/>
      </c>
      <c r="I356" s="25">
        <f>IF(AD356=0,"",IF(H356="","",IF(SUMIFS(Indices_long!$C:$C,Indices_long!$A:$A,E356,Indices_long!$B:$B,H356)=0,"",SUMIFS(Indices_long!$C:$C,Indices_long!$A:$A,E356,Indices_long!$B:$B,H356))))</f>
        <v/>
      </c>
      <c r="J356" s="26">
        <f>IF(OR(G356="",I356=""),"",G356/I356)</f>
        <v/>
      </c>
      <c r="K356" s="13" t="n"/>
      <c r="L356" s="27">
        <f>IF(AD356=0,"",IF(Baux!$P$31="Base fixe",Baux!$I$31,N355))</f>
        <v/>
      </c>
      <c r="M356" s="27">
        <f>IF(OR(J356="",L356=""),"",ROUND(L356*J356,2))</f>
        <v/>
      </c>
      <c r="N356" s="27">
        <f>IF(AD356=0,"",IF(LEFT(K356,5)="Geler",O356,IF(M356="","",IF(Baux!$Q$31="",M356,MIN(M356,ROUND(L356*(1+Baux!$Q$31/100)^IF(Baux!$P$31="Base fixe",C356*Baux!$O$31,VALUE(LEFT(F356,4))-VALUE(LEFT(H356,4))),2))))))</f>
        <v/>
      </c>
      <c r="O356" s="27">
        <f>IF(AD356=0,"",N355)</f>
        <v/>
      </c>
      <c r="P356" s="28">
        <f>IF(OR(N356="",O356=""),"",N356/O356-1)</f>
        <v/>
      </c>
      <c r="Q356" s="27">
        <f>IF(N356="","",N356/12)</f>
        <v/>
      </c>
      <c r="R356" s="27">
        <f>IF(N356="","",N356/IF(Baux!$L$31="Mensuelle",12,IF(Baux!$L$31="Trimestrielle",4,IF(Baux!$L$31="Semestrielle",2,1))))</f>
        <v/>
      </c>
      <c r="S356" s="27">
        <f>IF(AD356=0,"",IF(Baux!$J$31="",0,Baux!$J$31)/IF(Baux!$L$31="Mensuelle",12,IF(Baux!$L$31="Trimestrielle",4,IF(Baux!$L$31="Semestrielle",2,1))))</f>
        <v/>
      </c>
      <c r="T356" s="27">
        <f>IF(R356="","",(R356+S356)*Baux!$K$31/100)</f>
        <v/>
      </c>
      <c r="U356" s="27">
        <f>IF(R356="","",R356+S356+T356)</f>
        <v/>
      </c>
      <c r="V356" s="17">
        <f>IF(AD356=0,"",IF(LEFT(K356,5)="Geler","❄ Gelée",IF(G356="",IF(D356&lt;=TODAY(),"⚠ Indice attendu","À venir"),IF(D356&lt;=TODAY(),"✔ Calculable","Indice connu – à venir"))))</f>
        <v/>
      </c>
      <c r="W356" s="29" t="n"/>
      <c r="X356" s="13" t="n"/>
      <c r="Y356" s="14" t="n"/>
      <c r="Z356" s="14" t="n"/>
      <c r="AA356" s="13" t="n"/>
      <c r="AB356" s="17">
        <f>IF(A356="","",A356&amp;"#"&amp;C356)</f>
        <v/>
      </c>
      <c r="AC356" s="17">
        <f>IF(AND(AD356=1,D356&lt;=TODAY(),N356&lt;&gt;""),1,0)</f>
        <v/>
      </c>
      <c r="AD356" s="17">
        <f>IF(OR(A356="",D356=""),0,IF(AND(ISNUMBER(Baux!$H$31),D356&gt;Baux!$H$31),0,1))</f>
        <v/>
      </c>
    </row>
    <row r="357">
      <c r="A357" s="17">
        <f>IF(Baux!$A$31="","",Baux!$A$31)</f>
        <v/>
      </c>
      <c r="B357" s="17">
        <f>IF(A357="","",Baux!$B$31)</f>
        <v/>
      </c>
      <c r="C357" s="17" t="n">
        <v>8</v>
      </c>
      <c r="D357" s="15">
        <f>IF(OR(A357="",Baux!$F$31="",Baux!$O$31=""),"",EDATE(Baux!$F$31,12*Baux!$O$31*C357))</f>
        <v/>
      </c>
      <c r="E357" s="17">
        <f>IF(AD357=0,"",Baux!$M$31)</f>
        <v/>
      </c>
      <c r="F357" s="17">
        <f>IF(AD357=0,"",IFERROR(TEXT(VALUE(LEFT(Baux!$N$31,4))+C357*Baux!$O$31,"0")&amp;RIGHT(Baux!$N$31,3),""))</f>
        <v/>
      </c>
      <c r="G357" s="25">
        <f>IF(AD357=0,"",IF(F357="","",IF(SUMIFS(Indices_long!$C:$C,Indices_long!$A:$A,E357,Indices_long!$B:$B,F357)=0,"",SUMIFS(Indices_long!$C:$C,Indices_long!$A:$A,E357,Indices_long!$B:$B,F357))))</f>
        <v/>
      </c>
      <c r="H357" s="17">
        <f>IF(AD357=0,"",IF(Baux!$P$31="Base fixe",Baux!$N$31,IF(K356="Geler – rattrapage possible",H356,F356)))</f>
        <v/>
      </c>
      <c r="I357" s="25">
        <f>IF(AD357=0,"",IF(H357="","",IF(SUMIFS(Indices_long!$C:$C,Indices_long!$A:$A,E357,Indices_long!$B:$B,H357)=0,"",SUMIFS(Indices_long!$C:$C,Indices_long!$A:$A,E357,Indices_long!$B:$B,H357))))</f>
        <v/>
      </c>
      <c r="J357" s="26">
        <f>IF(OR(G357="",I357=""),"",G357/I357)</f>
        <v/>
      </c>
      <c r="K357" s="13" t="n"/>
      <c r="L357" s="27">
        <f>IF(AD357=0,"",IF(Baux!$P$31="Base fixe",Baux!$I$31,N356))</f>
        <v/>
      </c>
      <c r="M357" s="27">
        <f>IF(OR(J357="",L357=""),"",ROUND(L357*J357,2))</f>
        <v/>
      </c>
      <c r="N357" s="27">
        <f>IF(AD357=0,"",IF(LEFT(K357,5)="Geler",O357,IF(M357="","",IF(Baux!$Q$31="",M357,MIN(M357,ROUND(L357*(1+Baux!$Q$31/100)^IF(Baux!$P$31="Base fixe",C357*Baux!$O$31,VALUE(LEFT(F357,4))-VALUE(LEFT(H357,4))),2))))))</f>
        <v/>
      </c>
      <c r="O357" s="27">
        <f>IF(AD357=0,"",N356)</f>
        <v/>
      </c>
      <c r="P357" s="28">
        <f>IF(OR(N357="",O357=""),"",N357/O357-1)</f>
        <v/>
      </c>
      <c r="Q357" s="27">
        <f>IF(N357="","",N357/12)</f>
        <v/>
      </c>
      <c r="R357" s="27">
        <f>IF(N357="","",N357/IF(Baux!$L$31="Mensuelle",12,IF(Baux!$L$31="Trimestrielle",4,IF(Baux!$L$31="Semestrielle",2,1))))</f>
        <v/>
      </c>
      <c r="S357" s="27">
        <f>IF(AD357=0,"",IF(Baux!$J$31="",0,Baux!$J$31)/IF(Baux!$L$31="Mensuelle",12,IF(Baux!$L$31="Trimestrielle",4,IF(Baux!$L$31="Semestrielle",2,1))))</f>
        <v/>
      </c>
      <c r="T357" s="27">
        <f>IF(R357="","",(R357+S357)*Baux!$K$31/100)</f>
        <v/>
      </c>
      <c r="U357" s="27">
        <f>IF(R357="","",R357+S357+T357)</f>
        <v/>
      </c>
      <c r="V357" s="17">
        <f>IF(AD357=0,"",IF(LEFT(K357,5)="Geler","❄ Gelée",IF(G357="",IF(D357&lt;=TODAY(),"⚠ Indice attendu","À venir"),IF(D357&lt;=TODAY(),"✔ Calculable","Indice connu – à venir"))))</f>
        <v/>
      </c>
      <c r="W357" s="29" t="n"/>
      <c r="X357" s="13" t="n"/>
      <c r="Y357" s="14" t="n"/>
      <c r="Z357" s="14" t="n"/>
      <c r="AA357" s="13" t="n"/>
      <c r="AB357" s="17">
        <f>IF(A357="","",A357&amp;"#"&amp;C357)</f>
        <v/>
      </c>
      <c r="AC357" s="17">
        <f>IF(AND(AD357=1,D357&lt;=TODAY(),N357&lt;&gt;""),1,0)</f>
        <v/>
      </c>
      <c r="AD357" s="17">
        <f>IF(OR(A357="",D357=""),0,IF(AND(ISNUMBER(Baux!$H$31),D357&gt;Baux!$H$31),0,1))</f>
        <v/>
      </c>
    </row>
    <row r="358">
      <c r="A358" s="17">
        <f>IF(Baux!$A$31="","",Baux!$A$31)</f>
        <v/>
      </c>
      <c r="B358" s="17">
        <f>IF(A358="","",Baux!$B$31)</f>
        <v/>
      </c>
      <c r="C358" s="17" t="n">
        <v>9</v>
      </c>
      <c r="D358" s="15">
        <f>IF(OR(A358="",Baux!$F$31="",Baux!$O$31=""),"",EDATE(Baux!$F$31,12*Baux!$O$31*C358))</f>
        <v/>
      </c>
      <c r="E358" s="17">
        <f>IF(AD358=0,"",Baux!$M$31)</f>
        <v/>
      </c>
      <c r="F358" s="17">
        <f>IF(AD358=0,"",IFERROR(TEXT(VALUE(LEFT(Baux!$N$31,4))+C358*Baux!$O$31,"0")&amp;RIGHT(Baux!$N$31,3),""))</f>
        <v/>
      </c>
      <c r="G358" s="25">
        <f>IF(AD358=0,"",IF(F358="","",IF(SUMIFS(Indices_long!$C:$C,Indices_long!$A:$A,E358,Indices_long!$B:$B,F358)=0,"",SUMIFS(Indices_long!$C:$C,Indices_long!$A:$A,E358,Indices_long!$B:$B,F358))))</f>
        <v/>
      </c>
      <c r="H358" s="17">
        <f>IF(AD358=0,"",IF(Baux!$P$31="Base fixe",Baux!$N$31,IF(K357="Geler – rattrapage possible",H357,F357)))</f>
        <v/>
      </c>
      <c r="I358" s="25">
        <f>IF(AD358=0,"",IF(H358="","",IF(SUMIFS(Indices_long!$C:$C,Indices_long!$A:$A,E358,Indices_long!$B:$B,H358)=0,"",SUMIFS(Indices_long!$C:$C,Indices_long!$A:$A,E358,Indices_long!$B:$B,H358))))</f>
        <v/>
      </c>
      <c r="J358" s="26">
        <f>IF(OR(G358="",I358=""),"",G358/I358)</f>
        <v/>
      </c>
      <c r="K358" s="13" t="n"/>
      <c r="L358" s="27">
        <f>IF(AD358=0,"",IF(Baux!$P$31="Base fixe",Baux!$I$31,N357))</f>
        <v/>
      </c>
      <c r="M358" s="27">
        <f>IF(OR(J358="",L358=""),"",ROUND(L358*J358,2))</f>
        <v/>
      </c>
      <c r="N358" s="27">
        <f>IF(AD358=0,"",IF(LEFT(K358,5)="Geler",O358,IF(M358="","",IF(Baux!$Q$31="",M358,MIN(M358,ROUND(L358*(1+Baux!$Q$31/100)^IF(Baux!$P$31="Base fixe",C358*Baux!$O$31,VALUE(LEFT(F358,4))-VALUE(LEFT(H358,4))),2))))))</f>
        <v/>
      </c>
      <c r="O358" s="27">
        <f>IF(AD358=0,"",N357)</f>
        <v/>
      </c>
      <c r="P358" s="28">
        <f>IF(OR(N358="",O358=""),"",N358/O358-1)</f>
        <v/>
      </c>
      <c r="Q358" s="27">
        <f>IF(N358="","",N358/12)</f>
        <v/>
      </c>
      <c r="R358" s="27">
        <f>IF(N358="","",N358/IF(Baux!$L$31="Mensuelle",12,IF(Baux!$L$31="Trimestrielle",4,IF(Baux!$L$31="Semestrielle",2,1))))</f>
        <v/>
      </c>
      <c r="S358" s="27">
        <f>IF(AD358=0,"",IF(Baux!$J$31="",0,Baux!$J$31)/IF(Baux!$L$31="Mensuelle",12,IF(Baux!$L$31="Trimestrielle",4,IF(Baux!$L$31="Semestrielle",2,1))))</f>
        <v/>
      </c>
      <c r="T358" s="27">
        <f>IF(R358="","",(R358+S358)*Baux!$K$31/100)</f>
        <v/>
      </c>
      <c r="U358" s="27">
        <f>IF(R358="","",R358+S358+T358)</f>
        <v/>
      </c>
      <c r="V358" s="17">
        <f>IF(AD358=0,"",IF(LEFT(K358,5)="Geler","❄ Gelée",IF(G358="",IF(D358&lt;=TODAY(),"⚠ Indice attendu","À venir"),IF(D358&lt;=TODAY(),"✔ Calculable","Indice connu – à venir"))))</f>
        <v/>
      </c>
      <c r="W358" s="29" t="n"/>
      <c r="X358" s="13" t="n"/>
      <c r="Y358" s="14" t="n"/>
      <c r="Z358" s="14" t="n"/>
      <c r="AA358" s="13" t="n"/>
      <c r="AB358" s="17">
        <f>IF(A358="","",A358&amp;"#"&amp;C358)</f>
        <v/>
      </c>
      <c r="AC358" s="17">
        <f>IF(AND(AD358=1,D358&lt;=TODAY(),N358&lt;&gt;""),1,0)</f>
        <v/>
      </c>
      <c r="AD358" s="17">
        <f>IF(OR(A358="",D358=""),0,IF(AND(ISNUMBER(Baux!$H$31),D358&gt;Baux!$H$31),0,1))</f>
        <v/>
      </c>
    </row>
    <row r="359">
      <c r="A359" s="17">
        <f>IF(Baux!$A$31="","",Baux!$A$31)</f>
        <v/>
      </c>
      <c r="B359" s="17">
        <f>IF(A359="","",Baux!$B$31)</f>
        <v/>
      </c>
      <c r="C359" s="17" t="n">
        <v>10</v>
      </c>
      <c r="D359" s="15">
        <f>IF(OR(A359="",Baux!$F$31="",Baux!$O$31=""),"",EDATE(Baux!$F$31,12*Baux!$O$31*C359))</f>
        <v/>
      </c>
      <c r="E359" s="17">
        <f>IF(AD359=0,"",Baux!$M$31)</f>
        <v/>
      </c>
      <c r="F359" s="17">
        <f>IF(AD359=0,"",IFERROR(TEXT(VALUE(LEFT(Baux!$N$31,4))+C359*Baux!$O$31,"0")&amp;RIGHT(Baux!$N$31,3),""))</f>
        <v/>
      </c>
      <c r="G359" s="25">
        <f>IF(AD359=0,"",IF(F359="","",IF(SUMIFS(Indices_long!$C:$C,Indices_long!$A:$A,E359,Indices_long!$B:$B,F359)=0,"",SUMIFS(Indices_long!$C:$C,Indices_long!$A:$A,E359,Indices_long!$B:$B,F359))))</f>
        <v/>
      </c>
      <c r="H359" s="17">
        <f>IF(AD359=0,"",IF(Baux!$P$31="Base fixe",Baux!$N$31,IF(K358="Geler – rattrapage possible",H358,F358)))</f>
        <v/>
      </c>
      <c r="I359" s="25">
        <f>IF(AD359=0,"",IF(H359="","",IF(SUMIFS(Indices_long!$C:$C,Indices_long!$A:$A,E359,Indices_long!$B:$B,H359)=0,"",SUMIFS(Indices_long!$C:$C,Indices_long!$A:$A,E359,Indices_long!$B:$B,H359))))</f>
        <v/>
      </c>
      <c r="J359" s="26">
        <f>IF(OR(G359="",I359=""),"",G359/I359)</f>
        <v/>
      </c>
      <c r="K359" s="13" t="n"/>
      <c r="L359" s="27">
        <f>IF(AD359=0,"",IF(Baux!$P$31="Base fixe",Baux!$I$31,N358))</f>
        <v/>
      </c>
      <c r="M359" s="27">
        <f>IF(OR(J359="",L359=""),"",ROUND(L359*J359,2))</f>
        <v/>
      </c>
      <c r="N359" s="27">
        <f>IF(AD359=0,"",IF(LEFT(K359,5)="Geler",O359,IF(M359="","",IF(Baux!$Q$31="",M359,MIN(M359,ROUND(L359*(1+Baux!$Q$31/100)^IF(Baux!$P$31="Base fixe",C359*Baux!$O$31,VALUE(LEFT(F359,4))-VALUE(LEFT(H359,4))),2))))))</f>
        <v/>
      </c>
      <c r="O359" s="27">
        <f>IF(AD359=0,"",N358)</f>
        <v/>
      </c>
      <c r="P359" s="28">
        <f>IF(OR(N359="",O359=""),"",N359/O359-1)</f>
        <v/>
      </c>
      <c r="Q359" s="27">
        <f>IF(N359="","",N359/12)</f>
        <v/>
      </c>
      <c r="R359" s="27">
        <f>IF(N359="","",N359/IF(Baux!$L$31="Mensuelle",12,IF(Baux!$L$31="Trimestrielle",4,IF(Baux!$L$31="Semestrielle",2,1))))</f>
        <v/>
      </c>
      <c r="S359" s="27">
        <f>IF(AD359=0,"",IF(Baux!$J$31="",0,Baux!$J$31)/IF(Baux!$L$31="Mensuelle",12,IF(Baux!$L$31="Trimestrielle",4,IF(Baux!$L$31="Semestrielle",2,1))))</f>
        <v/>
      </c>
      <c r="T359" s="27">
        <f>IF(R359="","",(R359+S359)*Baux!$K$31/100)</f>
        <v/>
      </c>
      <c r="U359" s="27">
        <f>IF(R359="","",R359+S359+T359)</f>
        <v/>
      </c>
      <c r="V359" s="17">
        <f>IF(AD359=0,"",IF(LEFT(K359,5)="Geler","❄ Gelée",IF(G359="",IF(D359&lt;=TODAY(),"⚠ Indice attendu","À venir"),IF(D359&lt;=TODAY(),"✔ Calculable","Indice connu – à venir"))))</f>
        <v/>
      </c>
      <c r="W359" s="29" t="n"/>
      <c r="X359" s="13" t="n"/>
      <c r="Y359" s="14" t="n"/>
      <c r="Z359" s="14" t="n"/>
      <c r="AA359" s="13" t="n"/>
      <c r="AB359" s="17">
        <f>IF(A359="","",A359&amp;"#"&amp;C359)</f>
        <v/>
      </c>
      <c r="AC359" s="17">
        <f>IF(AND(AD359=1,D359&lt;=TODAY(),N359&lt;&gt;""),1,0)</f>
        <v/>
      </c>
      <c r="AD359" s="17">
        <f>IF(OR(A359="",D359=""),0,IF(AND(ISNUMBER(Baux!$H$31),D359&gt;Baux!$H$31),0,1))</f>
        <v/>
      </c>
    </row>
    <row r="360">
      <c r="A360" s="17">
        <f>IF(Baux!$A$31="","",Baux!$A$31)</f>
        <v/>
      </c>
      <c r="B360" s="17">
        <f>IF(A360="","",Baux!$B$31)</f>
        <v/>
      </c>
      <c r="C360" s="17" t="n">
        <v>11</v>
      </c>
      <c r="D360" s="15">
        <f>IF(OR(A360="",Baux!$F$31="",Baux!$O$31=""),"",EDATE(Baux!$F$31,12*Baux!$O$31*C360))</f>
        <v/>
      </c>
      <c r="E360" s="17">
        <f>IF(AD360=0,"",Baux!$M$31)</f>
        <v/>
      </c>
      <c r="F360" s="17">
        <f>IF(AD360=0,"",IFERROR(TEXT(VALUE(LEFT(Baux!$N$31,4))+C360*Baux!$O$31,"0")&amp;RIGHT(Baux!$N$31,3),""))</f>
        <v/>
      </c>
      <c r="G360" s="25">
        <f>IF(AD360=0,"",IF(F360="","",IF(SUMIFS(Indices_long!$C:$C,Indices_long!$A:$A,E360,Indices_long!$B:$B,F360)=0,"",SUMIFS(Indices_long!$C:$C,Indices_long!$A:$A,E360,Indices_long!$B:$B,F360))))</f>
        <v/>
      </c>
      <c r="H360" s="17">
        <f>IF(AD360=0,"",IF(Baux!$P$31="Base fixe",Baux!$N$31,IF(K359="Geler – rattrapage possible",H359,F359)))</f>
        <v/>
      </c>
      <c r="I360" s="25">
        <f>IF(AD360=0,"",IF(H360="","",IF(SUMIFS(Indices_long!$C:$C,Indices_long!$A:$A,E360,Indices_long!$B:$B,H360)=0,"",SUMIFS(Indices_long!$C:$C,Indices_long!$A:$A,E360,Indices_long!$B:$B,H360))))</f>
        <v/>
      </c>
      <c r="J360" s="26">
        <f>IF(OR(G360="",I360=""),"",G360/I360)</f>
        <v/>
      </c>
      <c r="K360" s="13" t="n"/>
      <c r="L360" s="27">
        <f>IF(AD360=0,"",IF(Baux!$P$31="Base fixe",Baux!$I$31,N359))</f>
        <v/>
      </c>
      <c r="M360" s="27">
        <f>IF(OR(J360="",L360=""),"",ROUND(L360*J360,2))</f>
        <v/>
      </c>
      <c r="N360" s="27">
        <f>IF(AD360=0,"",IF(LEFT(K360,5)="Geler",O360,IF(M360="","",IF(Baux!$Q$31="",M360,MIN(M360,ROUND(L360*(1+Baux!$Q$31/100)^IF(Baux!$P$31="Base fixe",C360*Baux!$O$31,VALUE(LEFT(F360,4))-VALUE(LEFT(H360,4))),2))))))</f>
        <v/>
      </c>
      <c r="O360" s="27">
        <f>IF(AD360=0,"",N359)</f>
        <v/>
      </c>
      <c r="P360" s="28">
        <f>IF(OR(N360="",O360=""),"",N360/O360-1)</f>
        <v/>
      </c>
      <c r="Q360" s="27">
        <f>IF(N360="","",N360/12)</f>
        <v/>
      </c>
      <c r="R360" s="27">
        <f>IF(N360="","",N360/IF(Baux!$L$31="Mensuelle",12,IF(Baux!$L$31="Trimestrielle",4,IF(Baux!$L$31="Semestrielle",2,1))))</f>
        <v/>
      </c>
      <c r="S360" s="27">
        <f>IF(AD360=0,"",IF(Baux!$J$31="",0,Baux!$J$31)/IF(Baux!$L$31="Mensuelle",12,IF(Baux!$L$31="Trimestrielle",4,IF(Baux!$L$31="Semestrielle",2,1))))</f>
        <v/>
      </c>
      <c r="T360" s="27">
        <f>IF(R360="","",(R360+S360)*Baux!$K$31/100)</f>
        <v/>
      </c>
      <c r="U360" s="27">
        <f>IF(R360="","",R360+S360+T360)</f>
        <v/>
      </c>
      <c r="V360" s="17">
        <f>IF(AD360=0,"",IF(LEFT(K360,5)="Geler","❄ Gelée",IF(G360="",IF(D360&lt;=TODAY(),"⚠ Indice attendu","À venir"),IF(D360&lt;=TODAY(),"✔ Calculable","Indice connu – à venir"))))</f>
        <v/>
      </c>
      <c r="W360" s="29" t="n"/>
      <c r="X360" s="13" t="n"/>
      <c r="Y360" s="14" t="n"/>
      <c r="Z360" s="14" t="n"/>
      <c r="AA360" s="13" t="n"/>
      <c r="AB360" s="17">
        <f>IF(A360="","",A360&amp;"#"&amp;C360)</f>
        <v/>
      </c>
      <c r="AC360" s="17">
        <f>IF(AND(AD360=1,D360&lt;=TODAY(),N360&lt;&gt;""),1,0)</f>
        <v/>
      </c>
      <c r="AD360" s="17">
        <f>IF(OR(A360="",D360=""),0,IF(AND(ISNUMBER(Baux!$H$31),D360&gt;Baux!$H$31),0,1))</f>
        <v/>
      </c>
    </row>
    <row r="361">
      <c r="A361" s="17">
        <f>IF(Baux!$A$31="","",Baux!$A$31)</f>
        <v/>
      </c>
      <c r="B361" s="17">
        <f>IF(A361="","",Baux!$B$31)</f>
        <v/>
      </c>
      <c r="C361" s="17" t="n">
        <v>12</v>
      </c>
      <c r="D361" s="15">
        <f>IF(OR(A361="",Baux!$F$31="",Baux!$O$31=""),"",EDATE(Baux!$F$31,12*Baux!$O$31*C361))</f>
        <v/>
      </c>
      <c r="E361" s="17">
        <f>IF(AD361=0,"",Baux!$M$31)</f>
        <v/>
      </c>
      <c r="F361" s="17">
        <f>IF(AD361=0,"",IFERROR(TEXT(VALUE(LEFT(Baux!$N$31,4))+C361*Baux!$O$31,"0")&amp;RIGHT(Baux!$N$31,3),""))</f>
        <v/>
      </c>
      <c r="G361" s="25">
        <f>IF(AD361=0,"",IF(F361="","",IF(SUMIFS(Indices_long!$C:$C,Indices_long!$A:$A,E361,Indices_long!$B:$B,F361)=0,"",SUMIFS(Indices_long!$C:$C,Indices_long!$A:$A,E361,Indices_long!$B:$B,F361))))</f>
        <v/>
      </c>
      <c r="H361" s="17">
        <f>IF(AD361=0,"",IF(Baux!$P$31="Base fixe",Baux!$N$31,IF(K360="Geler – rattrapage possible",H360,F360)))</f>
        <v/>
      </c>
      <c r="I361" s="25">
        <f>IF(AD361=0,"",IF(H361="","",IF(SUMIFS(Indices_long!$C:$C,Indices_long!$A:$A,E361,Indices_long!$B:$B,H361)=0,"",SUMIFS(Indices_long!$C:$C,Indices_long!$A:$A,E361,Indices_long!$B:$B,H361))))</f>
        <v/>
      </c>
      <c r="J361" s="26">
        <f>IF(OR(G361="",I361=""),"",G361/I361)</f>
        <v/>
      </c>
      <c r="K361" s="13" t="n"/>
      <c r="L361" s="27">
        <f>IF(AD361=0,"",IF(Baux!$P$31="Base fixe",Baux!$I$31,N360))</f>
        <v/>
      </c>
      <c r="M361" s="27">
        <f>IF(OR(J361="",L361=""),"",ROUND(L361*J361,2))</f>
        <v/>
      </c>
      <c r="N361" s="27">
        <f>IF(AD361=0,"",IF(LEFT(K361,5)="Geler",O361,IF(M361="","",IF(Baux!$Q$31="",M361,MIN(M361,ROUND(L361*(1+Baux!$Q$31/100)^IF(Baux!$P$31="Base fixe",C361*Baux!$O$31,VALUE(LEFT(F361,4))-VALUE(LEFT(H361,4))),2))))))</f>
        <v/>
      </c>
      <c r="O361" s="27">
        <f>IF(AD361=0,"",N360)</f>
        <v/>
      </c>
      <c r="P361" s="28">
        <f>IF(OR(N361="",O361=""),"",N361/O361-1)</f>
        <v/>
      </c>
      <c r="Q361" s="27">
        <f>IF(N361="","",N361/12)</f>
        <v/>
      </c>
      <c r="R361" s="27">
        <f>IF(N361="","",N361/IF(Baux!$L$31="Mensuelle",12,IF(Baux!$L$31="Trimestrielle",4,IF(Baux!$L$31="Semestrielle",2,1))))</f>
        <v/>
      </c>
      <c r="S361" s="27">
        <f>IF(AD361=0,"",IF(Baux!$J$31="",0,Baux!$J$31)/IF(Baux!$L$31="Mensuelle",12,IF(Baux!$L$31="Trimestrielle",4,IF(Baux!$L$31="Semestrielle",2,1))))</f>
        <v/>
      </c>
      <c r="T361" s="27">
        <f>IF(R361="","",(R361+S361)*Baux!$K$31/100)</f>
        <v/>
      </c>
      <c r="U361" s="27">
        <f>IF(R361="","",R361+S361+T361)</f>
        <v/>
      </c>
      <c r="V361" s="17">
        <f>IF(AD361=0,"",IF(LEFT(K361,5)="Geler","❄ Gelée",IF(G361="",IF(D361&lt;=TODAY(),"⚠ Indice attendu","À venir"),IF(D361&lt;=TODAY(),"✔ Calculable","Indice connu – à venir"))))</f>
        <v/>
      </c>
      <c r="W361" s="29" t="n"/>
      <c r="X361" s="13" t="n"/>
      <c r="Y361" s="14" t="n"/>
      <c r="Z361" s="14" t="n"/>
      <c r="AA361" s="13" t="n"/>
      <c r="AB361" s="17">
        <f>IF(A361="","",A361&amp;"#"&amp;C361)</f>
        <v/>
      </c>
      <c r="AC361" s="17">
        <f>IF(AND(AD361=1,D361&lt;=TODAY(),N361&lt;&gt;""),1,0)</f>
        <v/>
      </c>
      <c r="AD361" s="17">
        <f>IF(OR(A361="",D361=""),0,IF(AND(ISNUMBER(Baux!$H$31),D361&gt;Baux!$H$31),0,1))</f>
        <v/>
      </c>
    </row>
    <row r="362">
      <c r="A362" s="17">
        <f>IF(Baux!$A$32="","",Baux!$A$32)</f>
        <v/>
      </c>
      <c r="B362" s="17">
        <f>IF(A362="","",Baux!$B$32)</f>
        <v/>
      </c>
      <c r="C362" s="17" t="n">
        <v>1</v>
      </c>
      <c r="D362" s="15">
        <f>IF(OR(A362="",Baux!$F$32="",Baux!$O$32=""),"",EDATE(Baux!$F$32,12*Baux!$O$32*C362))</f>
        <v/>
      </c>
      <c r="E362" s="17">
        <f>IF(AD362=0,"",Baux!$M$32)</f>
        <v/>
      </c>
      <c r="F362" s="17">
        <f>IF(AD362=0,"",IFERROR(TEXT(VALUE(LEFT(Baux!$N$32,4))+C362*Baux!$O$32,"0")&amp;RIGHT(Baux!$N$32,3),""))</f>
        <v/>
      </c>
      <c r="G362" s="25">
        <f>IF(AD362=0,"",IF(F362="","",IF(SUMIFS(Indices_long!$C:$C,Indices_long!$A:$A,E362,Indices_long!$B:$B,F362)=0,"",SUMIFS(Indices_long!$C:$C,Indices_long!$A:$A,E362,Indices_long!$B:$B,F362))))</f>
        <v/>
      </c>
      <c r="H362" s="17">
        <f>IF(AD362=0,"",Baux!$N$32)</f>
        <v/>
      </c>
      <c r="I362" s="25">
        <f>IF(AD362=0,"",IF(H362="","",IF(SUMIFS(Indices_long!$C:$C,Indices_long!$A:$A,E362,Indices_long!$B:$B,H362)=0,"",SUMIFS(Indices_long!$C:$C,Indices_long!$A:$A,E362,Indices_long!$B:$B,H362))))</f>
        <v/>
      </c>
      <c r="J362" s="26">
        <f>IF(OR(G362="",I362=""),"",G362/I362)</f>
        <v/>
      </c>
      <c r="K362" s="13" t="n"/>
      <c r="L362" s="27">
        <f>IF(AD362=0,"",Baux!$I$32)</f>
        <v/>
      </c>
      <c r="M362" s="27">
        <f>IF(OR(J362="",L362=""),"",ROUND(L362*J362,2))</f>
        <v/>
      </c>
      <c r="N362" s="27">
        <f>IF(AD362=0,"",IF(LEFT(K362,5)="Geler",O362,IF(M362="","",IF(Baux!$Q$32="",M362,MIN(M362,ROUND(L362*(1+Baux!$Q$32/100)^IF(Baux!$P$32="Base fixe",C362*Baux!$O$32,VALUE(LEFT(F362,4))-VALUE(LEFT(H362,4))),2))))))</f>
        <v/>
      </c>
      <c r="O362" s="27">
        <f>IF(AD362=0,"",Baux!$I$32)</f>
        <v/>
      </c>
      <c r="P362" s="28">
        <f>IF(OR(N362="",O362=""),"",N362/O362-1)</f>
        <v/>
      </c>
      <c r="Q362" s="27">
        <f>IF(N362="","",N362/12)</f>
        <v/>
      </c>
      <c r="R362" s="27">
        <f>IF(N362="","",N362/IF(Baux!$L$32="Mensuelle",12,IF(Baux!$L$32="Trimestrielle",4,IF(Baux!$L$32="Semestrielle",2,1))))</f>
        <v/>
      </c>
      <c r="S362" s="27">
        <f>IF(AD362=0,"",IF(Baux!$J$32="",0,Baux!$J$32)/IF(Baux!$L$32="Mensuelle",12,IF(Baux!$L$32="Trimestrielle",4,IF(Baux!$L$32="Semestrielle",2,1))))</f>
        <v/>
      </c>
      <c r="T362" s="27">
        <f>IF(R362="","",(R362+S362)*Baux!$K$32/100)</f>
        <v/>
      </c>
      <c r="U362" s="27">
        <f>IF(R362="","",R362+S362+T362)</f>
        <v/>
      </c>
      <c r="V362" s="17">
        <f>IF(AD362=0,"",IF(LEFT(K362,5)="Geler","❄ Gelée",IF(G362="",IF(D362&lt;=TODAY(),"⚠ Indice attendu","À venir"),IF(D362&lt;=TODAY(),"✔ Calculable","Indice connu – à venir"))))</f>
        <v/>
      </c>
      <c r="W362" s="29" t="n"/>
      <c r="X362" s="13" t="n"/>
      <c r="Y362" s="14" t="n"/>
      <c r="Z362" s="14" t="n"/>
      <c r="AA362" s="13" t="n"/>
      <c r="AB362" s="17">
        <f>IF(A362="","",A362&amp;"#"&amp;C362)</f>
        <v/>
      </c>
      <c r="AC362" s="17">
        <f>IF(AND(AD362=1,D362&lt;=TODAY(),N362&lt;&gt;""),1,0)</f>
        <v/>
      </c>
      <c r="AD362" s="17">
        <f>IF(OR(A362="",D362=""),0,IF(AND(ISNUMBER(Baux!$H$32),D362&gt;Baux!$H$32),0,1))</f>
        <v/>
      </c>
    </row>
    <row r="363">
      <c r="A363" s="17">
        <f>IF(Baux!$A$32="","",Baux!$A$32)</f>
        <v/>
      </c>
      <c r="B363" s="17">
        <f>IF(A363="","",Baux!$B$32)</f>
        <v/>
      </c>
      <c r="C363" s="17" t="n">
        <v>2</v>
      </c>
      <c r="D363" s="15">
        <f>IF(OR(A363="",Baux!$F$32="",Baux!$O$32=""),"",EDATE(Baux!$F$32,12*Baux!$O$32*C363))</f>
        <v/>
      </c>
      <c r="E363" s="17">
        <f>IF(AD363=0,"",Baux!$M$32)</f>
        <v/>
      </c>
      <c r="F363" s="17">
        <f>IF(AD363=0,"",IFERROR(TEXT(VALUE(LEFT(Baux!$N$32,4))+C363*Baux!$O$32,"0")&amp;RIGHT(Baux!$N$32,3),""))</f>
        <v/>
      </c>
      <c r="G363" s="25">
        <f>IF(AD363=0,"",IF(F363="","",IF(SUMIFS(Indices_long!$C:$C,Indices_long!$A:$A,E363,Indices_long!$B:$B,F363)=0,"",SUMIFS(Indices_long!$C:$C,Indices_long!$A:$A,E363,Indices_long!$B:$B,F363))))</f>
        <v/>
      </c>
      <c r="H363" s="17">
        <f>IF(AD363=0,"",IF(Baux!$P$32="Base fixe",Baux!$N$32,IF(K362="Geler – rattrapage possible",H362,F362)))</f>
        <v/>
      </c>
      <c r="I363" s="25">
        <f>IF(AD363=0,"",IF(H363="","",IF(SUMIFS(Indices_long!$C:$C,Indices_long!$A:$A,E363,Indices_long!$B:$B,H363)=0,"",SUMIFS(Indices_long!$C:$C,Indices_long!$A:$A,E363,Indices_long!$B:$B,H363))))</f>
        <v/>
      </c>
      <c r="J363" s="26">
        <f>IF(OR(G363="",I363=""),"",G363/I363)</f>
        <v/>
      </c>
      <c r="K363" s="13" t="n"/>
      <c r="L363" s="27">
        <f>IF(AD363=0,"",IF(Baux!$P$32="Base fixe",Baux!$I$32,N362))</f>
        <v/>
      </c>
      <c r="M363" s="27">
        <f>IF(OR(J363="",L363=""),"",ROUND(L363*J363,2))</f>
        <v/>
      </c>
      <c r="N363" s="27">
        <f>IF(AD363=0,"",IF(LEFT(K363,5)="Geler",O363,IF(M363="","",IF(Baux!$Q$32="",M363,MIN(M363,ROUND(L363*(1+Baux!$Q$32/100)^IF(Baux!$P$32="Base fixe",C363*Baux!$O$32,VALUE(LEFT(F363,4))-VALUE(LEFT(H363,4))),2))))))</f>
        <v/>
      </c>
      <c r="O363" s="27">
        <f>IF(AD363=0,"",N362)</f>
        <v/>
      </c>
      <c r="P363" s="28">
        <f>IF(OR(N363="",O363=""),"",N363/O363-1)</f>
        <v/>
      </c>
      <c r="Q363" s="27">
        <f>IF(N363="","",N363/12)</f>
        <v/>
      </c>
      <c r="R363" s="27">
        <f>IF(N363="","",N363/IF(Baux!$L$32="Mensuelle",12,IF(Baux!$L$32="Trimestrielle",4,IF(Baux!$L$32="Semestrielle",2,1))))</f>
        <v/>
      </c>
      <c r="S363" s="27">
        <f>IF(AD363=0,"",IF(Baux!$J$32="",0,Baux!$J$32)/IF(Baux!$L$32="Mensuelle",12,IF(Baux!$L$32="Trimestrielle",4,IF(Baux!$L$32="Semestrielle",2,1))))</f>
        <v/>
      </c>
      <c r="T363" s="27">
        <f>IF(R363="","",(R363+S363)*Baux!$K$32/100)</f>
        <v/>
      </c>
      <c r="U363" s="27">
        <f>IF(R363="","",R363+S363+T363)</f>
        <v/>
      </c>
      <c r="V363" s="17">
        <f>IF(AD363=0,"",IF(LEFT(K363,5)="Geler","❄ Gelée",IF(G363="",IF(D363&lt;=TODAY(),"⚠ Indice attendu","À venir"),IF(D363&lt;=TODAY(),"✔ Calculable","Indice connu – à venir"))))</f>
        <v/>
      </c>
      <c r="W363" s="29" t="n"/>
      <c r="X363" s="13" t="n"/>
      <c r="Y363" s="14" t="n"/>
      <c r="Z363" s="14" t="n"/>
      <c r="AA363" s="13" t="n"/>
      <c r="AB363" s="17">
        <f>IF(A363="","",A363&amp;"#"&amp;C363)</f>
        <v/>
      </c>
      <c r="AC363" s="17">
        <f>IF(AND(AD363=1,D363&lt;=TODAY(),N363&lt;&gt;""),1,0)</f>
        <v/>
      </c>
      <c r="AD363" s="17">
        <f>IF(OR(A363="",D363=""),0,IF(AND(ISNUMBER(Baux!$H$32),D363&gt;Baux!$H$32),0,1))</f>
        <v/>
      </c>
    </row>
    <row r="364">
      <c r="A364" s="17">
        <f>IF(Baux!$A$32="","",Baux!$A$32)</f>
        <v/>
      </c>
      <c r="B364" s="17">
        <f>IF(A364="","",Baux!$B$32)</f>
        <v/>
      </c>
      <c r="C364" s="17" t="n">
        <v>3</v>
      </c>
      <c r="D364" s="15">
        <f>IF(OR(A364="",Baux!$F$32="",Baux!$O$32=""),"",EDATE(Baux!$F$32,12*Baux!$O$32*C364))</f>
        <v/>
      </c>
      <c r="E364" s="17">
        <f>IF(AD364=0,"",Baux!$M$32)</f>
        <v/>
      </c>
      <c r="F364" s="17">
        <f>IF(AD364=0,"",IFERROR(TEXT(VALUE(LEFT(Baux!$N$32,4))+C364*Baux!$O$32,"0")&amp;RIGHT(Baux!$N$32,3),""))</f>
        <v/>
      </c>
      <c r="G364" s="25">
        <f>IF(AD364=0,"",IF(F364="","",IF(SUMIFS(Indices_long!$C:$C,Indices_long!$A:$A,E364,Indices_long!$B:$B,F364)=0,"",SUMIFS(Indices_long!$C:$C,Indices_long!$A:$A,E364,Indices_long!$B:$B,F364))))</f>
        <v/>
      </c>
      <c r="H364" s="17">
        <f>IF(AD364=0,"",IF(Baux!$P$32="Base fixe",Baux!$N$32,IF(K363="Geler – rattrapage possible",H363,F363)))</f>
        <v/>
      </c>
      <c r="I364" s="25">
        <f>IF(AD364=0,"",IF(H364="","",IF(SUMIFS(Indices_long!$C:$C,Indices_long!$A:$A,E364,Indices_long!$B:$B,H364)=0,"",SUMIFS(Indices_long!$C:$C,Indices_long!$A:$A,E364,Indices_long!$B:$B,H364))))</f>
        <v/>
      </c>
      <c r="J364" s="26">
        <f>IF(OR(G364="",I364=""),"",G364/I364)</f>
        <v/>
      </c>
      <c r="K364" s="13" t="n"/>
      <c r="L364" s="27">
        <f>IF(AD364=0,"",IF(Baux!$P$32="Base fixe",Baux!$I$32,N363))</f>
        <v/>
      </c>
      <c r="M364" s="27">
        <f>IF(OR(J364="",L364=""),"",ROUND(L364*J364,2))</f>
        <v/>
      </c>
      <c r="N364" s="27">
        <f>IF(AD364=0,"",IF(LEFT(K364,5)="Geler",O364,IF(M364="","",IF(Baux!$Q$32="",M364,MIN(M364,ROUND(L364*(1+Baux!$Q$32/100)^IF(Baux!$P$32="Base fixe",C364*Baux!$O$32,VALUE(LEFT(F364,4))-VALUE(LEFT(H364,4))),2))))))</f>
        <v/>
      </c>
      <c r="O364" s="27">
        <f>IF(AD364=0,"",N363)</f>
        <v/>
      </c>
      <c r="P364" s="28">
        <f>IF(OR(N364="",O364=""),"",N364/O364-1)</f>
        <v/>
      </c>
      <c r="Q364" s="27">
        <f>IF(N364="","",N364/12)</f>
        <v/>
      </c>
      <c r="R364" s="27">
        <f>IF(N364="","",N364/IF(Baux!$L$32="Mensuelle",12,IF(Baux!$L$32="Trimestrielle",4,IF(Baux!$L$32="Semestrielle",2,1))))</f>
        <v/>
      </c>
      <c r="S364" s="27">
        <f>IF(AD364=0,"",IF(Baux!$J$32="",0,Baux!$J$32)/IF(Baux!$L$32="Mensuelle",12,IF(Baux!$L$32="Trimestrielle",4,IF(Baux!$L$32="Semestrielle",2,1))))</f>
        <v/>
      </c>
      <c r="T364" s="27">
        <f>IF(R364="","",(R364+S364)*Baux!$K$32/100)</f>
        <v/>
      </c>
      <c r="U364" s="27">
        <f>IF(R364="","",R364+S364+T364)</f>
        <v/>
      </c>
      <c r="V364" s="17">
        <f>IF(AD364=0,"",IF(LEFT(K364,5)="Geler","❄ Gelée",IF(G364="",IF(D364&lt;=TODAY(),"⚠ Indice attendu","À venir"),IF(D364&lt;=TODAY(),"✔ Calculable","Indice connu – à venir"))))</f>
        <v/>
      </c>
      <c r="W364" s="29" t="n"/>
      <c r="X364" s="13" t="n"/>
      <c r="Y364" s="14" t="n"/>
      <c r="Z364" s="14" t="n"/>
      <c r="AA364" s="13" t="n"/>
      <c r="AB364" s="17">
        <f>IF(A364="","",A364&amp;"#"&amp;C364)</f>
        <v/>
      </c>
      <c r="AC364" s="17">
        <f>IF(AND(AD364=1,D364&lt;=TODAY(),N364&lt;&gt;""),1,0)</f>
        <v/>
      </c>
      <c r="AD364" s="17">
        <f>IF(OR(A364="",D364=""),0,IF(AND(ISNUMBER(Baux!$H$32),D364&gt;Baux!$H$32),0,1))</f>
        <v/>
      </c>
    </row>
    <row r="365">
      <c r="A365" s="17">
        <f>IF(Baux!$A$32="","",Baux!$A$32)</f>
        <v/>
      </c>
      <c r="B365" s="17">
        <f>IF(A365="","",Baux!$B$32)</f>
        <v/>
      </c>
      <c r="C365" s="17" t="n">
        <v>4</v>
      </c>
      <c r="D365" s="15">
        <f>IF(OR(A365="",Baux!$F$32="",Baux!$O$32=""),"",EDATE(Baux!$F$32,12*Baux!$O$32*C365))</f>
        <v/>
      </c>
      <c r="E365" s="17">
        <f>IF(AD365=0,"",Baux!$M$32)</f>
        <v/>
      </c>
      <c r="F365" s="17">
        <f>IF(AD365=0,"",IFERROR(TEXT(VALUE(LEFT(Baux!$N$32,4))+C365*Baux!$O$32,"0")&amp;RIGHT(Baux!$N$32,3),""))</f>
        <v/>
      </c>
      <c r="G365" s="25">
        <f>IF(AD365=0,"",IF(F365="","",IF(SUMIFS(Indices_long!$C:$C,Indices_long!$A:$A,E365,Indices_long!$B:$B,F365)=0,"",SUMIFS(Indices_long!$C:$C,Indices_long!$A:$A,E365,Indices_long!$B:$B,F365))))</f>
        <v/>
      </c>
      <c r="H365" s="17">
        <f>IF(AD365=0,"",IF(Baux!$P$32="Base fixe",Baux!$N$32,IF(K364="Geler – rattrapage possible",H364,F364)))</f>
        <v/>
      </c>
      <c r="I365" s="25">
        <f>IF(AD365=0,"",IF(H365="","",IF(SUMIFS(Indices_long!$C:$C,Indices_long!$A:$A,E365,Indices_long!$B:$B,H365)=0,"",SUMIFS(Indices_long!$C:$C,Indices_long!$A:$A,E365,Indices_long!$B:$B,H365))))</f>
        <v/>
      </c>
      <c r="J365" s="26">
        <f>IF(OR(G365="",I365=""),"",G365/I365)</f>
        <v/>
      </c>
      <c r="K365" s="13" t="n"/>
      <c r="L365" s="27">
        <f>IF(AD365=0,"",IF(Baux!$P$32="Base fixe",Baux!$I$32,N364))</f>
        <v/>
      </c>
      <c r="M365" s="27">
        <f>IF(OR(J365="",L365=""),"",ROUND(L365*J365,2))</f>
        <v/>
      </c>
      <c r="N365" s="27">
        <f>IF(AD365=0,"",IF(LEFT(K365,5)="Geler",O365,IF(M365="","",IF(Baux!$Q$32="",M365,MIN(M365,ROUND(L365*(1+Baux!$Q$32/100)^IF(Baux!$P$32="Base fixe",C365*Baux!$O$32,VALUE(LEFT(F365,4))-VALUE(LEFT(H365,4))),2))))))</f>
        <v/>
      </c>
      <c r="O365" s="27">
        <f>IF(AD365=0,"",N364)</f>
        <v/>
      </c>
      <c r="P365" s="28">
        <f>IF(OR(N365="",O365=""),"",N365/O365-1)</f>
        <v/>
      </c>
      <c r="Q365" s="27">
        <f>IF(N365="","",N365/12)</f>
        <v/>
      </c>
      <c r="R365" s="27">
        <f>IF(N365="","",N365/IF(Baux!$L$32="Mensuelle",12,IF(Baux!$L$32="Trimestrielle",4,IF(Baux!$L$32="Semestrielle",2,1))))</f>
        <v/>
      </c>
      <c r="S365" s="27">
        <f>IF(AD365=0,"",IF(Baux!$J$32="",0,Baux!$J$32)/IF(Baux!$L$32="Mensuelle",12,IF(Baux!$L$32="Trimestrielle",4,IF(Baux!$L$32="Semestrielle",2,1))))</f>
        <v/>
      </c>
      <c r="T365" s="27">
        <f>IF(R365="","",(R365+S365)*Baux!$K$32/100)</f>
        <v/>
      </c>
      <c r="U365" s="27">
        <f>IF(R365="","",R365+S365+T365)</f>
        <v/>
      </c>
      <c r="V365" s="17">
        <f>IF(AD365=0,"",IF(LEFT(K365,5)="Geler","❄ Gelée",IF(G365="",IF(D365&lt;=TODAY(),"⚠ Indice attendu","À venir"),IF(D365&lt;=TODAY(),"✔ Calculable","Indice connu – à venir"))))</f>
        <v/>
      </c>
      <c r="W365" s="29" t="n"/>
      <c r="X365" s="13" t="n"/>
      <c r="Y365" s="14" t="n"/>
      <c r="Z365" s="14" t="n"/>
      <c r="AA365" s="13" t="n"/>
      <c r="AB365" s="17">
        <f>IF(A365="","",A365&amp;"#"&amp;C365)</f>
        <v/>
      </c>
      <c r="AC365" s="17">
        <f>IF(AND(AD365=1,D365&lt;=TODAY(),N365&lt;&gt;""),1,0)</f>
        <v/>
      </c>
      <c r="AD365" s="17">
        <f>IF(OR(A365="",D365=""),0,IF(AND(ISNUMBER(Baux!$H$32),D365&gt;Baux!$H$32),0,1))</f>
        <v/>
      </c>
    </row>
    <row r="366">
      <c r="A366" s="17">
        <f>IF(Baux!$A$32="","",Baux!$A$32)</f>
        <v/>
      </c>
      <c r="B366" s="17">
        <f>IF(A366="","",Baux!$B$32)</f>
        <v/>
      </c>
      <c r="C366" s="17" t="n">
        <v>5</v>
      </c>
      <c r="D366" s="15">
        <f>IF(OR(A366="",Baux!$F$32="",Baux!$O$32=""),"",EDATE(Baux!$F$32,12*Baux!$O$32*C366))</f>
        <v/>
      </c>
      <c r="E366" s="17">
        <f>IF(AD366=0,"",Baux!$M$32)</f>
        <v/>
      </c>
      <c r="F366" s="17">
        <f>IF(AD366=0,"",IFERROR(TEXT(VALUE(LEFT(Baux!$N$32,4))+C366*Baux!$O$32,"0")&amp;RIGHT(Baux!$N$32,3),""))</f>
        <v/>
      </c>
      <c r="G366" s="25">
        <f>IF(AD366=0,"",IF(F366="","",IF(SUMIFS(Indices_long!$C:$C,Indices_long!$A:$A,E366,Indices_long!$B:$B,F366)=0,"",SUMIFS(Indices_long!$C:$C,Indices_long!$A:$A,E366,Indices_long!$B:$B,F366))))</f>
        <v/>
      </c>
      <c r="H366" s="17">
        <f>IF(AD366=0,"",IF(Baux!$P$32="Base fixe",Baux!$N$32,IF(K365="Geler – rattrapage possible",H365,F365)))</f>
        <v/>
      </c>
      <c r="I366" s="25">
        <f>IF(AD366=0,"",IF(H366="","",IF(SUMIFS(Indices_long!$C:$C,Indices_long!$A:$A,E366,Indices_long!$B:$B,H366)=0,"",SUMIFS(Indices_long!$C:$C,Indices_long!$A:$A,E366,Indices_long!$B:$B,H366))))</f>
        <v/>
      </c>
      <c r="J366" s="26">
        <f>IF(OR(G366="",I366=""),"",G366/I366)</f>
        <v/>
      </c>
      <c r="K366" s="13" t="n"/>
      <c r="L366" s="27">
        <f>IF(AD366=0,"",IF(Baux!$P$32="Base fixe",Baux!$I$32,N365))</f>
        <v/>
      </c>
      <c r="M366" s="27">
        <f>IF(OR(J366="",L366=""),"",ROUND(L366*J366,2))</f>
        <v/>
      </c>
      <c r="N366" s="27">
        <f>IF(AD366=0,"",IF(LEFT(K366,5)="Geler",O366,IF(M366="","",IF(Baux!$Q$32="",M366,MIN(M366,ROUND(L366*(1+Baux!$Q$32/100)^IF(Baux!$P$32="Base fixe",C366*Baux!$O$32,VALUE(LEFT(F366,4))-VALUE(LEFT(H366,4))),2))))))</f>
        <v/>
      </c>
      <c r="O366" s="27">
        <f>IF(AD366=0,"",N365)</f>
        <v/>
      </c>
      <c r="P366" s="28">
        <f>IF(OR(N366="",O366=""),"",N366/O366-1)</f>
        <v/>
      </c>
      <c r="Q366" s="27">
        <f>IF(N366="","",N366/12)</f>
        <v/>
      </c>
      <c r="R366" s="27">
        <f>IF(N366="","",N366/IF(Baux!$L$32="Mensuelle",12,IF(Baux!$L$32="Trimestrielle",4,IF(Baux!$L$32="Semestrielle",2,1))))</f>
        <v/>
      </c>
      <c r="S366" s="27">
        <f>IF(AD366=0,"",IF(Baux!$J$32="",0,Baux!$J$32)/IF(Baux!$L$32="Mensuelle",12,IF(Baux!$L$32="Trimestrielle",4,IF(Baux!$L$32="Semestrielle",2,1))))</f>
        <v/>
      </c>
      <c r="T366" s="27">
        <f>IF(R366="","",(R366+S366)*Baux!$K$32/100)</f>
        <v/>
      </c>
      <c r="U366" s="27">
        <f>IF(R366="","",R366+S366+T366)</f>
        <v/>
      </c>
      <c r="V366" s="17">
        <f>IF(AD366=0,"",IF(LEFT(K366,5)="Geler","❄ Gelée",IF(G366="",IF(D366&lt;=TODAY(),"⚠ Indice attendu","À venir"),IF(D366&lt;=TODAY(),"✔ Calculable","Indice connu – à venir"))))</f>
        <v/>
      </c>
      <c r="W366" s="29" t="n"/>
      <c r="X366" s="13" t="n"/>
      <c r="Y366" s="14" t="n"/>
      <c r="Z366" s="14" t="n"/>
      <c r="AA366" s="13" t="n"/>
      <c r="AB366" s="17">
        <f>IF(A366="","",A366&amp;"#"&amp;C366)</f>
        <v/>
      </c>
      <c r="AC366" s="17">
        <f>IF(AND(AD366=1,D366&lt;=TODAY(),N366&lt;&gt;""),1,0)</f>
        <v/>
      </c>
      <c r="AD366" s="17">
        <f>IF(OR(A366="",D366=""),0,IF(AND(ISNUMBER(Baux!$H$32),D366&gt;Baux!$H$32),0,1))</f>
        <v/>
      </c>
    </row>
    <row r="367">
      <c r="A367" s="17">
        <f>IF(Baux!$A$32="","",Baux!$A$32)</f>
        <v/>
      </c>
      <c r="B367" s="17">
        <f>IF(A367="","",Baux!$B$32)</f>
        <v/>
      </c>
      <c r="C367" s="17" t="n">
        <v>6</v>
      </c>
      <c r="D367" s="15">
        <f>IF(OR(A367="",Baux!$F$32="",Baux!$O$32=""),"",EDATE(Baux!$F$32,12*Baux!$O$32*C367))</f>
        <v/>
      </c>
      <c r="E367" s="17">
        <f>IF(AD367=0,"",Baux!$M$32)</f>
        <v/>
      </c>
      <c r="F367" s="17">
        <f>IF(AD367=0,"",IFERROR(TEXT(VALUE(LEFT(Baux!$N$32,4))+C367*Baux!$O$32,"0")&amp;RIGHT(Baux!$N$32,3),""))</f>
        <v/>
      </c>
      <c r="G367" s="25">
        <f>IF(AD367=0,"",IF(F367="","",IF(SUMIFS(Indices_long!$C:$C,Indices_long!$A:$A,E367,Indices_long!$B:$B,F367)=0,"",SUMIFS(Indices_long!$C:$C,Indices_long!$A:$A,E367,Indices_long!$B:$B,F367))))</f>
        <v/>
      </c>
      <c r="H367" s="17">
        <f>IF(AD367=0,"",IF(Baux!$P$32="Base fixe",Baux!$N$32,IF(K366="Geler – rattrapage possible",H366,F366)))</f>
        <v/>
      </c>
      <c r="I367" s="25">
        <f>IF(AD367=0,"",IF(H367="","",IF(SUMIFS(Indices_long!$C:$C,Indices_long!$A:$A,E367,Indices_long!$B:$B,H367)=0,"",SUMIFS(Indices_long!$C:$C,Indices_long!$A:$A,E367,Indices_long!$B:$B,H367))))</f>
        <v/>
      </c>
      <c r="J367" s="26">
        <f>IF(OR(G367="",I367=""),"",G367/I367)</f>
        <v/>
      </c>
      <c r="K367" s="13" t="n"/>
      <c r="L367" s="27">
        <f>IF(AD367=0,"",IF(Baux!$P$32="Base fixe",Baux!$I$32,N366))</f>
        <v/>
      </c>
      <c r="M367" s="27">
        <f>IF(OR(J367="",L367=""),"",ROUND(L367*J367,2))</f>
        <v/>
      </c>
      <c r="N367" s="27">
        <f>IF(AD367=0,"",IF(LEFT(K367,5)="Geler",O367,IF(M367="","",IF(Baux!$Q$32="",M367,MIN(M367,ROUND(L367*(1+Baux!$Q$32/100)^IF(Baux!$P$32="Base fixe",C367*Baux!$O$32,VALUE(LEFT(F367,4))-VALUE(LEFT(H367,4))),2))))))</f>
        <v/>
      </c>
      <c r="O367" s="27">
        <f>IF(AD367=0,"",N366)</f>
        <v/>
      </c>
      <c r="P367" s="28">
        <f>IF(OR(N367="",O367=""),"",N367/O367-1)</f>
        <v/>
      </c>
      <c r="Q367" s="27">
        <f>IF(N367="","",N367/12)</f>
        <v/>
      </c>
      <c r="R367" s="27">
        <f>IF(N367="","",N367/IF(Baux!$L$32="Mensuelle",12,IF(Baux!$L$32="Trimestrielle",4,IF(Baux!$L$32="Semestrielle",2,1))))</f>
        <v/>
      </c>
      <c r="S367" s="27">
        <f>IF(AD367=0,"",IF(Baux!$J$32="",0,Baux!$J$32)/IF(Baux!$L$32="Mensuelle",12,IF(Baux!$L$32="Trimestrielle",4,IF(Baux!$L$32="Semestrielle",2,1))))</f>
        <v/>
      </c>
      <c r="T367" s="27">
        <f>IF(R367="","",(R367+S367)*Baux!$K$32/100)</f>
        <v/>
      </c>
      <c r="U367" s="27">
        <f>IF(R367="","",R367+S367+T367)</f>
        <v/>
      </c>
      <c r="V367" s="17">
        <f>IF(AD367=0,"",IF(LEFT(K367,5)="Geler","❄ Gelée",IF(G367="",IF(D367&lt;=TODAY(),"⚠ Indice attendu","À venir"),IF(D367&lt;=TODAY(),"✔ Calculable","Indice connu – à venir"))))</f>
        <v/>
      </c>
      <c r="W367" s="29" t="n"/>
      <c r="X367" s="13" t="n"/>
      <c r="Y367" s="14" t="n"/>
      <c r="Z367" s="14" t="n"/>
      <c r="AA367" s="13" t="n"/>
      <c r="AB367" s="17">
        <f>IF(A367="","",A367&amp;"#"&amp;C367)</f>
        <v/>
      </c>
      <c r="AC367" s="17">
        <f>IF(AND(AD367=1,D367&lt;=TODAY(),N367&lt;&gt;""),1,0)</f>
        <v/>
      </c>
      <c r="AD367" s="17">
        <f>IF(OR(A367="",D367=""),0,IF(AND(ISNUMBER(Baux!$H$32),D367&gt;Baux!$H$32),0,1))</f>
        <v/>
      </c>
    </row>
    <row r="368">
      <c r="A368" s="17">
        <f>IF(Baux!$A$32="","",Baux!$A$32)</f>
        <v/>
      </c>
      <c r="B368" s="17">
        <f>IF(A368="","",Baux!$B$32)</f>
        <v/>
      </c>
      <c r="C368" s="17" t="n">
        <v>7</v>
      </c>
      <c r="D368" s="15">
        <f>IF(OR(A368="",Baux!$F$32="",Baux!$O$32=""),"",EDATE(Baux!$F$32,12*Baux!$O$32*C368))</f>
        <v/>
      </c>
      <c r="E368" s="17">
        <f>IF(AD368=0,"",Baux!$M$32)</f>
        <v/>
      </c>
      <c r="F368" s="17">
        <f>IF(AD368=0,"",IFERROR(TEXT(VALUE(LEFT(Baux!$N$32,4))+C368*Baux!$O$32,"0")&amp;RIGHT(Baux!$N$32,3),""))</f>
        <v/>
      </c>
      <c r="G368" s="25">
        <f>IF(AD368=0,"",IF(F368="","",IF(SUMIFS(Indices_long!$C:$C,Indices_long!$A:$A,E368,Indices_long!$B:$B,F368)=0,"",SUMIFS(Indices_long!$C:$C,Indices_long!$A:$A,E368,Indices_long!$B:$B,F368))))</f>
        <v/>
      </c>
      <c r="H368" s="17">
        <f>IF(AD368=0,"",IF(Baux!$P$32="Base fixe",Baux!$N$32,IF(K367="Geler – rattrapage possible",H367,F367)))</f>
        <v/>
      </c>
      <c r="I368" s="25">
        <f>IF(AD368=0,"",IF(H368="","",IF(SUMIFS(Indices_long!$C:$C,Indices_long!$A:$A,E368,Indices_long!$B:$B,H368)=0,"",SUMIFS(Indices_long!$C:$C,Indices_long!$A:$A,E368,Indices_long!$B:$B,H368))))</f>
        <v/>
      </c>
      <c r="J368" s="26">
        <f>IF(OR(G368="",I368=""),"",G368/I368)</f>
        <v/>
      </c>
      <c r="K368" s="13" t="n"/>
      <c r="L368" s="27">
        <f>IF(AD368=0,"",IF(Baux!$P$32="Base fixe",Baux!$I$32,N367))</f>
        <v/>
      </c>
      <c r="M368" s="27">
        <f>IF(OR(J368="",L368=""),"",ROUND(L368*J368,2))</f>
        <v/>
      </c>
      <c r="N368" s="27">
        <f>IF(AD368=0,"",IF(LEFT(K368,5)="Geler",O368,IF(M368="","",IF(Baux!$Q$32="",M368,MIN(M368,ROUND(L368*(1+Baux!$Q$32/100)^IF(Baux!$P$32="Base fixe",C368*Baux!$O$32,VALUE(LEFT(F368,4))-VALUE(LEFT(H368,4))),2))))))</f>
        <v/>
      </c>
      <c r="O368" s="27">
        <f>IF(AD368=0,"",N367)</f>
        <v/>
      </c>
      <c r="P368" s="28">
        <f>IF(OR(N368="",O368=""),"",N368/O368-1)</f>
        <v/>
      </c>
      <c r="Q368" s="27">
        <f>IF(N368="","",N368/12)</f>
        <v/>
      </c>
      <c r="R368" s="27">
        <f>IF(N368="","",N368/IF(Baux!$L$32="Mensuelle",12,IF(Baux!$L$32="Trimestrielle",4,IF(Baux!$L$32="Semestrielle",2,1))))</f>
        <v/>
      </c>
      <c r="S368" s="27">
        <f>IF(AD368=0,"",IF(Baux!$J$32="",0,Baux!$J$32)/IF(Baux!$L$32="Mensuelle",12,IF(Baux!$L$32="Trimestrielle",4,IF(Baux!$L$32="Semestrielle",2,1))))</f>
        <v/>
      </c>
      <c r="T368" s="27">
        <f>IF(R368="","",(R368+S368)*Baux!$K$32/100)</f>
        <v/>
      </c>
      <c r="U368" s="27">
        <f>IF(R368="","",R368+S368+T368)</f>
        <v/>
      </c>
      <c r="V368" s="17">
        <f>IF(AD368=0,"",IF(LEFT(K368,5)="Geler","❄ Gelée",IF(G368="",IF(D368&lt;=TODAY(),"⚠ Indice attendu","À venir"),IF(D368&lt;=TODAY(),"✔ Calculable","Indice connu – à venir"))))</f>
        <v/>
      </c>
      <c r="W368" s="29" t="n"/>
      <c r="X368" s="13" t="n"/>
      <c r="Y368" s="14" t="n"/>
      <c r="Z368" s="14" t="n"/>
      <c r="AA368" s="13" t="n"/>
      <c r="AB368" s="17">
        <f>IF(A368="","",A368&amp;"#"&amp;C368)</f>
        <v/>
      </c>
      <c r="AC368" s="17">
        <f>IF(AND(AD368=1,D368&lt;=TODAY(),N368&lt;&gt;""),1,0)</f>
        <v/>
      </c>
      <c r="AD368" s="17">
        <f>IF(OR(A368="",D368=""),0,IF(AND(ISNUMBER(Baux!$H$32),D368&gt;Baux!$H$32),0,1))</f>
        <v/>
      </c>
    </row>
    <row r="369">
      <c r="A369" s="17">
        <f>IF(Baux!$A$32="","",Baux!$A$32)</f>
        <v/>
      </c>
      <c r="B369" s="17">
        <f>IF(A369="","",Baux!$B$32)</f>
        <v/>
      </c>
      <c r="C369" s="17" t="n">
        <v>8</v>
      </c>
      <c r="D369" s="15">
        <f>IF(OR(A369="",Baux!$F$32="",Baux!$O$32=""),"",EDATE(Baux!$F$32,12*Baux!$O$32*C369))</f>
        <v/>
      </c>
      <c r="E369" s="17">
        <f>IF(AD369=0,"",Baux!$M$32)</f>
        <v/>
      </c>
      <c r="F369" s="17">
        <f>IF(AD369=0,"",IFERROR(TEXT(VALUE(LEFT(Baux!$N$32,4))+C369*Baux!$O$32,"0")&amp;RIGHT(Baux!$N$32,3),""))</f>
        <v/>
      </c>
      <c r="G369" s="25">
        <f>IF(AD369=0,"",IF(F369="","",IF(SUMIFS(Indices_long!$C:$C,Indices_long!$A:$A,E369,Indices_long!$B:$B,F369)=0,"",SUMIFS(Indices_long!$C:$C,Indices_long!$A:$A,E369,Indices_long!$B:$B,F369))))</f>
        <v/>
      </c>
      <c r="H369" s="17">
        <f>IF(AD369=0,"",IF(Baux!$P$32="Base fixe",Baux!$N$32,IF(K368="Geler – rattrapage possible",H368,F368)))</f>
        <v/>
      </c>
      <c r="I369" s="25">
        <f>IF(AD369=0,"",IF(H369="","",IF(SUMIFS(Indices_long!$C:$C,Indices_long!$A:$A,E369,Indices_long!$B:$B,H369)=0,"",SUMIFS(Indices_long!$C:$C,Indices_long!$A:$A,E369,Indices_long!$B:$B,H369))))</f>
        <v/>
      </c>
      <c r="J369" s="26">
        <f>IF(OR(G369="",I369=""),"",G369/I369)</f>
        <v/>
      </c>
      <c r="K369" s="13" t="n"/>
      <c r="L369" s="27">
        <f>IF(AD369=0,"",IF(Baux!$P$32="Base fixe",Baux!$I$32,N368))</f>
        <v/>
      </c>
      <c r="M369" s="27">
        <f>IF(OR(J369="",L369=""),"",ROUND(L369*J369,2))</f>
        <v/>
      </c>
      <c r="N369" s="27">
        <f>IF(AD369=0,"",IF(LEFT(K369,5)="Geler",O369,IF(M369="","",IF(Baux!$Q$32="",M369,MIN(M369,ROUND(L369*(1+Baux!$Q$32/100)^IF(Baux!$P$32="Base fixe",C369*Baux!$O$32,VALUE(LEFT(F369,4))-VALUE(LEFT(H369,4))),2))))))</f>
        <v/>
      </c>
      <c r="O369" s="27">
        <f>IF(AD369=0,"",N368)</f>
        <v/>
      </c>
      <c r="P369" s="28">
        <f>IF(OR(N369="",O369=""),"",N369/O369-1)</f>
        <v/>
      </c>
      <c r="Q369" s="27">
        <f>IF(N369="","",N369/12)</f>
        <v/>
      </c>
      <c r="R369" s="27">
        <f>IF(N369="","",N369/IF(Baux!$L$32="Mensuelle",12,IF(Baux!$L$32="Trimestrielle",4,IF(Baux!$L$32="Semestrielle",2,1))))</f>
        <v/>
      </c>
      <c r="S369" s="27">
        <f>IF(AD369=0,"",IF(Baux!$J$32="",0,Baux!$J$32)/IF(Baux!$L$32="Mensuelle",12,IF(Baux!$L$32="Trimestrielle",4,IF(Baux!$L$32="Semestrielle",2,1))))</f>
        <v/>
      </c>
      <c r="T369" s="27">
        <f>IF(R369="","",(R369+S369)*Baux!$K$32/100)</f>
        <v/>
      </c>
      <c r="U369" s="27">
        <f>IF(R369="","",R369+S369+T369)</f>
        <v/>
      </c>
      <c r="V369" s="17">
        <f>IF(AD369=0,"",IF(LEFT(K369,5)="Geler","❄ Gelée",IF(G369="",IF(D369&lt;=TODAY(),"⚠ Indice attendu","À venir"),IF(D369&lt;=TODAY(),"✔ Calculable","Indice connu – à venir"))))</f>
        <v/>
      </c>
      <c r="W369" s="29" t="n"/>
      <c r="X369" s="13" t="n"/>
      <c r="Y369" s="14" t="n"/>
      <c r="Z369" s="14" t="n"/>
      <c r="AA369" s="13" t="n"/>
      <c r="AB369" s="17">
        <f>IF(A369="","",A369&amp;"#"&amp;C369)</f>
        <v/>
      </c>
      <c r="AC369" s="17">
        <f>IF(AND(AD369=1,D369&lt;=TODAY(),N369&lt;&gt;""),1,0)</f>
        <v/>
      </c>
      <c r="AD369" s="17">
        <f>IF(OR(A369="",D369=""),0,IF(AND(ISNUMBER(Baux!$H$32),D369&gt;Baux!$H$32),0,1))</f>
        <v/>
      </c>
    </row>
    <row r="370">
      <c r="A370" s="17">
        <f>IF(Baux!$A$32="","",Baux!$A$32)</f>
        <v/>
      </c>
      <c r="B370" s="17">
        <f>IF(A370="","",Baux!$B$32)</f>
        <v/>
      </c>
      <c r="C370" s="17" t="n">
        <v>9</v>
      </c>
      <c r="D370" s="15">
        <f>IF(OR(A370="",Baux!$F$32="",Baux!$O$32=""),"",EDATE(Baux!$F$32,12*Baux!$O$32*C370))</f>
        <v/>
      </c>
      <c r="E370" s="17">
        <f>IF(AD370=0,"",Baux!$M$32)</f>
        <v/>
      </c>
      <c r="F370" s="17">
        <f>IF(AD370=0,"",IFERROR(TEXT(VALUE(LEFT(Baux!$N$32,4))+C370*Baux!$O$32,"0")&amp;RIGHT(Baux!$N$32,3),""))</f>
        <v/>
      </c>
      <c r="G370" s="25">
        <f>IF(AD370=0,"",IF(F370="","",IF(SUMIFS(Indices_long!$C:$C,Indices_long!$A:$A,E370,Indices_long!$B:$B,F370)=0,"",SUMIFS(Indices_long!$C:$C,Indices_long!$A:$A,E370,Indices_long!$B:$B,F370))))</f>
        <v/>
      </c>
      <c r="H370" s="17">
        <f>IF(AD370=0,"",IF(Baux!$P$32="Base fixe",Baux!$N$32,IF(K369="Geler – rattrapage possible",H369,F369)))</f>
        <v/>
      </c>
      <c r="I370" s="25">
        <f>IF(AD370=0,"",IF(H370="","",IF(SUMIFS(Indices_long!$C:$C,Indices_long!$A:$A,E370,Indices_long!$B:$B,H370)=0,"",SUMIFS(Indices_long!$C:$C,Indices_long!$A:$A,E370,Indices_long!$B:$B,H370))))</f>
        <v/>
      </c>
      <c r="J370" s="26">
        <f>IF(OR(G370="",I370=""),"",G370/I370)</f>
        <v/>
      </c>
      <c r="K370" s="13" t="n"/>
      <c r="L370" s="27">
        <f>IF(AD370=0,"",IF(Baux!$P$32="Base fixe",Baux!$I$32,N369))</f>
        <v/>
      </c>
      <c r="M370" s="27">
        <f>IF(OR(J370="",L370=""),"",ROUND(L370*J370,2))</f>
        <v/>
      </c>
      <c r="N370" s="27">
        <f>IF(AD370=0,"",IF(LEFT(K370,5)="Geler",O370,IF(M370="","",IF(Baux!$Q$32="",M370,MIN(M370,ROUND(L370*(1+Baux!$Q$32/100)^IF(Baux!$P$32="Base fixe",C370*Baux!$O$32,VALUE(LEFT(F370,4))-VALUE(LEFT(H370,4))),2))))))</f>
        <v/>
      </c>
      <c r="O370" s="27">
        <f>IF(AD370=0,"",N369)</f>
        <v/>
      </c>
      <c r="P370" s="28">
        <f>IF(OR(N370="",O370=""),"",N370/O370-1)</f>
        <v/>
      </c>
      <c r="Q370" s="27">
        <f>IF(N370="","",N370/12)</f>
        <v/>
      </c>
      <c r="R370" s="27">
        <f>IF(N370="","",N370/IF(Baux!$L$32="Mensuelle",12,IF(Baux!$L$32="Trimestrielle",4,IF(Baux!$L$32="Semestrielle",2,1))))</f>
        <v/>
      </c>
      <c r="S370" s="27">
        <f>IF(AD370=0,"",IF(Baux!$J$32="",0,Baux!$J$32)/IF(Baux!$L$32="Mensuelle",12,IF(Baux!$L$32="Trimestrielle",4,IF(Baux!$L$32="Semestrielle",2,1))))</f>
        <v/>
      </c>
      <c r="T370" s="27">
        <f>IF(R370="","",(R370+S370)*Baux!$K$32/100)</f>
        <v/>
      </c>
      <c r="U370" s="27">
        <f>IF(R370="","",R370+S370+T370)</f>
        <v/>
      </c>
      <c r="V370" s="17">
        <f>IF(AD370=0,"",IF(LEFT(K370,5)="Geler","❄ Gelée",IF(G370="",IF(D370&lt;=TODAY(),"⚠ Indice attendu","À venir"),IF(D370&lt;=TODAY(),"✔ Calculable","Indice connu – à venir"))))</f>
        <v/>
      </c>
      <c r="W370" s="29" t="n"/>
      <c r="X370" s="13" t="n"/>
      <c r="Y370" s="14" t="n"/>
      <c r="Z370" s="14" t="n"/>
      <c r="AA370" s="13" t="n"/>
      <c r="AB370" s="17">
        <f>IF(A370="","",A370&amp;"#"&amp;C370)</f>
        <v/>
      </c>
      <c r="AC370" s="17">
        <f>IF(AND(AD370=1,D370&lt;=TODAY(),N370&lt;&gt;""),1,0)</f>
        <v/>
      </c>
      <c r="AD370" s="17">
        <f>IF(OR(A370="",D370=""),0,IF(AND(ISNUMBER(Baux!$H$32),D370&gt;Baux!$H$32),0,1))</f>
        <v/>
      </c>
    </row>
    <row r="371">
      <c r="A371" s="17">
        <f>IF(Baux!$A$32="","",Baux!$A$32)</f>
        <v/>
      </c>
      <c r="B371" s="17">
        <f>IF(A371="","",Baux!$B$32)</f>
        <v/>
      </c>
      <c r="C371" s="17" t="n">
        <v>10</v>
      </c>
      <c r="D371" s="15">
        <f>IF(OR(A371="",Baux!$F$32="",Baux!$O$32=""),"",EDATE(Baux!$F$32,12*Baux!$O$32*C371))</f>
        <v/>
      </c>
      <c r="E371" s="17">
        <f>IF(AD371=0,"",Baux!$M$32)</f>
        <v/>
      </c>
      <c r="F371" s="17">
        <f>IF(AD371=0,"",IFERROR(TEXT(VALUE(LEFT(Baux!$N$32,4))+C371*Baux!$O$32,"0")&amp;RIGHT(Baux!$N$32,3),""))</f>
        <v/>
      </c>
      <c r="G371" s="25">
        <f>IF(AD371=0,"",IF(F371="","",IF(SUMIFS(Indices_long!$C:$C,Indices_long!$A:$A,E371,Indices_long!$B:$B,F371)=0,"",SUMIFS(Indices_long!$C:$C,Indices_long!$A:$A,E371,Indices_long!$B:$B,F371))))</f>
        <v/>
      </c>
      <c r="H371" s="17">
        <f>IF(AD371=0,"",IF(Baux!$P$32="Base fixe",Baux!$N$32,IF(K370="Geler – rattrapage possible",H370,F370)))</f>
        <v/>
      </c>
      <c r="I371" s="25">
        <f>IF(AD371=0,"",IF(H371="","",IF(SUMIFS(Indices_long!$C:$C,Indices_long!$A:$A,E371,Indices_long!$B:$B,H371)=0,"",SUMIFS(Indices_long!$C:$C,Indices_long!$A:$A,E371,Indices_long!$B:$B,H371))))</f>
        <v/>
      </c>
      <c r="J371" s="26">
        <f>IF(OR(G371="",I371=""),"",G371/I371)</f>
        <v/>
      </c>
      <c r="K371" s="13" t="n"/>
      <c r="L371" s="27">
        <f>IF(AD371=0,"",IF(Baux!$P$32="Base fixe",Baux!$I$32,N370))</f>
        <v/>
      </c>
      <c r="M371" s="27">
        <f>IF(OR(J371="",L371=""),"",ROUND(L371*J371,2))</f>
        <v/>
      </c>
      <c r="N371" s="27">
        <f>IF(AD371=0,"",IF(LEFT(K371,5)="Geler",O371,IF(M371="","",IF(Baux!$Q$32="",M371,MIN(M371,ROUND(L371*(1+Baux!$Q$32/100)^IF(Baux!$P$32="Base fixe",C371*Baux!$O$32,VALUE(LEFT(F371,4))-VALUE(LEFT(H371,4))),2))))))</f>
        <v/>
      </c>
      <c r="O371" s="27">
        <f>IF(AD371=0,"",N370)</f>
        <v/>
      </c>
      <c r="P371" s="28">
        <f>IF(OR(N371="",O371=""),"",N371/O371-1)</f>
        <v/>
      </c>
      <c r="Q371" s="27">
        <f>IF(N371="","",N371/12)</f>
        <v/>
      </c>
      <c r="R371" s="27">
        <f>IF(N371="","",N371/IF(Baux!$L$32="Mensuelle",12,IF(Baux!$L$32="Trimestrielle",4,IF(Baux!$L$32="Semestrielle",2,1))))</f>
        <v/>
      </c>
      <c r="S371" s="27">
        <f>IF(AD371=0,"",IF(Baux!$J$32="",0,Baux!$J$32)/IF(Baux!$L$32="Mensuelle",12,IF(Baux!$L$32="Trimestrielle",4,IF(Baux!$L$32="Semestrielle",2,1))))</f>
        <v/>
      </c>
      <c r="T371" s="27">
        <f>IF(R371="","",(R371+S371)*Baux!$K$32/100)</f>
        <v/>
      </c>
      <c r="U371" s="27">
        <f>IF(R371="","",R371+S371+T371)</f>
        <v/>
      </c>
      <c r="V371" s="17">
        <f>IF(AD371=0,"",IF(LEFT(K371,5)="Geler","❄ Gelée",IF(G371="",IF(D371&lt;=TODAY(),"⚠ Indice attendu","À venir"),IF(D371&lt;=TODAY(),"✔ Calculable","Indice connu – à venir"))))</f>
        <v/>
      </c>
      <c r="W371" s="29" t="n"/>
      <c r="X371" s="13" t="n"/>
      <c r="Y371" s="14" t="n"/>
      <c r="Z371" s="14" t="n"/>
      <c r="AA371" s="13" t="n"/>
      <c r="AB371" s="17">
        <f>IF(A371="","",A371&amp;"#"&amp;C371)</f>
        <v/>
      </c>
      <c r="AC371" s="17">
        <f>IF(AND(AD371=1,D371&lt;=TODAY(),N371&lt;&gt;""),1,0)</f>
        <v/>
      </c>
      <c r="AD371" s="17">
        <f>IF(OR(A371="",D371=""),0,IF(AND(ISNUMBER(Baux!$H$32),D371&gt;Baux!$H$32),0,1))</f>
        <v/>
      </c>
    </row>
    <row r="372">
      <c r="A372" s="17">
        <f>IF(Baux!$A$32="","",Baux!$A$32)</f>
        <v/>
      </c>
      <c r="B372" s="17">
        <f>IF(A372="","",Baux!$B$32)</f>
        <v/>
      </c>
      <c r="C372" s="17" t="n">
        <v>11</v>
      </c>
      <c r="D372" s="15">
        <f>IF(OR(A372="",Baux!$F$32="",Baux!$O$32=""),"",EDATE(Baux!$F$32,12*Baux!$O$32*C372))</f>
        <v/>
      </c>
      <c r="E372" s="17">
        <f>IF(AD372=0,"",Baux!$M$32)</f>
        <v/>
      </c>
      <c r="F372" s="17">
        <f>IF(AD372=0,"",IFERROR(TEXT(VALUE(LEFT(Baux!$N$32,4))+C372*Baux!$O$32,"0")&amp;RIGHT(Baux!$N$32,3),""))</f>
        <v/>
      </c>
      <c r="G372" s="25">
        <f>IF(AD372=0,"",IF(F372="","",IF(SUMIFS(Indices_long!$C:$C,Indices_long!$A:$A,E372,Indices_long!$B:$B,F372)=0,"",SUMIFS(Indices_long!$C:$C,Indices_long!$A:$A,E372,Indices_long!$B:$B,F372))))</f>
        <v/>
      </c>
      <c r="H372" s="17">
        <f>IF(AD372=0,"",IF(Baux!$P$32="Base fixe",Baux!$N$32,IF(K371="Geler – rattrapage possible",H371,F371)))</f>
        <v/>
      </c>
      <c r="I372" s="25">
        <f>IF(AD372=0,"",IF(H372="","",IF(SUMIFS(Indices_long!$C:$C,Indices_long!$A:$A,E372,Indices_long!$B:$B,H372)=0,"",SUMIFS(Indices_long!$C:$C,Indices_long!$A:$A,E372,Indices_long!$B:$B,H372))))</f>
        <v/>
      </c>
      <c r="J372" s="26">
        <f>IF(OR(G372="",I372=""),"",G372/I372)</f>
        <v/>
      </c>
      <c r="K372" s="13" t="n"/>
      <c r="L372" s="27">
        <f>IF(AD372=0,"",IF(Baux!$P$32="Base fixe",Baux!$I$32,N371))</f>
        <v/>
      </c>
      <c r="M372" s="27">
        <f>IF(OR(J372="",L372=""),"",ROUND(L372*J372,2))</f>
        <v/>
      </c>
      <c r="N372" s="27">
        <f>IF(AD372=0,"",IF(LEFT(K372,5)="Geler",O372,IF(M372="","",IF(Baux!$Q$32="",M372,MIN(M372,ROUND(L372*(1+Baux!$Q$32/100)^IF(Baux!$P$32="Base fixe",C372*Baux!$O$32,VALUE(LEFT(F372,4))-VALUE(LEFT(H372,4))),2))))))</f>
        <v/>
      </c>
      <c r="O372" s="27">
        <f>IF(AD372=0,"",N371)</f>
        <v/>
      </c>
      <c r="P372" s="28">
        <f>IF(OR(N372="",O372=""),"",N372/O372-1)</f>
        <v/>
      </c>
      <c r="Q372" s="27">
        <f>IF(N372="","",N372/12)</f>
        <v/>
      </c>
      <c r="R372" s="27">
        <f>IF(N372="","",N372/IF(Baux!$L$32="Mensuelle",12,IF(Baux!$L$32="Trimestrielle",4,IF(Baux!$L$32="Semestrielle",2,1))))</f>
        <v/>
      </c>
      <c r="S372" s="27">
        <f>IF(AD372=0,"",IF(Baux!$J$32="",0,Baux!$J$32)/IF(Baux!$L$32="Mensuelle",12,IF(Baux!$L$32="Trimestrielle",4,IF(Baux!$L$32="Semestrielle",2,1))))</f>
        <v/>
      </c>
      <c r="T372" s="27">
        <f>IF(R372="","",(R372+S372)*Baux!$K$32/100)</f>
        <v/>
      </c>
      <c r="U372" s="27">
        <f>IF(R372="","",R372+S372+T372)</f>
        <v/>
      </c>
      <c r="V372" s="17">
        <f>IF(AD372=0,"",IF(LEFT(K372,5)="Geler","❄ Gelée",IF(G372="",IF(D372&lt;=TODAY(),"⚠ Indice attendu","À venir"),IF(D372&lt;=TODAY(),"✔ Calculable","Indice connu – à venir"))))</f>
        <v/>
      </c>
      <c r="W372" s="29" t="n"/>
      <c r="X372" s="13" t="n"/>
      <c r="Y372" s="14" t="n"/>
      <c r="Z372" s="14" t="n"/>
      <c r="AA372" s="13" t="n"/>
      <c r="AB372" s="17">
        <f>IF(A372="","",A372&amp;"#"&amp;C372)</f>
        <v/>
      </c>
      <c r="AC372" s="17">
        <f>IF(AND(AD372=1,D372&lt;=TODAY(),N372&lt;&gt;""),1,0)</f>
        <v/>
      </c>
      <c r="AD372" s="17">
        <f>IF(OR(A372="",D372=""),0,IF(AND(ISNUMBER(Baux!$H$32),D372&gt;Baux!$H$32),0,1))</f>
        <v/>
      </c>
    </row>
    <row r="373">
      <c r="A373" s="17">
        <f>IF(Baux!$A$32="","",Baux!$A$32)</f>
        <v/>
      </c>
      <c r="B373" s="17">
        <f>IF(A373="","",Baux!$B$32)</f>
        <v/>
      </c>
      <c r="C373" s="17" t="n">
        <v>12</v>
      </c>
      <c r="D373" s="15">
        <f>IF(OR(A373="",Baux!$F$32="",Baux!$O$32=""),"",EDATE(Baux!$F$32,12*Baux!$O$32*C373))</f>
        <v/>
      </c>
      <c r="E373" s="17">
        <f>IF(AD373=0,"",Baux!$M$32)</f>
        <v/>
      </c>
      <c r="F373" s="17">
        <f>IF(AD373=0,"",IFERROR(TEXT(VALUE(LEFT(Baux!$N$32,4))+C373*Baux!$O$32,"0")&amp;RIGHT(Baux!$N$32,3),""))</f>
        <v/>
      </c>
      <c r="G373" s="25">
        <f>IF(AD373=0,"",IF(F373="","",IF(SUMIFS(Indices_long!$C:$C,Indices_long!$A:$A,E373,Indices_long!$B:$B,F373)=0,"",SUMIFS(Indices_long!$C:$C,Indices_long!$A:$A,E373,Indices_long!$B:$B,F373))))</f>
        <v/>
      </c>
      <c r="H373" s="17">
        <f>IF(AD373=0,"",IF(Baux!$P$32="Base fixe",Baux!$N$32,IF(K372="Geler – rattrapage possible",H372,F372)))</f>
        <v/>
      </c>
      <c r="I373" s="25">
        <f>IF(AD373=0,"",IF(H373="","",IF(SUMIFS(Indices_long!$C:$C,Indices_long!$A:$A,E373,Indices_long!$B:$B,H373)=0,"",SUMIFS(Indices_long!$C:$C,Indices_long!$A:$A,E373,Indices_long!$B:$B,H373))))</f>
        <v/>
      </c>
      <c r="J373" s="26">
        <f>IF(OR(G373="",I373=""),"",G373/I373)</f>
        <v/>
      </c>
      <c r="K373" s="13" t="n"/>
      <c r="L373" s="27">
        <f>IF(AD373=0,"",IF(Baux!$P$32="Base fixe",Baux!$I$32,N372))</f>
        <v/>
      </c>
      <c r="M373" s="27">
        <f>IF(OR(J373="",L373=""),"",ROUND(L373*J373,2))</f>
        <v/>
      </c>
      <c r="N373" s="27">
        <f>IF(AD373=0,"",IF(LEFT(K373,5)="Geler",O373,IF(M373="","",IF(Baux!$Q$32="",M373,MIN(M373,ROUND(L373*(1+Baux!$Q$32/100)^IF(Baux!$P$32="Base fixe",C373*Baux!$O$32,VALUE(LEFT(F373,4))-VALUE(LEFT(H373,4))),2))))))</f>
        <v/>
      </c>
      <c r="O373" s="27">
        <f>IF(AD373=0,"",N372)</f>
        <v/>
      </c>
      <c r="P373" s="28">
        <f>IF(OR(N373="",O373=""),"",N373/O373-1)</f>
        <v/>
      </c>
      <c r="Q373" s="27">
        <f>IF(N373="","",N373/12)</f>
        <v/>
      </c>
      <c r="R373" s="27">
        <f>IF(N373="","",N373/IF(Baux!$L$32="Mensuelle",12,IF(Baux!$L$32="Trimestrielle",4,IF(Baux!$L$32="Semestrielle",2,1))))</f>
        <v/>
      </c>
      <c r="S373" s="27">
        <f>IF(AD373=0,"",IF(Baux!$J$32="",0,Baux!$J$32)/IF(Baux!$L$32="Mensuelle",12,IF(Baux!$L$32="Trimestrielle",4,IF(Baux!$L$32="Semestrielle",2,1))))</f>
        <v/>
      </c>
      <c r="T373" s="27">
        <f>IF(R373="","",(R373+S373)*Baux!$K$32/100)</f>
        <v/>
      </c>
      <c r="U373" s="27">
        <f>IF(R373="","",R373+S373+T373)</f>
        <v/>
      </c>
      <c r="V373" s="17">
        <f>IF(AD373=0,"",IF(LEFT(K373,5)="Geler","❄ Gelée",IF(G373="",IF(D373&lt;=TODAY(),"⚠ Indice attendu","À venir"),IF(D373&lt;=TODAY(),"✔ Calculable","Indice connu – à venir"))))</f>
        <v/>
      </c>
      <c r="W373" s="29" t="n"/>
      <c r="X373" s="13" t="n"/>
      <c r="Y373" s="14" t="n"/>
      <c r="Z373" s="14" t="n"/>
      <c r="AA373" s="13" t="n"/>
      <c r="AB373" s="17">
        <f>IF(A373="","",A373&amp;"#"&amp;C373)</f>
        <v/>
      </c>
      <c r="AC373" s="17">
        <f>IF(AND(AD373=1,D373&lt;=TODAY(),N373&lt;&gt;""),1,0)</f>
        <v/>
      </c>
      <c r="AD373" s="17">
        <f>IF(OR(A373="",D373=""),0,IF(AND(ISNUMBER(Baux!$H$32),D373&gt;Baux!$H$32),0,1))</f>
        <v/>
      </c>
    </row>
    <row r="374">
      <c r="A374" s="17">
        <f>IF(Baux!$A$33="","",Baux!$A$33)</f>
        <v/>
      </c>
      <c r="B374" s="17">
        <f>IF(A374="","",Baux!$B$33)</f>
        <v/>
      </c>
      <c r="C374" s="17" t="n">
        <v>1</v>
      </c>
      <c r="D374" s="15">
        <f>IF(OR(A374="",Baux!$F$33="",Baux!$O$33=""),"",EDATE(Baux!$F$33,12*Baux!$O$33*C374))</f>
        <v/>
      </c>
      <c r="E374" s="17">
        <f>IF(AD374=0,"",Baux!$M$33)</f>
        <v/>
      </c>
      <c r="F374" s="17">
        <f>IF(AD374=0,"",IFERROR(TEXT(VALUE(LEFT(Baux!$N$33,4))+C374*Baux!$O$33,"0")&amp;RIGHT(Baux!$N$33,3),""))</f>
        <v/>
      </c>
      <c r="G374" s="25">
        <f>IF(AD374=0,"",IF(F374="","",IF(SUMIFS(Indices_long!$C:$C,Indices_long!$A:$A,E374,Indices_long!$B:$B,F374)=0,"",SUMIFS(Indices_long!$C:$C,Indices_long!$A:$A,E374,Indices_long!$B:$B,F374))))</f>
        <v/>
      </c>
      <c r="H374" s="17">
        <f>IF(AD374=0,"",Baux!$N$33)</f>
        <v/>
      </c>
      <c r="I374" s="25">
        <f>IF(AD374=0,"",IF(H374="","",IF(SUMIFS(Indices_long!$C:$C,Indices_long!$A:$A,E374,Indices_long!$B:$B,H374)=0,"",SUMIFS(Indices_long!$C:$C,Indices_long!$A:$A,E374,Indices_long!$B:$B,H374))))</f>
        <v/>
      </c>
      <c r="J374" s="26">
        <f>IF(OR(G374="",I374=""),"",G374/I374)</f>
        <v/>
      </c>
      <c r="K374" s="13" t="n"/>
      <c r="L374" s="27">
        <f>IF(AD374=0,"",Baux!$I$33)</f>
        <v/>
      </c>
      <c r="M374" s="27">
        <f>IF(OR(J374="",L374=""),"",ROUND(L374*J374,2))</f>
        <v/>
      </c>
      <c r="N374" s="27">
        <f>IF(AD374=0,"",IF(LEFT(K374,5)="Geler",O374,IF(M374="","",IF(Baux!$Q$33="",M374,MIN(M374,ROUND(L374*(1+Baux!$Q$33/100)^IF(Baux!$P$33="Base fixe",C374*Baux!$O$33,VALUE(LEFT(F374,4))-VALUE(LEFT(H374,4))),2))))))</f>
        <v/>
      </c>
      <c r="O374" s="27">
        <f>IF(AD374=0,"",Baux!$I$33)</f>
        <v/>
      </c>
      <c r="P374" s="28">
        <f>IF(OR(N374="",O374=""),"",N374/O374-1)</f>
        <v/>
      </c>
      <c r="Q374" s="27">
        <f>IF(N374="","",N374/12)</f>
        <v/>
      </c>
      <c r="R374" s="27">
        <f>IF(N374="","",N374/IF(Baux!$L$33="Mensuelle",12,IF(Baux!$L$33="Trimestrielle",4,IF(Baux!$L$33="Semestrielle",2,1))))</f>
        <v/>
      </c>
      <c r="S374" s="27">
        <f>IF(AD374=0,"",IF(Baux!$J$33="",0,Baux!$J$33)/IF(Baux!$L$33="Mensuelle",12,IF(Baux!$L$33="Trimestrielle",4,IF(Baux!$L$33="Semestrielle",2,1))))</f>
        <v/>
      </c>
      <c r="T374" s="27">
        <f>IF(R374="","",(R374+S374)*Baux!$K$33/100)</f>
        <v/>
      </c>
      <c r="U374" s="27">
        <f>IF(R374="","",R374+S374+T374)</f>
        <v/>
      </c>
      <c r="V374" s="17">
        <f>IF(AD374=0,"",IF(LEFT(K374,5)="Geler","❄ Gelée",IF(G374="",IF(D374&lt;=TODAY(),"⚠ Indice attendu","À venir"),IF(D374&lt;=TODAY(),"✔ Calculable","Indice connu – à venir"))))</f>
        <v/>
      </c>
      <c r="W374" s="29" t="n"/>
      <c r="X374" s="13" t="n"/>
      <c r="Y374" s="14" t="n"/>
      <c r="Z374" s="14" t="n"/>
      <c r="AA374" s="13" t="n"/>
      <c r="AB374" s="17">
        <f>IF(A374="","",A374&amp;"#"&amp;C374)</f>
        <v/>
      </c>
      <c r="AC374" s="17">
        <f>IF(AND(AD374=1,D374&lt;=TODAY(),N374&lt;&gt;""),1,0)</f>
        <v/>
      </c>
      <c r="AD374" s="17">
        <f>IF(OR(A374="",D374=""),0,IF(AND(ISNUMBER(Baux!$H$33),D374&gt;Baux!$H$33),0,1))</f>
        <v/>
      </c>
    </row>
    <row r="375">
      <c r="A375" s="17">
        <f>IF(Baux!$A$33="","",Baux!$A$33)</f>
        <v/>
      </c>
      <c r="B375" s="17">
        <f>IF(A375="","",Baux!$B$33)</f>
        <v/>
      </c>
      <c r="C375" s="17" t="n">
        <v>2</v>
      </c>
      <c r="D375" s="15">
        <f>IF(OR(A375="",Baux!$F$33="",Baux!$O$33=""),"",EDATE(Baux!$F$33,12*Baux!$O$33*C375))</f>
        <v/>
      </c>
      <c r="E375" s="17">
        <f>IF(AD375=0,"",Baux!$M$33)</f>
        <v/>
      </c>
      <c r="F375" s="17">
        <f>IF(AD375=0,"",IFERROR(TEXT(VALUE(LEFT(Baux!$N$33,4))+C375*Baux!$O$33,"0")&amp;RIGHT(Baux!$N$33,3),""))</f>
        <v/>
      </c>
      <c r="G375" s="25">
        <f>IF(AD375=0,"",IF(F375="","",IF(SUMIFS(Indices_long!$C:$C,Indices_long!$A:$A,E375,Indices_long!$B:$B,F375)=0,"",SUMIFS(Indices_long!$C:$C,Indices_long!$A:$A,E375,Indices_long!$B:$B,F375))))</f>
        <v/>
      </c>
      <c r="H375" s="17">
        <f>IF(AD375=0,"",IF(Baux!$P$33="Base fixe",Baux!$N$33,IF(K374="Geler – rattrapage possible",H374,F374)))</f>
        <v/>
      </c>
      <c r="I375" s="25">
        <f>IF(AD375=0,"",IF(H375="","",IF(SUMIFS(Indices_long!$C:$C,Indices_long!$A:$A,E375,Indices_long!$B:$B,H375)=0,"",SUMIFS(Indices_long!$C:$C,Indices_long!$A:$A,E375,Indices_long!$B:$B,H375))))</f>
        <v/>
      </c>
      <c r="J375" s="26">
        <f>IF(OR(G375="",I375=""),"",G375/I375)</f>
        <v/>
      </c>
      <c r="K375" s="13" t="n"/>
      <c r="L375" s="27">
        <f>IF(AD375=0,"",IF(Baux!$P$33="Base fixe",Baux!$I$33,N374))</f>
        <v/>
      </c>
      <c r="M375" s="27">
        <f>IF(OR(J375="",L375=""),"",ROUND(L375*J375,2))</f>
        <v/>
      </c>
      <c r="N375" s="27">
        <f>IF(AD375=0,"",IF(LEFT(K375,5)="Geler",O375,IF(M375="","",IF(Baux!$Q$33="",M375,MIN(M375,ROUND(L375*(1+Baux!$Q$33/100)^IF(Baux!$P$33="Base fixe",C375*Baux!$O$33,VALUE(LEFT(F375,4))-VALUE(LEFT(H375,4))),2))))))</f>
        <v/>
      </c>
      <c r="O375" s="27">
        <f>IF(AD375=0,"",N374)</f>
        <v/>
      </c>
      <c r="P375" s="28">
        <f>IF(OR(N375="",O375=""),"",N375/O375-1)</f>
        <v/>
      </c>
      <c r="Q375" s="27">
        <f>IF(N375="","",N375/12)</f>
        <v/>
      </c>
      <c r="R375" s="27">
        <f>IF(N375="","",N375/IF(Baux!$L$33="Mensuelle",12,IF(Baux!$L$33="Trimestrielle",4,IF(Baux!$L$33="Semestrielle",2,1))))</f>
        <v/>
      </c>
      <c r="S375" s="27">
        <f>IF(AD375=0,"",IF(Baux!$J$33="",0,Baux!$J$33)/IF(Baux!$L$33="Mensuelle",12,IF(Baux!$L$33="Trimestrielle",4,IF(Baux!$L$33="Semestrielle",2,1))))</f>
        <v/>
      </c>
      <c r="T375" s="27">
        <f>IF(R375="","",(R375+S375)*Baux!$K$33/100)</f>
        <v/>
      </c>
      <c r="U375" s="27">
        <f>IF(R375="","",R375+S375+T375)</f>
        <v/>
      </c>
      <c r="V375" s="17">
        <f>IF(AD375=0,"",IF(LEFT(K375,5)="Geler","❄ Gelée",IF(G375="",IF(D375&lt;=TODAY(),"⚠ Indice attendu","À venir"),IF(D375&lt;=TODAY(),"✔ Calculable","Indice connu – à venir"))))</f>
        <v/>
      </c>
      <c r="W375" s="29" t="n"/>
      <c r="X375" s="13" t="n"/>
      <c r="Y375" s="14" t="n"/>
      <c r="Z375" s="14" t="n"/>
      <c r="AA375" s="13" t="n"/>
      <c r="AB375" s="17">
        <f>IF(A375="","",A375&amp;"#"&amp;C375)</f>
        <v/>
      </c>
      <c r="AC375" s="17">
        <f>IF(AND(AD375=1,D375&lt;=TODAY(),N375&lt;&gt;""),1,0)</f>
        <v/>
      </c>
      <c r="AD375" s="17">
        <f>IF(OR(A375="",D375=""),0,IF(AND(ISNUMBER(Baux!$H$33),D375&gt;Baux!$H$33),0,1))</f>
        <v/>
      </c>
    </row>
    <row r="376">
      <c r="A376" s="17">
        <f>IF(Baux!$A$33="","",Baux!$A$33)</f>
        <v/>
      </c>
      <c r="B376" s="17">
        <f>IF(A376="","",Baux!$B$33)</f>
        <v/>
      </c>
      <c r="C376" s="17" t="n">
        <v>3</v>
      </c>
      <c r="D376" s="15">
        <f>IF(OR(A376="",Baux!$F$33="",Baux!$O$33=""),"",EDATE(Baux!$F$33,12*Baux!$O$33*C376))</f>
        <v/>
      </c>
      <c r="E376" s="17">
        <f>IF(AD376=0,"",Baux!$M$33)</f>
        <v/>
      </c>
      <c r="F376" s="17">
        <f>IF(AD376=0,"",IFERROR(TEXT(VALUE(LEFT(Baux!$N$33,4))+C376*Baux!$O$33,"0")&amp;RIGHT(Baux!$N$33,3),""))</f>
        <v/>
      </c>
      <c r="G376" s="25">
        <f>IF(AD376=0,"",IF(F376="","",IF(SUMIFS(Indices_long!$C:$C,Indices_long!$A:$A,E376,Indices_long!$B:$B,F376)=0,"",SUMIFS(Indices_long!$C:$C,Indices_long!$A:$A,E376,Indices_long!$B:$B,F376))))</f>
        <v/>
      </c>
      <c r="H376" s="17">
        <f>IF(AD376=0,"",IF(Baux!$P$33="Base fixe",Baux!$N$33,IF(K375="Geler – rattrapage possible",H375,F375)))</f>
        <v/>
      </c>
      <c r="I376" s="25">
        <f>IF(AD376=0,"",IF(H376="","",IF(SUMIFS(Indices_long!$C:$C,Indices_long!$A:$A,E376,Indices_long!$B:$B,H376)=0,"",SUMIFS(Indices_long!$C:$C,Indices_long!$A:$A,E376,Indices_long!$B:$B,H376))))</f>
        <v/>
      </c>
      <c r="J376" s="26">
        <f>IF(OR(G376="",I376=""),"",G376/I376)</f>
        <v/>
      </c>
      <c r="K376" s="13" t="n"/>
      <c r="L376" s="27">
        <f>IF(AD376=0,"",IF(Baux!$P$33="Base fixe",Baux!$I$33,N375))</f>
        <v/>
      </c>
      <c r="M376" s="27">
        <f>IF(OR(J376="",L376=""),"",ROUND(L376*J376,2))</f>
        <v/>
      </c>
      <c r="N376" s="27">
        <f>IF(AD376=0,"",IF(LEFT(K376,5)="Geler",O376,IF(M376="","",IF(Baux!$Q$33="",M376,MIN(M376,ROUND(L376*(1+Baux!$Q$33/100)^IF(Baux!$P$33="Base fixe",C376*Baux!$O$33,VALUE(LEFT(F376,4))-VALUE(LEFT(H376,4))),2))))))</f>
        <v/>
      </c>
      <c r="O376" s="27">
        <f>IF(AD376=0,"",N375)</f>
        <v/>
      </c>
      <c r="P376" s="28">
        <f>IF(OR(N376="",O376=""),"",N376/O376-1)</f>
        <v/>
      </c>
      <c r="Q376" s="27">
        <f>IF(N376="","",N376/12)</f>
        <v/>
      </c>
      <c r="R376" s="27">
        <f>IF(N376="","",N376/IF(Baux!$L$33="Mensuelle",12,IF(Baux!$L$33="Trimestrielle",4,IF(Baux!$L$33="Semestrielle",2,1))))</f>
        <v/>
      </c>
      <c r="S376" s="27">
        <f>IF(AD376=0,"",IF(Baux!$J$33="",0,Baux!$J$33)/IF(Baux!$L$33="Mensuelle",12,IF(Baux!$L$33="Trimestrielle",4,IF(Baux!$L$33="Semestrielle",2,1))))</f>
        <v/>
      </c>
      <c r="T376" s="27">
        <f>IF(R376="","",(R376+S376)*Baux!$K$33/100)</f>
        <v/>
      </c>
      <c r="U376" s="27">
        <f>IF(R376="","",R376+S376+T376)</f>
        <v/>
      </c>
      <c r="V376" s="17">
        <f>IF(AD376=0,"",IF(LEFT(K376,5)="Geler","❄ Gelée",IF(G376="",IF(D376&lt;=TODAY(),"⚠ Indice attendu","À venir"),IF(D376&lt;=TODAY(),"✔ Calculable","Indice connu – à venir"))))</f>
        <v/>
      </c>
      <c r="W376" s="29" t="n"/>
      <c r="X376" s="13" t="n"/>
      <c r="Y376" s="14" t="n"/>
      <c r="Z376" s="14" t="n"/>
      <c r="AA376" s="13" t="n"/>
      <c r="AB376" s="17">
        <f>IF(A376="","",A376&amp;"#"&amp;C376)</f>
        <v/>
      </c>
      <c r="AC376" s="17">
        <f>IF(AND(AD376=1,D376&lt;=TODAY(),N376&lt;&gt;""),1,0)</f>
        <v/>
      </c>
      <c r="AD376" s="17">
        <f>IF(OR(A376="",D376=""),0,IF(AND(ISNUMBER(Baux!$H$33),D376&gt;Baux!$H$33),0,1))</f>
        <v/>
      </c>
    </row>
    <row r="377">
      <c r="A377" s="17">
        <f>IF(Baux!$A$33="","",Baux!$A$33)</f>
        <v/>
      </c>
      <c r="B377" s="17">
        <f>IF(A377="","",Baux!$B$33)</f>
        <v/>
      </c>
      <c r="C377" s="17" t="n">
        <v>4</v>
      </c>
      <c r="D377" s="15">
        <f>IF(OR(A377="",Baux!$F$33="",Baux!$O$33=""),"",EDATE(Baux!$F$33,12*Baux!$O$33*C377))</f>
        <v/>
      </c>
      <c r="E377" s="17">
        <f>IF(AD377=0,"",Baux!$M$33)</f>
        <v/>
      </c>
      <c r="F377" s="17">
        <f>IF(AD377=0,"",IFERROR(TEXT(VALUE(LEFT(Baux!$N$33,4))+C377*Baux!$O$33,"0")&amp;RIGHT(Baux!$N$33,3),""))</f>
        <v/>
      </c>
      <c r="G377" s="25">
        <f>IF(AD377=0,"",IF(F377="","",IF(SUMIFS(Indices_long!$C:$C,Indices_long!$A:$A,E377,Indices_long!$B:$B,F377)=0,"",SUMIFS(Indices_long!$C:$C,Indices_long!$A:$A,E377,Indices_long!$B:$B,F377))))</f>
        <v/>
      </c>
      <c r="H377" s="17">
        <f>IF(AD377=0,"",IF(Baux!$P$33="Base fixe",Baux!$N$33,IF(K376="Geler – rattrapage possible",H376,F376)))</f>
        <v/>
      </c>
      <c r="I377" s="25">
        <f>IF(AD377=0,"",IF(H377="","",IF(SUMIFS(Indices_long!$C:$C,Indices_long!$A:$A,E377,Indices_long!$B:$B,H377)=0,"",SUMIFS(Indices_long!$C:$C,Indices_long!$A:$A,E377,Indices_long!$B:$B,H377))))</f>
        <v/>
      </c>
      <c r="J377" s="26">
        <f>IF(OR(G377="",I377=""),"",G377/I377)</f>
        <v/>
      </c>
      <c r="K377" s="13" t="n"/>
      <c r="L377" s="27">
        <f>IF(AD377=0,"",IF(Baux!$P$33="Base fixe",Baux!$I$33,N376))</f>
        <v/>
      </c>
      <c r="M377" s="27">
        <f>IF(OR(J377="",L377=""),"",ROUND(L377*J377,2))</f>
        <v/>
      </c>
      <c r="N377" s="27">
        <f>IF(AD377=0,"",IF(LEFT(K377,5)="Geler",O377,IF(M377="","",IF(Baux!$Q$33="",M377,MIN(M377,ROUND(L377*(1+Baux!$Q$33/100)^IF(Baux!$P$33="Base fixe",C377*Baux!$O$33,VALUE(LEFT(F377,4))-VALUE(LEFT(H377,4))),2))))))</f>
        <v/>
      </c>
      <c r="O377" s="27">
        <f>IF(AD377=0,"",N376)</f>
        <v/>
      </c>
      <c r="P377" s="28">
        <f>IF(OR(N377="",O377=""),"",N377/O377-1)</f>
        <v/>
      </c>
      <c r="Q377" s="27">
        <f>IF(N377="","",N377/12)</f>
        <v/>
      </c>
      <c r="R377" s="27">
        <f>IF(N377="","",N377/IF(Baux!$L$33="Mensuelle",12,IF(Baux!$L$33="Trimestrielle",4,IF(Baux!$L$33="Semestrielle",2,1))))</f>
        <v/>
      </c>
      <c r="S377" s="27">
        <f>IF(AD377=0,"",IF(Baux!$J$33="",0,Baux!$J$33)/IF(Baux!$L$33="Mensuelle",12,IF(Baux!$L$33="Trimestrielle",4,IF(Baux!$L$33="Semestrielle",2,1))))</f>
        <v/>
      </c>
      <c r="T377" s="27">
        <f>IF(R377="","",(R377+S377)*Baux!$K$33/100)</f>
        <v/>
      </c>
      <c r="U377" s="27">
        <f>IF(R377="","",R377+S377+T377)</f>
        <v/>
      </c>
      <c r="V377" s="17">
        <f>IF(AD377=0,"",IF(LEFT(K377,5)="Geler","❄ Gelée",IF(G377="",IF(D377&lt;=TODAY(),"⚠ Indice attendu","À venir"),IF(D377&lt;=TODAY(),"✔ Calculable","Indice connu – à venir"))))</f>
        <v/>
      </c>
      <c r="W377" s="29" t="n"/>
      <c r="X377" s="13" t="n"/>
      <c r="Y377" s="14" t="n"/>
      <c r="Z377" s="14" t="n"/>
      <c r="AA377" s="13" t="n"/>
      <c r="AB377" s="17">
        <f>IF(A377="","",A377&amp;"#"&amp;C377)</f>
        <v/>
      </c>
      <c r="AC377" s="17">
        <f>IF(AND(AD377=1,D377&lt;=TODAY(),N377&lt;&gt;""),1,0)</f>
        <v/>
      </c>
      <c r="AD377" s="17">
        <f>IF(OR(A377="",D377=""),0,IF(AND(ISNUMBER(Baux!$H$33),D377&gt;Baux!$H$33),0,1))</f>
        <v/>
      </c>
    </row>
    <row r="378">
      <c r="A378" s="17">
        <f>IF(Baux!$A$33="","",Baux!$A$33)</f>
        <v/>
      </c>
      <c r="B378" s="17">
        <f>IF(A378="","",Baux!$B$33)</f>
        <v/>
      </c>
      <c r="C378" s="17" t="n">
        <v>5</v>
      </c>
      <c r="D378" s="15">
        <f>IF(OR(A378="",Baux!$F$33="",Baux!$O$33=""),"",EDATE(Baux!$F$33,12*Baux!$O$33*C378))</f>
        <v/>
      </c>
      <c r="E378" s="17">
        <f>IF(AD378=0,"",Baux!$M$33)</f>
        <v/>
      </c>
      <c r="F378" s="17">
        <f>IF(AD378=0,"",IFERROR(TEXT(VALUE(LEFT(Baux!$N$33,4))+C378*Baux!$O$33,"0")&amp;RIGHT(Baux!$N$33,3),""))</f>
        <v/>
      </c>
      <c r="G378" s="25">
        <f>IF(AD378=0,"",IF(F378="","",IF(SUMIFS(Indices_long!$C:$C,Indices_long!$A:$A,E378,Indices_long!$B:$B,F378)=0,"",SUMIFS(Indices_long!$C:$C,Indices_long!$A:$A,E378,Indices_long!$B:$B,F378))))</f>
        <v/>
      </c>
      <c r="H378" s="17">
        <f>IF(AD378=0,"",IF(Baux!$P$33="Base fixe",Baux!$N$33,IF(K377="Geler – rattrapage possible",H377,F377)))</f>
        <v/>
      </c>
      <c r="I378" s="25">
        <f>IF(AD378=0,"",IF(H378="","",IF(SUMIFS(Indices_long!$C:$C,Indices_long!$A:$A,E378,Indices_long!$B:$B,H378)=0,"",SUMIFS(Indices_long!$C:$C,Indices_long!$A:$A,E378,Indices_long!$B:$B,H378))))</f>
        <v/>
      </c>
      <c r="J378" s="26">
        <f>IF(OR(G378="",I378=""),"",G378/I378)</f>
        <v/>
      </c>
      <c r="K378" s="13" t="n"/>
      <c r="L378" s="27">
        <f>IF(AD378=0,"",IF(Baux!$P$33="Base fixe",Baux!$I$33,N377))</f>
        <v/>
      </c>
      <c r="M378" s="27">
        <f>IF(OR(J378="",L378=""),"",ROUND(L378*J378,2))</f>
        <v/>
      </c>
      <c r="N378" s="27">
        <f>IF(AD378=0,"",IF(LEFT(K378,5)="Geler",O378,IF(M378="","",IF(Baux!$Q$33="",M378,MIN(M378,ROUND(L378*(1+Baux!$Q$33/100)^IF(Baux!$P$33="Base fixe",C378*Baux!$O$33,VALUE(LEFT(F378,4))-VALUE(LEFT(H378,4))),2))))))</f>
        <v/>
      </c>
      <c r="O378" s="27">
        <f>IF(AD378=0,"",N377)</f>
        <v/>
      </c>
      <c r="P378" s="28">
        <f>IF(OR(N378="",O378=""),"",N378/O378-1)</f>
        <v/>
      </c>
      <c r="Q378" s="27">
        <f>IF(N378="","",N378/12)</f>
        <v/>
      </c>
      <c r="R378" s="27">
        <f>IF(N378="","",N378/IF(Baux!$L$33="Mensuelle",12,IF(Baux!$L$33="Trimestrielle",4,IF(Baux!$L$33="Semestrielle",2,1))))</f>
        <v/>
      </c>
      <c r="S378" s="27">
        <f>IF(AD378=0,"",IF(Baux!$J$33="",0,Baux!$J$33)/IF(Baux!$L$33="Mensuelle",12,IF(Baux!$L$33="Trimestrielle",4,IF(Baux!$L$33="Semestrielle",2,1))))</f>
        <v/>
      </c>
      <c r="T378" s="27">
        <f>IF(R378="","",(R378+S378)*Baux!$K$33/100)</f>
        <v/>
      </c>
      <c r="U378" s="27">
        <f>IF(R378="","",R378+S378+T378)</f>
        <v/>
      </c>
      <c r="V378" s="17">
        <f>IF(AD378=0,"",IF(LEFT(K378,5)="Geler","❄ Gelée",IF(G378="",IF(D378&lt;=TODAY(),"⚠ Indice attendu","À venir"),IF(D378&lt;=TODAY(),"✔ Calculable","Indice connu – à venir"))))</f>
        <v/>
      </c>
      <c r="W378" s="29" t="n"/>
      <c r="X378" s="13" t="n"/>
      <c r="Y378" s="14" t="n"/>
      <c r="Z378" s="14" t="n"/>
      <c r="AA378" s="13" t="n"/>
      <c r="AB378" s="17">
        <f>IF(A378="","",A378&amp;"#"&amp;C378)</f>
        <v/>
      </c>
      <c r="AC378" s="17">
        <f>IF(AND(AD378=1,D378&lt;=TODAY(),N378&lt;&gt;""),1,0)</f>
        <v/>
      </c>
      <c r="AD378" s="17">
        <f>IF(OR(A378="",D378=""),0,IF(AND(ISNUMBER(Baux!$H$33),D378&gt;Baux!$H$33),0,1))</f>
        <v/>
      </c>
    </row>
    <row r="379">
      <c r="A379" s="17">
        <f>IF(Baux!$A$33="","",Baux!$A$33)</f>
        <v/>
      </c>
      <c r="B379" s="17">
        <f>IF(A379="","",Baux!$B$33)</f>
        <v/>
      </c>
      <c r="C379" s="17" t="n">
        <v>6</v>
      </c>
      <c r="D379" s="15">
        <f>IF(OR(A379="",Baux!$F$33="",Baux!$O$33=""),"",EDATE(Baux!$F$33,12*Baux!$O$33*C379))</f>
        <v/>
      </c>
      <c r="E379" s="17">
        <f>IF(AD379=0,"",Baux!$M$33)</f>
        <v/>
      </c>
      <c r="F379" s="17">
        <f>IF(AD379=0,"",IFERROR(TEXT(VALUE(LEFT(Baux!$N$33,4))+C379*Baux!$O$33,"0")&amp;RIGHT(Baux!$N$33,3),""))</f>
        <v/>
      </c>
      <c r="G379" s="25">
        <f>IF(AD379=0,"",IF(F379="","",IF(SUMIFS(Indices_long!$C:$C,Indices_long!$A:$A,E379,Indices_long!$B:$B,F379)=0,"",SUMIFS(Indices_long!$C:$C,Indices_long!$A:$A,E379,Indices_long!$B:$B,F379))))</f>
        <v/>
      </c>
      <c r="H379" s="17">
        <f>IF(AD379=0,"",IF(Baux!$P$33="Base fixe",Baux!$N$33,IF(K378="Geler – rattrapage possible",H378,F378)))</f>
        <v/>
      </c>
      <c r="I379" s="25">
        <f>IF(AD379=0,"",IF(H379="","",IF(SUMIFS(Indices_long!$C:$C,Indices_long!$A:$A,E379,Indices_long!$B:$B,H379)=0,"",SUMIFS(Indices_long!$C:$C,Indices_long!$A:$A,E379,Indices_long!$B:$B,H379))))</f>
        <v/>
      </c>
      <c r="J379" s="26">
        <f>IF(OR(G379="",I379=""),"",G379/I379)</f>
        <v/>
      </c>
      <c r="K379" s="13" t="n"/>
      <c r="L379" s="27">
        <f>IF(AD379=0,"",IF(Baux!$P$33="Base fixe",Baux!$I$33,N378))</f>
        <v/>
      </c>
      <c r="M379" s="27">
        <f>IF(OR(J379="",L379=""),"",ROUND(L379*J379,2))</f>
        <v/>
      </c>
      <c r="N379" s="27">
        <f>IF(AD379=0,"",IF(LEFT(K379,5)="Geler",O379,IF(M379="","",IF(Baux!$Q$33="",M379,MIN(M379,ROUND(L379*(1+Baux!$Q$33/100)^IF(Baux!$P$33="Base fixe",C379*Baux!$O$33,VALUE(LEFT(F379,4))-VALUE(LEFT(H379,4))),2))))))</f>
        <v/>
      </c>
      <c r="O379" s="27">
        <f>IF(AD379=0,"",N378)</f>
        <v/>
      </c>
      <c r="P379" s="28">
        <f>IF(OR(N379="",O379=""),"",N379/O379-1)</f>
        <v/>
      </c>
      <c r="Q379" s="27">
        <f>IF(N379="","",N379/12)</f>
        <v/>
      </c>
      <c r="R379" s="27">
        <f>IF(N379="","",N379/IF(Baux!$L$33="Mensuelle",12,IF(Baux!$L$33="Trimestrielle",4,IF(Baux!$L$33="Semestrielle",2,1))))</f>
        <v/>
      </c>
      <c r="S379" s="27">
        <f>IF(AD379=0,"",IF(Baux!$J$33="",0,Baux!$J$33)/IF(Baux!$L$33="Mensuelle",12,IF(Baux!$L$33="Trimestrielle",4,IF(Baux!$L$33="Semestrielle",2,1))))</f>
        <v/>
      </c>
      <c r="T379" s="27">
        <f>IF(R379="","",(R379+S379)*Baux!$K$33/100)</f>
        <v/>
      </c>
      <c r="U379" s="27">
        <f>IF(R379="","",R379+S379+T379)</f>
        <v/>
      </c>
      <c r="V379" s="17">
        <f>IF(AD379=0,"",IF(LEFT(K379,5)="Geler","❄ Gelée",IF(G379="",IF(D379&lt;=TODAY(),"⚠ Indice attendu","À venir"),IF(D379&lt;=TODAY(),"✔ Calculable","Indice connu – à venir"))))</f>
        <v/>
      </c>
      <c r="W379" s="29" t="n"/>
      <c r="X379" s="13" t="n"/>
      <c r="Y379" s="14" t="n"/>
      <c r="Z379" s="14" t="n"/>
      <c r="AA379" s="13" t="n"/>
      <c r="AB379" s="17">
        <f>IF(A379="","",A379&amp;"#"&amp;C379)</f>
        <v/>
      </c>
      <c r="AC379" s="17">
        <f>IF(AND(AD379=1,D379&lt;=TODAY(),N379&lt;&gt;""),1,0)</f>
        <v/>
      </c>
      <c r="AD379" s="17">
        <f>IF(OR(A379="",D379=""),0,IF(AND(ISNUMBER(Baux!$H$33),D379&gt;Baux!$H$33),0,1))</f>
        <v/>
      </c>
    </row>
    <row r="380">
      <c r="A380" s="17">
        <f>IF(Baux!$A$33="","",Baux!$A$33)</f>
        <v/>
      </c>
      <c r="B380" s="17">
        <f>IF(A380="","",Baux!$B$33)</f>
        <v/>
      </c>
      <c r="C380" s="17" t="n">
        <v>7</v>
      </c>
      <c r="D380" s="15">
        <f>IF(OR(A380="",Baux!$F$33="",Baux!$O$33=""),"",EDATE(Baux!$F$33,12*Baux!$O$33*C380))</f>
        <v/>
      </c>
      <c r="E380" s="17">
        <f>IF(AD380=0,"",Baux!$M$33)</f>
        <v/>
      </c>
      <c r="F380" s="17">
        <f>IF(AD380=0,"",IFERROR(TEXT(VALUE(LEFT(Baux!$N$33,4))+C380*Baux!$O$33,"0")&amp;RIGHT(Baux!$N$33,3),""))</f>
        <v/>
      </c>
      <c r="G380" s="25">
        <f>IF(AD380=0,"",IF(F380="","",IF(SUMIFS(Indices_long!$C:$C,Indices_long!$A:$A,E380,Indices_long!$B:$B,F380)=0,"",SUMIFS(Indices_long!$C:$C,Indices_long!$A:$A,E380,Indices_long!$B:$B,F380))))</f>
        <v/>
      </c>
      <c r="H380" s="17">
        <f>IF(AD380=0,"",IF(Baux!$P$33="Base fixe",Baux!$N$33,IF(K379="Geler – rattrapage possible",H379,F379)))</f>
        <v/>
      </c>
      <c r="I380" s="25">
        <f>IF(AD380=0,"",IF(H380="","",IF(SUMIFS(Indices_long!$C:$C,Indices_long!$A:$A,E380,Indices_long!$B:$B,H380)=0,"",SUMIFS(Indices_long!$C:$C,Indices_long!$A:$A,E380,Indices_long!$B:$B,H380))))</f>
        <v/>
      </c>
      <c r="J380" s="26">
        <f>IF(OR(G380="",I380=""),"",G380/I380)</f>
        <v/>
      </c>
      <c r="K380" s="13" t="n"/>
      <c r="L380" s="27">
        <f>IF(AD380=0,"",IF(Baux!$P$33="Base fixe",Baux!$I$33,N379))</f>
        <v/>
      </c>
      <c r="M380" s="27">
        <f>IF(OR(J380="",L380=""),"",ROUND(L380*J380,2))</f>
        <v/>
      </c>
      <c r="N380" s="27">
        <f>IF(AD380=0,"",IF(LEFT(K380,5)="Geler",O380,IF(M380="","",IF(Baux!$Q$33="",M380,MIN(M380,ROUND(L380*(1+Baux!$Q$33/100)^IF(Baux!$P$33="Base fixe",C380*Baux!$O$33,VALUE(LEFT(F380,4))-VALUE(LEFT(H380,4))),2))))))</f>
        <v/>
      </c>
      <c r="O380" s="27">
        <f>IF(AD380=0,"",N379)</f>
        <v/>
      </c>
      <c r="P380" s="28">
        <f>IF(OR(N380="",O380=""),"",N380/O380-1)</f>
        <v/>
      </c>
      <c r="Q380" s="27">
        <f>IF(N380="","",N380/12)</f>
        <v/>
      </c>
      <c r="R380" s="27">
        <f>IF(N380="","",N380/IF(Baux!$L$33="Mensuelle",12,IF(Baux!$L$33="Trimestrielle",4,IF(Baux!$L$33="Semestrielle",2,1))))</f>
        <v/>
      </c>
      <c r="S380" s="27">
        <f>IF(AD380=0,"",IF(Baux!$J$33="",0,Baux!$J$33)/IF(Baux!$L$33="Mensuelle",12,IF(Baux!$L$33="Trimestrielle",4,IF(Baux!$L$33="Semestrielle",2,1))))</f>
        <v/>
      </c>
      <c r="T380" s="27">
        <f>IF(R380="","",(R380+S380)*Baux!$K$33/100)</f>
        <v/>
      </c>
      <c r="U380" s="27">
        <f>IF(R380="","",R380+S380+T380)</f>
        <v/>
      </c>
      <c r="V380" s="17">
        <f>IF(AD380=0,"",IF(LEFT(K380,5)="Geler","❄ Gelée",IF(G380="",IF(D380&lt;=TODAY(),"⚠ Indice attendu","À venir"),IF(D380&lt;=TODAY(),"✔ Calculable","Indice connu – à venir"))))</f>
        <v/>
      </c>
      <c r="W380" s="29" t="n"/>
      <c r="X380" s="13" t="n"/>
      <c r="Y380" s="14" t="n"/>
      <c r="Z380" s="14" t="n"/>
      <c r="AA380" s="13" t="n"/>
      <c r="AB380" s="17">
        <f>IF(A380="","",A380&amp;"#"&amp;C380)</f>
        <v/>
      </c>
      <c r="AC380" s="17">
        <f>IF(AND(AD380=1,D380&lt;=TODAY(),N380&lt;&gt;""),1,0)</f>
        <v/>
      </c>
      <c r="AD380" s="17">
        <f>IF(OR(A380="",D380=""),0,IF(AND(ISNUMBER(Baux!$H$33),D380&gt;Baux!$H$33),0,1))</f>
        <v/>
      </c>
    </row>
    <row r="381">
      <c r="A381" s="17">
        <f>IF(Baux!$A$33="","",Baux!$A$33)</f>
        <v/>
      </c>
      <c r="B381" s="17">
        <f>IF(A381="","",Baux!$B$33)</f>
        <v/>
      </c>
      <c r="C381" s="17" t="n">
        <v>8</v>
      </c>
      <c r="D381" s="15">
        <f>IF(OR(A381="",Baux!$F$33="",Baux!$O$33=""),"",EDATE(Baux!$F$33,12*Baux!$O$33*C381))</f>
        <v/>
      </c>
      <c r="E381" s="17">
        <f>IF(AD381=0,"",Baux!$M$33)</f>
        <v/>
      </c>
      <c r="F381" s="17">
        <f>IF(AD381=0,"",IFERROR(TEXT(VALUE(LEFT(Baux!$N$33,4))+C381*Baux!$O$33,"0")&amp;RIGHT(Baux!$N$33,3),""))</f>
        <v/>
      </c>
      <c r="G381" s="25">
        <f>IF(AD381=0,"",IF(F381="","",IF(SUMIFS(Indices_long!$C:$C,Indices_long!$A:$A,E381,Indices_long!$B:$B,F381)=0,"",SUMIFS(Indices_long!$C:$C,Indices_long!$A:$A,E381,Indices_long!$B:$B,F381))))</f>
        <v/>
      </c>
      <c r="H381" s="17">
        <f>IF(AD381=0,"",IF(Baux!$P$33="Base fixe",Baux!$N$33,IF(K380="Geler – rattrapage possible",H380,F380)))</f>
        <v/>
      </c>
      <c r="I381" s="25">
        <f>IF(AD381=0,"",IF(H381="","",IF(SUMIFS(Indices_long!$C:$C,Indices_long!$A:$A,E381,Indices_long!$B:$B,H381)=0,"",SUMIFS(Indices_long!$C:$C,Indices_long!$A:$A,E381,Indices_long!$B:$B,H381))))</f>
        <v/>
      </c>
      <c r="J381" s="26">
        <f>IF(OR(G381="",I381=""),"",G381/I381)</f>
        <v/>
      </c>
      <c r="K381" s="13" t="n"/>
      <c r="L381" s="27">
        <f>IF(AD381=0,"",IF(Baux!$P$33="Base fixe",Baux!$I$33,N380))</f>
        <v/>
      </c>
      <c r="M381" s="27">
        <f>IF(OR(J381="",L381=""),"",ROUND(L381*J381,2))</f>
        <v/>
      </c>
      <c r="N381" s="27">
        <f>IF(AD381=0,"",IF(LEFT(K381,5)="Geler",O381,IF(M381="","",IF(Baux!$Q$33="",M381,MIN(M381,ROUND(L381*(1+Baux!$Q$33/100)^IF(Baux!$P$33="Base fixe",C381*Baux!$O$33,VALUE(LEFT(F381,4))-VALUE(LEFT(H381,4))),2))))))</f>
        <v/>
      </c>
      <c r="O381" s="27">
        <f>IF(AD381=0,"",N380)</f>
        <v/>
      </c>
      <c r="P381" s="28">
        <f>IF(OR(N381="",O381=""),"",N381/O381-1)</f>
        <v/>
      </c>
      <c r="Q381" s="27">
        <f>IF(N381="","",N381/12)</f>
        <v/>
      </c>
      <c r="R381" s="27">
        <f>IF(N381="","",N381/IF(Baux!$L$33="Mensuelle",12,IF(Baux!$L$33="Trimestrielle",4,IF(Baux!$L$33="Semestrielle",2,1))))</f>
        <v/>
      </c>
      <c r="S381" s="27">
        <f>IF(AD381=0,"",IF(Baux!$J$33="",0,Baux!$J$33)/IF(Baux!$L$33="Mensuelle",12,IF(Baux!$L$33="Trimestrielle",4,IF(Baux!$L$33="Semestrielle",2,1))))</f>
        <v/>
      </c>
      <c r="T381" s="27">
        <f>IF(R381="","",(R381+S381)*Baux!$K$33/100)</f>
        <v/>
      </c>
      <c r="U381" s="27">
        <f>IF(R381="","",R381+S381+T381)</f>
        <v/>
      </c>
      <c r="V381" s="17">
        <f>IF(AD381=0,"",IF(LEFT(K381,5)="Geler","❄ Gelée",IF(G381="",IF(D381&lt;=TODAY(),"⚠ Indice attendu","À venir"),IF(D381&lt;=TODAY(),"✔ Calculable","Indice connu – à venir"))))</f>
        <v/>
      </c>
      <c r="W381" s="29" t="n"/>
      <c r="X381" s="13" t="n"/>
      <c r="Y381" s="14" t="n"/>
      <c r="Z381" s="14" t="n"/>
      <c r="AA381" s="13" t="n"/>
      <c r="AB381" s="17">
        <f>IF(A381="","",A381&amp;"#"&amp;C381)</f>
        <v/>
      </c>
      <c r="AC381" s="17">
        <f>IF(AND(AD381=1,D381&lt;=TODAY(),N381&lt;&gt;""),1,0)</f>
        <v/>
      </c>
      <c r="AD381" s="17">
        <f>IF(OR(A381="",D381=""),0,IF(AND(ISNUMBER(Baux!$H$33),D381&gt;Baux!$H$33),0,1))</f>
        <v/>
      </c>
    </row>
    <row r="382">
      <c r="A382" s="17">
        <f>IF(Baux!$A$33="","",Baux!$A$33)</f>
        <v/>
      </c>
      <c r="B382" s="17">
        <f>IF(A382="","",Baux!$B$33)</f>
        <v/>
      </c>
      <c r="C382" s="17" t="n">
        <v>9</v>
      </c>
      <c r="D382" s="15">
        <f>IF(OR(A382="",Baux!$F$33="",Baux!$O$33=""),"",EDATE(Baux!$F$33,12*Baux!$O$33*C382))</f>
        <v/>
      </c>
      <c r="E382" s="17">
        <f>IF(AD382=0,"",Baux!$M$33)</f>
        <v/>
      </c>
      <c r="F382" s="17">
        <f>IF(AD382=0,"",IFERROR(TEXT(VALUE(LEFT(Baux!$N$33,4))+C382*Baux!$O$33,"0")&amp;RIGHT(Baux!$N$33,3),""))</f>
        <v/>
      </c>
      <c r="G382" s="25">
        <f>IF(AD382=0,"",IF(F382="","",IF(SUMIFS(Indices_long!$C:$C,Indices_long!$A:$A,E382,Indices_long!$B:$B,F382)=0,"",SUMIFS(Indices_long!$C:$C,Indices_long!$A:$A,E382,Indices_long!$B:$B,F382))))</f>
        <v/>
      </c>
      <c r="H382" s="17">
        <f>IF(AD382=0,"",IF(Baux!$P$33="Base fixe",Baux!$N$33,IF(K381="Geler – rattrapage possible",H381,F381)))</f>
        <v/>
      </c>
      <c r="I382" s="25">
        <f>IF(AD382=0,"",IF(H382="","",IF(SUMIFS(Indices_long!$C:$C,Indices_long!$A:$A,E382,Indices_long!$B:$B,H382)=0,"",SUMIFS(Indices_long!$C:$C,Indices_long!$A:$A,E382,Indices_long!$B:$B,H382))))</f>
        <v/>
      </c>
      <c r="J382" s="26">
        <f>IF(OR(G382="",I382=""),"",G382/I382)</f>
        <v/>
      </c>
      <c r="K382" s="13" t="n"/>
      <c r="L382" s="27">
        <f>IF(AD382=0,"",IF(Baux!$P$33="Base fixe",Baux!$I$33,N381))</f>
        <v/>
      </c>
      <c r="M382" s="27">
        <f>IF(OR(J382="",L382=""),"",ROUND(L382*J382,2))</f>
        <v/>
      </c>
      <c r="N382" s="27">
        <f>IF(AD382=0,"",IF(LEFT(K382,5)="Geler",O382,IF(M382="","",IF(Baux!$Q$33="",M382,MIN(M382,ROUND(L382*(1+Baux!$Q$33/100)^IF(Baux!$P$33="Base fixe",C382*Baux!$O$33,VALUE(LEFT(F382,4))-VALUE(LEFT(H382,4))),2))))))</f>
        <v/>
      </c>
      <c r="O382" s="27">
        <f>IF(AD382=0,"",N381)</f>
        <v/>
      </c>
      <c r="P382" s="28">
        <f>IF(OR(N382="",O382=""),"",N382/O382-1)</f>
        <v/>
      </c>
      <c r="Q382" s="27">
        <f>IF(N382="","",N382/12)</f>
        <v/>
      </c>
      <c r="R382" s="27">
        <f>IF(N382="","",N382/IF(Baux!$L$33="Mensuelle",12,IF(Baux!$L$33="Trimestrielle",4,IF(Baux!$L$33="Semestrielle",2,1))))</f>
        <v/>
      </c>
      <c r="S382" s="27">
        <f>IF(AD382=0,"",IF(Baux!$J$33="",0,Baux!$J$33)/IF(Baux!$L$33="Mensuelle",12,IF(Baux!$L$33="Trimestrielle",4,IF(Baux!$L$33="Semestrielle",2,1))))</f>
        <v/>
      </c>
      <c r="T382" s="27">
        <f>IF(R382="","",(R382+S382)*Baux!$K$33/100)</f>
        <v/>
      </c>
      <c r="U382" s="27">
        <f>IF(R382="","",R382+S382+T382)</f>
        <v/>
      </c>
      <c r="V382" s="17">
        <f>IF(AD382=0,"",IF(LEFT(K382,5)="Geler","❄ Gelée",IF(G382="",IF(D382&lt;=TODAY(),"⚠ Indice attendu","À venir"),IF(D382&lt;=TODAY(),"✔ Calculable","Indice connu – à venir"))))</f>
        <v/>
      </c>
      <c r="W382" s="29" t="n"/>
      <c r="X382" s="13" t="n"/>
      <c r="Y382" s="14" t="n"/>
      <c r="Z382" s="14" t="n"/>
      <c r="AA382" s="13" t="n"/>
      <c r="AB382" s="17">
        <f>IF(A382="","",A382&amp;"#"&amp;C382)</f>
        <v/>
      </c>
      <c r="AC382" s="17">
        <f>IF(AND(AD382=1,D382&lt;=TODAY(),N382&lt;&gt;""),1,0)</f>
        <v/>
      </c>
      <c r="AD382" s="17">
        <f>IF(OR(A382="",D382=""),0,IF(AND(ISNUMBER(Baux!$H$33),D382&gt;Baux!$H$33),0,1))</f>
        <v/>
      </c>
    </row>
    <row r="383">
      <c r="A383" s="17">
        <f>IF(Baux!$A$33="","",Baux!$A$33)</f>
        <v/>
      </c>
      <c r="B383" s="17">
        <f>IF(A383="","",Baux!$B$33)</f>
        <v/>
      </c>
      <c r="C383" s="17" t="n">
        <v>10</v>
      </c>
      <c r="D383" s="15">
        <f>IF(OR(A383="",Baux!$F$33="",Baux!$O$33=""),"",EDATE(Baux!$F$33,12*Baux!$O$33*C383))</f>
        <v/>
      </c>
      <c r="E383" s="17">
        <f>IF(AD383=0,"",Baux!$M$33)</f>
        <v/>
      </c>
      <c r="F383" s="17">
        <f>IF(AD383=0,"",IFERROR(TEXT(VALUE(LEFT(Baux!$N$33,4))+C383*Baux!$O$33,"0")&amp;RIGHT(Baux!$N$33,3),""))</f>
        <v/>
      </c>
      <c r="G383" s="25">
        <f>IF(AD383=0,"",IF(F383="","",IF(SUMIFS(Indices_long!$C:$C,Indices_long!$A:$A,E383,Indices_long!$B:$B,F383)=0,"",SUMIFS(Indices_long!$C:$C,Indices_long!$A:$A,E383,Indices_long!$B:$B,F383))))</f>
        <v/>
      </c>
      <c r="H383" s="17">
        <f>IF(AD383=0,"",IF(Baux!$P$33="Base fixe",Baux!$N$33,IF(K382="Geler – rattrapage possible",H382,F382)))</f>
        <v/>
      </c>
      <c r="I383" s="25">
        <f>IF(AD383=0,"",IF(H383="","",IF(SUMIFS(Indices_long!$C:$C,Indices_long!$A:$A,E383,Indices_long!$B:$B,H383)=0,"",SUMIFS(Indices_long!$C:$C,Indices_long!$A:$A,E383,Indices_long!$B:$B,H383))))</f>
        <v/>
      </c>
      <c r="J383" s="26">
        <f>IF(OR(G383="",I383=""),"",G383/I383)</f>
        <v/>
      </c>
      <c r="K383" s="13" t="n"/>
      <c r="L383" s="27">
        <f>IF(AD383=0,"",IF(Baux!$P$33="Base fixe",Baux!$I$33,N382))</f>
        <v/>
      </c>
      <c r="M383" s="27">
        <f>IF(OR(J383="",L383=""),"",ROUND(L383*J383,2))</f>
        <v/>
      </c>
      <c r="N383" s="27">
        <f>IF(AD383=0,"",IF(LEFT(K383,5)="Geler",O383,IF(M383="","",IF(Baux!$Q$33="",M383,MIN(M383,ROUND(L383*(1+Baux!$Q$33/100)^IF(Baux!$P$33="Base fixe",C383*Baux!$O$33,VALUE(LEFT(F383,4))-VALUE(LEFT(H383,4))),2))))))</f>
        <v/>
      </c>
      <c r="O383" s="27">
        <f>IF(AD383=0,"",N382)</f>
        <v/>
      </c>
      <c r="P383" s="28">
        <f>IF(OR(N383="",O383=""),"",N383/O383-1)</f>
        <v/>
      </c>
      <c r="Q383" s="27">
        <f>IF(N383="","",N383/12)</f>
        <v/>
      </c>
      <c r="R383" s="27">
        <f>IF(N383="","",N383/IF(Baux!$L$33="Mensuelle",12,IF(Baux!$L$33="Trimestrielle",4,IF(Baux!$L$33="Semestrielle",2,1))))</f>
        <v/>
      </c>
      <c r="S383" s="27">
        <f>IF(AD383=0,"",IF(Baux!$J$33="",0,Baux!$J$33)/IF(Baux!$L$33="Mensuelle",12,IF(Baux!$L$33="Trimestrielle",4,IF(Baux!$L$33="Semestrielle",2,1))))</f>
        <v/>
      </c>
      <c r="T383" s="27">
        <f>IF(R383="","",(R383+S383)*Baux!$K$33/100)</f>
        <v/>
      </c>
      <c r="U383" s="27">
        <f>IF(R383="","",R383+S383+T383)</f>
        <v/>
      </c>
      <c r="V383" s="17">
        <f>IF(AD383=0,"",IF(LEFT(K383,5)="Geler","❄ Gelée",IF(G383="",IF(D383&lt;=TODAY(),"⚠ Indice attendu","À venir"),IF(D383&lt;=TODAY(),"✔ Calculable","Indice connu – à venir"))))</f>
        <v/>
      </c>
      <c r="W383" s="29" t="n"/>
      <c r="X383" s="13" t="n"/>
      <c r="Y383" s="14" t="n"/>
      <c r="Z383" s="14" t="n"/>
      <c r="AA383" s="13" t="n"/>
      <c r="AB383" s="17">
        <f>IF(A383="","",A383&amp;"#"&amp;C383)</f>
        <v/>
      </c>
      <c r="AC383" s="17">
        <f>IF(AND(AD383=1,D383&lt;=TODAY(),N383&lt;&gt;""),1,0)</f>
        <v/>
      </c>
      <c r="AD383" s="17">
        <f>IF(OR(A383="",D383=""),0,IF(AND(ISNUMBER(Baux!$H$33),D383&gt;Baux!$H$33),0,1))</f>
        <v/>
      </c>
    </row>
    <row r="384">
      <c r="A384" s="17">
        <f>IF(Baux!$A$33="","",Baux!$A$33)</f>
        <v/>
      </c>
      <c r="B384" s="17">
        <f>IF(A384="","",Baux!$B$33)</f>
        <v/>
      </c>
      <c r="C384" s="17" t="n">
        <v>11</v>
      </c>
      <c r="D384" s="15">
        <f>IF(OR(A384="",Baux!$F$33="",Baux!$O$33=""),"",EDATE(Baux!$F$33,12*Baux!$O$33*C384))</f>
        <v/>
      </c>
      <c r="E384" s="17">
        <f>IF(AD384=0,"",Baux!$M$33)</f>
        <v/>
      </c>
      <c r="F384" s="17">
        <f>IF(AD384=0,"",IFERROR(TEXT(VALUE(LEFT(Baux!$N$33,4))+C384*Baux!$O$33,"0")&amp;RIGHT(Baux!$N$33,3),""))</f>
        <v/>
      </c>
      <c r="G384" s="25">
        <f>IF(AD384=0,"",IF(F384="","",IF(SUMIFS(Indices_long!$C:$C,Indices_long!$A:$A,E384,Indices_long!$B:$B,F384)=0,"",SUMIFS(Indices_long!$C:$C,Indices_long!$A:$A,E384,Indices_long!$B:$B,F384))))</f>
        <v/>
      </c>
      <c r="H384" s="17">
        <f>IF(AD384=0,"",IF(Baux!$P$33="Base fixe",Baux!$N$33,IF(K383="Geler – rattrapage possible",H383,F383)))</f>
        <v/>
      </c>
      <c r="I384" s="25">
        <f>IF(AD384=0,"",IF(H384="","",IF(SUMIFS(Indices_long!$C:$C,Indices_long!$A:$A,E384,Indices_long!$B:$B,H384)=0,"",SUMIFS(Indices_long!$C:$C,Indices_long!$A:$A,E384,Indices_long!$B:$B,H384))))</f>
        <v/>
      </c>
      <c r="J384" s="26">
        <f>IF(OR(G384="",I384=""),"",G384/I384)</f>
        <v/>
      </c>
      <c r="K384" s="13" t="n"/>
      <c r="L384" s="27">
        <f>IF(AD384=0,"",IF(Baux!$P$33="Base fixe",Baux!$I$33,N383))</f>
        <v/>
      </c>
      <c r="M384" s="27">
        <f>IF(OR(J384="",L384=""),"",ROUND(L384*J384,2))</f>
        <v/>
      </c>
      <c r="N384" s="27">
        <f>IF(AD384=0,"",IF(LEFT(K384,5)="Geler",O384,IF(M384="","",IF(Baux!$Q$33="",M384,MIN(M384,ROUND(L384*(1+Baux!$Q$33/100)^IF(Baux!$P$33="Base fixe",C384*Baux!$O$33,VALUE(LEFT(F384,4))-VALUE(LEFT(H384,4))),2))))))</f>
        <v/>
      </c>
      <c r="O384" s="27">
        <f>IF(AD384=0,"",N383)</f>
        <v/>
      </c>
      <c r="P384" s="28">
        <f>IF(OR(N384="",O384=""),"",N384/O384-1)</f>
        <v/>
      </c>
      <c r="Q384" s="27">
        <f>IF(N384="","",N384/12)</f>
        <v/>
      </c>
      <c r="R384" s="27">
        <f>IF(N384="","",N384/IF(Baux!$L$33="Mensuelle",12,IF(Baux!$L$33="Trimestrielle",4,IF(Baux!$L$33="Semestrielle",2,1))))</f>
        <v/>
      </c>
      <c r="S384" s="27">
        <f>IF(AD384=0,"",IF(Baux!$J$33="",0,Baux!$J$33)/IF(Baux!$L$33="Mensuelle",12,IF(Baux!$L$33="Trimestrielle",4,IF(Baux!$L$33="Semestrielle",2,1))))</f>
        <v/>
      </c>
      <c r="T384" s="27">
        <f>IF(R384="","",(R384+S384)*Baux!$K$33/100)</f>
        <v/>
      </c>
      <c r="U384" s="27">
        <f>IF(R384="","",R384+S384+T384)</f>
        <v/>
      </c>
      <c r="V384" s="17">
        <f>IF(AD384=0,"",IF(LEFT(K384,5)="Geler","❄ Gelée",IF(G384="",IF(D384&lt;=TODAY(),"⚠ Indice attendu","À venir"),IF(D384&lt;=TODAY(),"✔ Calculable","Indice connu – à venir"))))</f>
        <v/>
      </c>
      <c r="W384" s="29" t="n"/>
      <c r="X384" s="13" t="n"/>
      <c r="Y384" s="14" t="n"/>
      <c r="Z384" s="14" t="n"/>
      <c r="AA384" s="13" t="n"/>
      <c r="AB384" s="17">
        <f>IF(A384="","",A384&amp;"#"&amp;C384)</f>
        <v/>
      </c>
      <c r="AC384" s="17">
        <f>IF(AND(AD384=1,D384&lt;=TODAY(),N384&lt;&gt;""),1,0)</f>
        <v/>
      </c>
      <c r="AD384" s="17">
        <f>IF(OR(A384="",D384=""),0,IF(AND(ISNUMBER(Baux!$H$33),D384&gt;Baux!$H$33),0,1))</f>
        <v/>
      </c>
    </row>
    <row r="385">
      <c r="A385" s="17">
        <f>IF(Baux!$A$33="","",Baux!$A$33)</f>
        <v/>
      </c>
      <c r="B385" s="17">
        <f>IF(A385="","",Baux!$B$33)</f>
        <v/>
      </c>
      <c r="C385" s="17" t="n">
        <v>12</v>
      </c>
      <c r="D385" s="15">
        <f>IF(OR(A385="",Baux!$F$33="",Baux!$O$33=""),"",EDATE(Baux!$F$33,12*Baux!$O$33*C385))</f>
        <v/>
      </c>
      <c r="E385" s="17">
        <f>IF(AD385=0,"",Baux!$M$33)</f>
        <v/>
      </c>
      <c r="F385" s="17">
        <f>IF(AD385=0,"",IFERROR(TEXT(VALUE(LEFT(Baux!$N$33,4))+C385*Baux!$O$33,"0")&amp;RIGHT(Baux!$N$33,3),""))</f>
        <v/>
      </c>
      <c r="G385" s="25">
        <f>IF(AD385=0,"",IF(F385="","",IF(SUMIFS(Indices_long!$C:$C,Indices_long!$A:$A,E385,Indices_long!$B:$B,F385)=0,"",SUMIFS(Indices_long!$C:$C,Indices_long!$A:$A,E385,Indices_long!$B:$B,F385))))</f>
        <v/>
      </c>
      <c r="H385" s="17">
        <f>IF(AD385=0,"",IF(Baux!$P$33="Base fixe",Baux!$N$33,IF(K384="Geler – rattrapage possible",H384,F384)))</f>
        <v/>
      </c>
      <c r="I385" s="25">
        <f>IF(AD385=0,"",IF(H385="","",IF(SUMIFS(Indices_long!$C:$C,Indices_long!$A:$A,E385,Indices_long!$B:$B,H385)=0,"",SUMIFS(Indices_long!$C:$C,Indices_long!$A:$A,E385,Indices_long!$B:$B,H385))))</f>
        <v/>
      </c>
      <c r="J385" s="26">
        <f>IF(OR(G385="",I385=""),"",G385/I385)</f>
        <v/>
      </c>
      <c r="K385" s="13" t="n"/>
      <c r="L385" s="27">
        <f>IF(AD385=0,"",IF(Baux!$P$33="Base fixe",Baux!$I$33,N384))</f>
        <v/>
      </c>
      <c r="M385" s="27">
        <f>IF(OR(J385="",L385=""),"",ROUND(L385*J385,2))</f>
        <v/>
      </c>
      <c r="N385" s="27">
        <f>IF(AD385=0,"",IF(LEFT(K385,5)="Geler",O385,IF(M385="","",IF(Baux!$Q$33="",M385,MIN(M385,ROUND(L385*(1+Baux!$Q$33/100)^IF(Baux!$P$33="Base fixe",C385*Baux!$O$33,VALUE(LEFT(F385,4))-VALUE(LEFT(H385,4))),2))))))</f>
        <v/>
      </c>
      <c r="O385" s="27">
        <f>IF(AD385=0,"",N384)</f>
        <v/>
      </c>
      <c r="P385" s="28">
        <f>IF(OR(N385="",O385=""),"",N385/O385-1)</f>
        <v/>
      </c>
      <c r="Q385" s="27">
        <f>IF(N385="","",N385/12)</f>
        <v/>
      </c>
      <c r="R385" s="27">
        <f>IF(N385="","",N385/IF(Baux!$L$33="Mensuelle",12,IF(Baux!$L$33="Trimestrielle",4,IF(Baux!$L$33="Semestrielle",2,1))))</f>
        <v/>
      </c>
      <c r="S385" s="27">
        <f>IF(AD385=0,"",IF(Baux!$J$33="",0,Baux!$J$33)/IF(Baux!$L$33="Mensuelle",12,IF(Baux!$L$33="Trimestrielle",4,IF(Baux!$L$33="Semestrielle",2,1))))</f>
        <v/>
      </c>
      <c r="T385" s="27">
        <f>IF(R385="","",(R385+S385)*Baux!$K$33/100)</f>
        <v/>
      </c>
      <c r="U385" s="27">
        <f>IF(R385="","",R385+S385+T385)</f>
        <v/>
      </c>
      <c r="V385" s="17">
        <f>IF(AD385=0,"",IF(LEFT(K385,5)="Geler","❄ Gelée",IF(G385="",IF(D385&lt;=TODAY(),"⚠ Indice attendu","À venir"),IF(D385&lt;=TODAY(),"✔ Calculable","Indice connu – à venir"))))</f>
        <v/>
      </c>
      <c r="W385" s="29" t="n"/>
      <c r="X385" s="13" t="n"/>
      <c r="Y385" s="14" t="n"/>
      <c r="Z385" s="14" t="n"/>
      <c r="AA385" s="13" t="n"/>
      <c r="AB385" s="17">
        <f>IF(A385="","",A385&amp;"#"&amp;C385)</f>
        <v/>
      </c>
      <c r="AC385" s="17">
        <f>IF(AND(AD385=1,D385&lt;=TODAY(),N385&lt;&gt;""),1,0)</f>
        <v/>
      </c>
      <c r="AD385" s="17">
        <f>IF(OR(A385="",D385=""),0,IF(AND(ISNUMBER(Baux!$H$33),D385&gt;Baux!$H$33),0,1))</f>
        <v/>
      </c>
    </row>
    <row r="386">
      <c r="A386" s="17">
        <f>IF(Baux!$A$34="","",Baux!$A$34)</f>
        <v/>
      </c>
      <c r="B386" s="17">
        <f>IF(A386="","",Baux!$B$34)</f>
        <v/>
      </c>
      <c r="C386" s="17" t="n">
        <v>1</v>
      </c>
      <c r="D386" s="15">
        <f>IF(OR(A386="",Baux!$F$34="",Baux!$O$34=""),"",EDATE(Baux!$F$34,12*Baux!$O$34*C386))</f>
        <v/>
      </c>
      <c r="E386" s="17">
        <f>IF(AD386=0,"",Baux!$M$34)</f>
        <v/>
      </c>
      <c r="F386" s="17">
        <f>IF(AD386=0,"",IFERROR(TEXT(VALUE(LEFT(Baux!$N$34,4))+C386*Baux!$O$34,"0")&amp;RIGHT(Baux!$N$34,3),""))</f>
        <v/>
      </c>
      <c r="G386" s="25">
        <f>IF(AD386=0,"",IF(F386="","",IF(SUMIFS(Indices_long!$C:$C,Indices_long!$A:$A,E386,Indices_long!$B:$B,F386)=0,"",SUMIFS(Indices_long!$C:$C,Indices_long!$A:$A,E386,Indices_long!$B:$B,F386))))</f>
        <v/>
      </c>
      <c r="H386" s="17">
        <f>IF(AD386=0,"",Baux!$N$34)</f>
        <v/>
      </c>
      <c r="I386" s="25">
        <f>IF(AD386=0,"",IF(H386="","",IF(SUMIFS(Indices_long!$C:$C,Indices_long!$A:$A,E386,Indices_long!$B:$B,H386)=0,"",SUMIFS(Indices_long!$C:$C,Indices_long!$A:$A,E386,Indices_long!$B:$B,H386))))</f>
        <v/>
      </c>
      <c r="J386" s="26">
        <f>IF(OR(G386="",I386=""),"",G386/I386)</f>
        <v/>
      </c>
      <c r="K386" s="13" t="n"/>
      <c r="L386" s="27">
        <f>IF(AD386=0,"",Baux!$I$34)</f>
        <v/>
      </c>
      <c r="M386" s="27">
        <f>IF(OR(J386="",L386=""),"",ROUND(L386*J386,2))</f>
        <v/>
      </c>
      <c r="N386" s="27">
        <f>IF(AD386=0,"",IF(LEFT(K386,5)="Geler",O386,IF(M386="","",IF(Baux!$Q$34="",M386,MIN(M386,ROUND(L386*(1+Baux!$Q$34/100)^IF(Baux!$P$34="Base fixe",C386*Baux!$O$34,VALUE(LEFT(F386,4))-VALUE(LEFT(H386,4))),2))))))</f>
        <v/>
      </c>
      <c r="O386" s="27">
        <f>IF(AD386=0,"",Baux!$I$34)</f>
        <v/>
      </c>
      <c r="P386" s="28">
        <f>IF(OR(N386="",O386=""),"",N386/O386-1)</f>
        <v/>
      </c>
      <c r="Q386" s="27">
        <f>IF(N386="","",N386/12)</f>
        <v/>
      </c>
      <c r="R386" s="27">
        <f>IF(N386="","",N386/IF(Baux!$L$34="Mensuelle",12,IF(Baux!$L$34="Trimestrielle",4,IF(Baux!$L$34="Semestrielle",2,1))))</f>
        <v/>
      </c>
      <c r="S386" s="27">
        <f>IF(AD386=0,"",IF(Baux!$J$34="",0,Baux!$J$34)/IF(Baux!$L$34="Mensuelle",12,IF(Baux!$L$34="Trimestrielle",4,IF(Baux!$L$34="Semestrielle",2,1))))</f>
        <v/>
      </c>
      <c r="T386" s="27">
        <f>IF(R386="","",(R386+S386)*Baux!$K$34/100)</f>
        <v/>
      </c>
      <c r="U386" s="27">
        <f>IF(R386="","",R386+S386+T386)</f>
        <v/>
      </c>
      <c r="V386" s="17">
        <f>IF(AD386=0,"",IF(LEFT(K386,5)="Geler","❄ Gelée",IF(G386="",IF(D386&lt;=TODAY(),"⚠ Indice attendu","À venir"),IF(D386&lt;=TODAY(),"✔ Calculable","Indice connu – à venir"))))</f>
        <v/>
      </c>
      <c r="W386" s="29" t="n"/>
      <c r="X386" s="13" t="n"/>
      <c r="Y386" s="14" t="n"/>
      <c r="Z386" s="14" t="n"/>
      <c r="AA386" s="13" t="n"/>
      <c r="AB386" s="17">
        <f>IF(A386="","",A386&amp;"#"&amp;C386)</f>
        <v/>
      </c>
      <c r="AC386" s="17">
        <f>IF(AND(AD386=1,D386&lt;=TODAY(),N386&lt;&gt;""),1,0)</f>
        <v/>
      </c>
      <c r="AD386" s="17">
        <f>IF(OR(A386="",D386=""),0,IF(AND(ISNUMBER(Baux!$H$34),D386&gt;Baux!$H$34),0,1))</f>
        <v/>
      </c>
    </row>
    <row r="387">
      <c r="A387" s="17">
        <f>IF(Baux!$A$34="","",Baux!$A$34)</f>
        <v/>
      </c>
      <c r="B387" s="17">
        <f>IF(A387="","",Baux!$B$34)</f>
        <v/>
      </c>
      <c r="C387" s="17" t="n">
        <v>2</v>
      </c>
      <c r="D387" s="15">
        <f>IF(OR(A387="",Baux!$F$34="",Baux!$O$34=""),"",EDATE(Baux!$F$34,12*Baux!$O$34*C387))</f>
        <v/>
      </c>
      <c r="E387" s="17">
        <f>IF(AD387=0,"",Baux!$M$34)</f>
        <v/>
      </c>
      <c r="F387" s="17">
        <f>IF(AD387=0,"",IFERROR(TEXT(VALUE(LEFT(Baux!$N$34,4))+C387*Baux!$O$34,"0")&amp;RIGHT(Baux!$N$34,3),""))</f>
        <v/>
      </c>
      <c r="G387" s="25">
        <f>IF(AD387=0,"",IF(F387="","",IF(SUMIFS(Indices_long!$C:$C,Indices_long!$A:$A,E387,Indices_long!$B:$B,F387)=0,"",SUMIFS(Indices_long!$C:$C,Indices_long!$A:$A,E387,Indices_long!$B:$B,F387))))</f>
        <v/>
      </c>
      <c r="H387" s="17">
        <f>IF(AD387=0,"",IF(Baux!$P$34="Base fixe",Baux!$N$34,IF(K386="Geler – rattrapage possible",H386,F386)))</f>
        <v/>
      </c>
      <c r="I387" s="25">
        <f>IF(AD387=0,"",IF(H387="","",IF(SUMIFS(Indices_long!$C:$C,Indices_long!$A:$A,E387,Indices_long!$B:$B,H387)=0,"",SUMIFS(Indices_long!$C:$C,Indices_long!$A:$A,E387,Indices_long!$B:$B,H387))))</f>
        <v/>
      </c>
      <c r="J387" s="26">
        <f>IF(OR(G387="",I387=""),"",G387/I387)</f>
        <v/>
      </c>
      <c r="K387" s="13" t="n"/>
      <c r="L387" s="27">
        <f>IF(AD387=0,"",IF(Baux!$P$34="Base fixe",Baux!$I$34,N386))</f>
        <v/>
      </c>
      <c r="M387" s="27">
        <f>IF(OR(J387="",L387=""),"",ROUND(L387*J387,2))</f>
        <v/>
      </c>
      <c r="N387" s="27">
        <f>IF(AD387=0,"",IF(LEFT(K387,5)="Geler",O387,IF(M387="","",IF(Baux!$Q$34="",M387,MIN(M387,ROUND(L387*(1+Baux!$Q$34/100)^IF(Baux!$P$34="Base fixe",C387*Baux!$O$34,VALUE(LEFT(F387,4))-VALUE(LEFT(H387,4))),2))))))</f>
        <v/>
      </c>
      <c r="O387" s="27">
        <f>IF(AD387=0,"",N386)</f>
        <v/>
      </c>
      <c r="P387" s="28">
        <f>IF(OR(N387="",O387=""),"",N387/O387-1)</f>
        <v/>
      </c>
      <c r="Q387" s="27">
        <f>IF(N387="","",N387/12)</f>
        <v/>
      </c>
      <c r="R387" s="27">
        <f>IF(N387="","",N387/IF(Baux!$L$34="Mensuelle",12,IF(Baux!$L$34="Trimestrielle",4,IF(Baux!$L$34="Semestrielle",2,1))))</f>
        <v/>
      </c>
      <c r="S387" s="27">
        <f>IF(AD387=0,"",IF(Baux!$J$34="",0,Baux!$J$34)/IF(Baux!$L$34="Mensuelle",12,IF(Baux!$L$34="Trimestrielle",4,IF(Baux!$L$34="Semestrielle",2,1))))</f>
        <v/>
      </c>
      <c r="T387" s="27">
        <f>IF(R387="","",(R387+S387)*Baux!$K$34/100)</f>
        <v/>
      </c>
      <c r="U387" s="27">
        <f>IF(R387="","",R387+S387+T387)</f>
        <v/>
      </c>
      <c r="V387" s="17">
        <f>IF(AD387=0,"",IF(LEFT(K387,5)="Geler","❄ Gelée",IF(G387="",IF(D387&lt;=TODAY(),"⚠ Indice attendu","À venir"),IF(D387&lt;=TODAY(),"✔ Calculable","Indice connu – à venir"))))</f>
        <v/>
      </c>
      <c r="W387" s="29" t="n"/>
      <c r="X387" s="13" t="n"/>
      <c r="Y387" s="14" t="n"/>
      <c r="Z387" s="14" t="n"/>
      <c r="AA387" s="13" t="n"/>
      <c r="AB387" s="17">
        <f>IF(A387="","",A387&amp;"#"&amp;C387)</f>
        <v/>
      </c>
      <c r="AC387" s="17">
        <f>IF(AND(AD387=1,D387&lt;=TODAY(),N387&lt;&gt;""),1,0)</f>
        <v/>
      </c>
      <c r="AD387" s="17">
        <f>IF(OR(A387="",D387=""),0,IF(AND(ISNUMBER(Baux!$H$34),D387&gt;Baux!$H$34),0,1))</f>
        <v/>
      </c>
    </row>
    <row r="388">
      <c r="A388" s="17">
        <f>IF(Baux!$A$34="","",Baux!$A$34)</f>
        <v/>
      </c>
      <c r="B388" s="17">
        <f>IF(A388="","",Baux!$B$34)</f>
        <v/>
      </c>
      <c r="C388" s="17" t="n">
        <v>3</v>
      </c>
      <c r="D388" s="15">
        <f>IF(OR(A388="",Baux!$F$34="",Baux!$O$34=""),"",EDATE(Baux!$F$34,12*Baux!$O$34*C388))</f>
        <v/>
      </c>
      <c r="E388" s="17">
        <f>IF(AD388=0,"",Baux!$M$34)</f>
        <v/>
      </c>
      <c r="F388" s="17">
        <f>IF(AD388=0,"",IFERROR(TEXT(VALUE(LEFT(Baux!$N$34,4))+C388*Baux!$O$34,"0")&amp;RIGHT(Baux!$N$34,3),""))</f>
        <v/>
      </c>
      <c r="G388" s="25">
        <f>IF(AD388=0,"",IF(F388="","",IF(SUMIFS(Indices_long!$C:$C,Indices_long!$A:$A,E388,Indices_long!$B:$B,F388)=0,"",SUMIFS(Indices_long!$C:$C,Indices_long!$A:$A,E388,Indices_long!$B:$B,F388))))</f>
        <v/>
      </c>
      <c r="H388" s="17">
        <f>IF(AD388=0,"",IF(Baux!$P$34="Base fixe",Baux!$N$34,IF(K387="Geler – rattrapage possible",H387,F387)))</f>
        <v/>
      </c>
      <c r="I388" s="25">
        <f>IF(AD388=0,"",IF(H388="","",IF(SUMIFS(Indices_long!$C:$C,Indices_long!$A:$A,E388,Indices_long!$B:$B,H388)=0,"",SUMIFS(Indices_long!$C:$C,Indices_long!$A:$A,E388,Indices_long!$B:$B,H388))))</f>
        <v/>
      </c>
      <c r="J388" s="26">
        <f>IF(OR(G388="",I388=""),"",G388/I388)</f>
        <v/>
      </c>
      <c r="K388" s="13" t="n"/>
      <c r="L388" s="27">
        <f>IF(AD388=0,"",IF(Baux!$P$34="Base fixe",Baux!$I$34,N387))</f>
        <v/>
      </c>
      <c r="M388" s="27">
        <f>IF(OR(J388="",L388=""),"",ROUND(L388*J388,2))</f>
        <v/>
      </c>
      <c r="N388" s="27">
        <f>IF(AD388=0,"",IF(LEFT(K388,5)="Geler",O388,IF(M388="","",IF(Baux!$Q$34="",M388,MIN(M388,ROUND(L388*(1+Baux!$Q$34/100)^IF(Baux!$P$34="Base fixe",C388*Baux!$O$34,VALUE(LEFT(F388,4))-VALUE(LEFT(H388,4))),2))))))</f>
        <v/>
      </c>
      <c r="O388" s="27">
        <f>IF(AD388=0,"",N387)</f>
        <v/>
      </c>
      <c r="P388" s="28">
        <f>IF(OR(N388="",O388=""),"",N388/O388-1)</f>
        <v/>
      </c>
      <c r="Q388" s="27">
        <f>IF(N388="","",N388/12)</f>
        <v/>
      </c>
      <c r="R388" s="27">
        <f>IF(N388="","",N388/IF(Baux!$L$34="Mensuelle",12,IF(Baux!$L$34="Trimestrielle",4,IF(Baux!$L$34="Semestrielle",2,1))))</f>
        <v/>
      </c>
      <c r="S388" s="27">
        <f>IF(AD388=0,"",IF(Baux!$J$34="",0,Baux!$J$34)/IF(Baux!$L$34="Mensuelle",12,IF(Baux!$L$34="Trimestrielle",4,IF(Baux!$L$34="Semestrielle",2,1))))</f>
        <v/>
      </c>
      <c r="T388" s="27">
        <f>IF(R388="","",(R388+S388)*Baux!$K$34/100)</f>
        <v/>
      </c>
      <c r="U388" s="27">
        <f>IF(R388="","",R388+S388+T388)</f>
        <v/>
      </c>
      <c r="V388" s="17">
        <f>IF(AD388=0,"",IF(LEFT(K388,5)="Geler","❄ Gelée",IF(G388="",IF(D388&lt;=TODAY(),"⚠ Indice attendu","À venir"),IF(D388&lt;=TODAY(),"✔ Calculable","Indice connu – à venir"))))</f>
        <v/>
      </c>
      <c r="W388" s="29" t="n"/>
      <c r="X388" s="13" t="n"/>
      <c r="Y388" s="14" t="n"/>
      <c r="Z388" s="14" t="n"/>
      <c r="AA388" s="13" t="n"/>
      <c r="AB388" s="17">
        <f>IF(A388="","",A388&amp;"#"&amp;C388)</f>
        <v/>
      </c>
      <c r="AC388" s="17">
        <f>IF(AND(AD388=1,D388&lt;=TODAY(),N388&lt;&gt;""),1,0)</f>
        <v/>
      </c>
      <c r="AD388" s="17">
        <f>IF(OR(A388="",D388=""),0,IF(AND(ISNUMBER(Baux!$H$34),D388&gt;Baux!$H$34),0,1))</f>
        <v/>
      </c>
    </row>
    <row r="389">
      <c r="A389" s="17">
        <f>IF(Baux!$A$34="","",Baux!$A$34)</f>
        <v/>
      </c>
      <c r="B389" s="17">
        <f>IF(A389="","",Baux!$B$34)</f>
        <v/>
      </c>
      <c r="C389" s="17" t="n">
        <v>4</v>
      </c>
      <c r="D389" s="15">
        <f>IF(OR(A389="",Baux!$F$34="",Baux!$O$34=""),"",EDATE(Baux!$F$34,12*Baux!$O$34*C389))</f>
        <v/>
      </c>
      <c r="E389" s="17">
        <f>IF(AD389=0,"",Baux!$M$34)</f>
        <v/>
      </c>
      <c r="F389" s="17">
        <f>IF(AD389=0,"",IFERROR(TEXT(VALUE(LEFT(Baux!$N$34,4))+C389*Baux!$O$34,"0")&amp;RIGHT(Baux!$N$34,3),""))</f>
        <v/>
      </c>
      <c r="G389" s="25">
        <f>IF(AD389=0,"",IF(F389="","",IF(SUMIFS(Indices_long!$C:$C,Indices_long!$A:$A,E389,Indices_long!$B:$B,F389)=0,"",SUMIFS(Indices_long!$C:$C,Indices_long!$A:$A,E389,Indices_long!$B:$B,F389))))</f>
        <v/>
      </c>
      <c r="H389" s="17">
        <f>IF(AD389=0,"",IF(Baux!$P$34="Base fixe",Baux!$N$34,IF(K388="Geler – rattrapage possible",H388,F388)))</f>
        <v/>
      </c>
      <c r="I389" s="25">
        <f>IF(AD389=0,"",IF(H389="","",IF(SUMIFS(Indices_long!$C:$C,Indices_long!$A:$A,E389,Indices_long!$B:$B,H389)=0,"",SUMIFS(Indices_long!$C:$C,Indices_long!$A:$A,E389,Indices_long!$B:$B,H389))))</f>
        <v/>
      </c>
      <c r="J389" s="26">
        <f>IF(OR(G389="",I389=""),"",G389/I389)</f>
        <v/>
      </c>
      <c r="K389" s="13" t="n"/>
      <c r="L389" s="27">
        <f>IF(AD389=0,"",IF(Baux!$P$34="Base fixe",Baux!$I$34,N388))</f>
        <v/>
      </c>
      <c r="M389" s="27">
        <f>IF(OR(J389="",L389=""),"",ROUND(L389*J389,2))</f>
        <v/>
      </c>
      <c r="N389" s="27">
        <f>IF(AD389=0,"",IF(LEFT(K389,5)="Geler",O389,IF(M389="","",IF(Baux!$Q$34="",M389,MIN(M389,ROUND(L389*(1+Baux!$Q$34/100)^IF(Baux!$P$34="Base fixe",C389*Baux!$O$34,VALUE(LEFT(F389,4))-VALUE(LEFT(H389,4))),2))))))</f>
        <v/>
      </c>
      <c r="O389" s="27">
        <f>IF(AD389=0,"",N388)</f>
        <v/>
      </c>
      <c r="P389" s="28">
        <f>IF(OR(N389="",O389=""),"",N389/O389-1)</f>
        <v/>
      </c>
      <c r="Q389" s="27">
        <f>IF(N389="","",N389/12)</f>
        <v/>
      </c>
      <c r="R389" s="27">
        <f>IF(N389="","",N389/IF(Baux!$L$34="Mensuelle",12,IF(Baux!$L$34="Trimestrielle",4,IF(Baux!$L$34="Semestrielle",2,1))))</f>
        <v/>
      </c>
      <c r="S389" s="27">
        <f>IF(AD389=0,"",IF(Baux!$J$34="",0,Baux!$J$34)/IF(Baux!$L$34="Mensuelle",12,IF(Baux!$L$34="Trimestrielle",4,IF(Baux!$L$34="Semestrielle",2,1))))</f>
        <v/>
      </c>
      <c r="T389" s="27">
        <f>IF(R389="","",(R389+S389)*Baux!$K$34/100)</f>
        <v/>
      </c>
      <c r="U389" s="27">
        <f>IF(R389="","",R389+S389+T389)</f>
        <v/>
      </c>
      <c r="V389" s="17">
        <f>IF(AD389=0,"",IF(LEFT(K389,5)="Geler","❄ Gelée",IF(G389="",IF(D389&lt;=TODAY(),"⚠ Indice attendu","À venir"),IF(D389&lt;=TODAY(),"✔ Calculable","Indice connu – à venir"))))</f>
        <v/>
      </c>
      <c r="W389" s="29" t="n"/>
      <c r="X389" s="13" t="n"/>
      <c r="Y389" s="14" t="n"/>
      <c r="Z389" s="14" t="n"/>
      <c r="AA389" s="13" t="n"/>
      <c r="AB389" s="17">
        <f>IF(A389="","",A389&amp;"#"&amp;C389)</f>
        <v/>
      </c>
      <c r="AC389" s="17">
        <f>IF(AND(AD389=1,D389&lt;=TODAY(),N389&lt;&gt;""),1,0)</f>
        <v/>
      </c>
      <c r="AD389" s="17">
        <f>IF(OR(A389="",D389=""),0,IF(AND(ISNUMBER(Baux!$H$34),D389&gt;Baux!$H$34),0,1))</f>
        <v/>
      </c>
    </row>
    <row r="390">
      <c r="A390" s="17">
        <f>IF(Baux!$A$34="","",Baux!$A$34)</f>
        <v/>
      </c>
      <c r="B390" s="17">
        <f>IF(A390="","",Baux!$B$34)</f>
        <v/>
      </c>
      <c r="C390" s="17" t="n">
        <v>5</v>
      </c>
      <c r="D390" s="15">
        <f>IF(OR(A390="",Baux!$F$34="",Baux!$O$34=""),"",EDATE(Baux!$F$34,12*Baux!$O$34*C390))</f>
        <v/>
      </c>
      <c r="E390" s="17">
        <f>IF(AD390=0,"",Baux!$M$34)</f>
        <v/>
      </c>
      <c r="F390" s="17">
        <f>IF(AD390=0,"",IFERROR(TEXT(VALUE(LEFT(Baux!$N$34,4))+C390*Baux!$O$34,"0")&amp;RIGHT(Baux!$N$34,3),""))</f>
        <v/>
      </c>
      <c r="G390" s="25">
        <f>IF(AD390=0,"",IF(F390="","",IF(SUMIFS(Indices_long!$C:$C,Indices_long!$A:$A,E390,Indices_long!$B:$B,F390)=0,"",SUMIFS(Indices_long!$C:$C,Indices_long!$A:$A,E390,Indices_long!$B:$B,F390))))</f>
        <v/>
      </c>
      <c r="H390" s="17">
        <f>IF(AD390=0,"",IF(Baux!$P$34="Base fixe",Baux!$N$34,IF(K389="Geler – rattrapage possible",H389,F389)))</f>
        <v/>
      </c>
      <c r="I390" s="25">
        <f>IF(AD390=0,"",IF(H390="","",IF(SUMIFS(Indices_long!$C:$C,Indices_long!$A:$A,E390,Indices_long!$B:$B,H390)=0,"",SUMIFS(Indices_long!$C:$C,Indices_long!$A:$A,E390,Indices_long!$B:$B,H390))))</f>
        <v/>
      </c>
      <c r="J390" s="26">
        <f>IF(OR(G390="",I390=""),"",G390/I390)</f>
        <v/>
      </c>
      <c r="K390" s="13" t="n"/>
      <c r="L390" s="27">
        <f>IF(AD390=0,"",IF(Baux!$P$34="Base fixe",Baux!$I$34,N389))</f>
        <v/>
      </c>
      <c r="M390" s="27">
        <f>IF(OR(J390="",L390=""),"",ROUND(L390*J390,2))</f>
        <v/>
      </c>
      <c r="N390" s="27">
        <f>IF(AD390=0,"",IF(LEFT(K390,5)="Geler",O390,IF(M390="","",IF(Baux!$Q$34="",M390,MIN(M390,ROUND(L390*(1+Baux!$Q$34/100)^IF(Baux!$P$34="Base fixe",C390*Baux!$O$34,VALUE(LEFT(F390,4))-VALUE(LEFT(H390,4))),2))))))</f>
        <v/>
      </c>
      <c r="O390" s="27">
        <f>IF(AD390=0,"",N389)</f>
        <v/>
      </c>
      <c r="P390" s="28">
        <f>IF(OR(N390="",O390=""),"",N390/O390-1)</f>
        <v/>
      </c>
      <c r="Q390" s="27">
        <f>IF(N390="","",N390/12)</f>
        <v/>
      </c>
      <c r="R390" s="27">
        <f>IF(N390="","",N390/IF(Baux!$L$34="Mensuelle",12,IF(Baux!$L$34="Trimestrielle",4,IF(Baux!$L$34="Semestrielle",2,1))))</f>
        <v/>
      </c>
      <c r="S390" s="27">
        <f>IF(AD390=0,"",IF(Baux!$J$34="",0,Baux!$J$34)/IF(Baux!$L$34="Mensuelle",12,IF(Baux!$L$34="Trimestrielle",4,IF(Baux!$L$34="Semestrielle",2,1))))</f>
        <v/>
      </c>
      <c r="T390" s="27">
        <f>IF(R390="","",(R390+S390)*Baux!$K$34/100)</f>
        <v/>
      </c>
      <c r="U390" s="27">
        <f>IF(R390="","",R390+S390+T390)</f>
        <v/>
      </c>
      <c r="V390" s="17">
        <f>IF(AD390=0,"",IF(LEFT(K390,5)="Geler","❄ Gelée",IF(G390="",IF(D390&lt;=TODAY(),"⚠ Indice attendu","À venir"),IF(D390&lt;=TODAY(),"✔ Calculable","Indice connu – à venir"))))</f>
        <v/>
      </c>
      <c r="W390" s="29" t="n"/>
      <c r="X390" s="13" t="n"/>
      <c r="Y390" s="14" t="n"/>
      <c r="Z390" s="14" t="n"/>
      <c r="AA390" s="13" t="n"/>
      <c r="AB390" s="17">
        <f>IF(A390="","",A390&amp;"#"&amp;C390)</f>
        <v/>
      </c>
      <c r="AC390" s="17">
        <f>IF(AND(AD390=1,D390&lt;=TODAY(),N390&lt;&gt;""),1,0)</f>
        <v/>
      </c>
      <c r="AD390" s="17">
        <f>IF(OR(A390="",D390=""),0,IF(AND(ISNUMBER(Baux!$H$34),D390&gt;Baux!$H$34),0,1))</f>
        <v/>
      </c>
    </row>
    <row r="391">
      <c r="A391" s="17">
        <f>IF(Baux!$A$34="","",Baux!$A$34)</f>
        <v/>
      </c>
      <c r="B391" s="17">
        <f>IF(A391="","",Baux!$B$34)</f>
        <v/>
      </c>
      <c r="C391" s="17" t="n">
        <v>6</v>
      </c>
      <c r="D391" s="15">
        <f>IF(OR(A391="",Baux!$F$34="",Baux!$O$34=""),"",EDATE(Baux!$F$34,12*Baux!$O$34*C391))</f>
        <v/>
      </c>
      <c r="E391" s="17">
        <f>IF(AD391=0,"",Baux!$M$34)</f>
        <v/>
      </c>
      <c r="F391" s="17">
        <f>IF(AD391=0,"",IFERROR(TEXT(VALUE(LEFT(Baux!$N$34,4))+C391*Baux!$O$34,"0")&amp;RIGHT(Baux!$N$34,3),""))</f>
        <v/>
      </c>
      <c r="G391" s="25">
        <f>IF(AD391=0,"",IF(F391="","",IF(SUMIFS(Indices_long!$C:$C,Indices_long!$A:$A,E391,Indices_long!$B:$B,F391)=0,"",SUMIFS(Indices_long!$C:$C,Indices_long!$A:$A,E391,Indices_long!$B:$B,F391))))</f>
        <v/>
      </c>
      <c r="H391" s="17">
        <f>IF(AD391=0,"",IF(Baux!$P$34="Base fixe",Baux!$N$34,IF(K390="Geler – rattrapage possible",H390,F390)))</f>
        <v/>
      </c>
      <c r="I391" s="25">
        <f>IF(AD391=0,"",IF(H391="","",IF(SUMIFS(Indices_long!$C:$C,Indices_long!$A:$A,E391,Indices_long!$B:$B,H391)=0,"",SUMIFS(Indices_long!$C:$C,Indices_long!$A:$A,E391,Indices_long!$B:$B,H391))))</f>
        <v/>
      </c>
      <c r="J391" s="26">
        <f>IF(OR(G391="",I391=""),"",G391/I391)</f>
        <v/>
      </c>
      <c r="K391" s="13" t="n"/>
      <c r="L391" s="27">
        <f>IF(AD391=0,"",IF(Baux!$P$34="Base fixe",Baux!$I$34,N390))</f>
        <v/>
      </c>
      <c r="M391" s="27">
        <f>IF(OR(J391="",L391=""),"",ROUND(L391*J391,2))</f>
        <v/>
      </c>
      <c r="N391" s="27">
        <f>IF(AD391=0,"",IF(LEFT(K391,5)="Geler",O391,IF(M391="","",IF(Baux!$Q$34="",M391,MIN(M391,ROUND(L391*(1+Baux!$Q$34/100)^IF(Baux!$P$34="Base fixe",C391*Baux!$O$34,VALUE(LEFT(F391,4))-VALUE(LEFT(H391,4))),2))))))</f>
        <v/>
      </c>
      <c r="O391" s="27">
        <f>IF(AD391=0,"",N390)</f>
        <v/>
      </c>
      <c r="P391" s="28">
        <f>IF(OR(N391="",O391=""),"",N391/O391-1)</f>
        <v/>
      </c>
      <c r="Q391" s="27">
        <f>IF(N391="","",N391/12)</f>
        <v/>
      </c>
      <c r="R391" s="27">
        <f>IF(N391="","",N391/IF(Baux!$L$34="Mensuelle",12,IF(Baux!$L$34="Trimestrielle",4,IF(Baux!$L$34="Semestrielle",2,1))))</f>
        <v/>
      </c>
      <c r="S391" s="27">
        <f>IF(AD391=0,"",IF(Baux!$J$34="",0,Baux!$J$34)/IF(Baux!$L$34="Mensuelle",12,IF(Baux!$L$34="Trimestrielle",4,IF(Baux!$L$34="Semestrielle",2,1))))</f>
        <v/>
      </c>
      <c r="T391" s="27">
        <f>IF(R391="","",(R391+S391)*Baux!$K$34/100)</f>
        <v/>
      </c>
      <c r="U391" s="27">
        <f>IF(R391="","",R391+S391+T391)</f>
        <v/>
      </c>
      <c r="V391" s="17">
        <f>IF(AD391=0,"",IF(LEFT(K391,5)="Geler","❄ Gelée",IF(G391="",IF(D391&lt;=TODAY(),"⚠ Indice attendu","À venir"),IF(D391&lt;=TODAY(),"✔ Calculable","Indice connu – à venir"))))</f>
        <v/>
      </c>
      <c r="W391" s="29" t="n"/>
      <c r="X391" s="13" t="n"/>
      <c r="Y391" s="14" t="n"/>
      <c r="Z391" s="14" t="n"/>
      <c r="AA391" s="13" t="n"/>
      <c r="AB391" s="17">
        <f>IF(A391="","",A391&amp;"#"&amp;C391)</f>
        <v/>
      </c>
      <c r="AC391" s="17">
        <f>IF(AND(AD391=1,D391&lt;=TODAY(),N391&lt;&gt;""),1,0)</f>
        <v/>
      </c>
      <c r="AD391" s="17">
        <f>IF(OR(A391="",D391=""),0,IF(AND(ISNUMBER(Baux!$H$34),D391&gt;Baux!$H$34),0,1))</f>
        <v/>
      </c>
    </row>
    <row r="392">
      <c r="A392" s="17">
        <f>IF(Baux!$A$34="","",Baux!$A$34)</f>
        <v/>
      </c>
      <c r="B392" s="17">
        <f>IF(A392="","",Baux!$B$34)</f>
        <v/>
      </c>
      <c r="C392" s="17" t="n">
        <v>7</v>
      </c>
      <c r="D392" s="15">
        <f>IF(OR(A392="",Baux!$F$34="",Baux!$O$34=""),"",EDATE(Baux!$F$34,12*Baux!$O$34*C392))</f>
        <v/>
      </c>
      <c r="E392" s="17">
        <f>IF(AD392=0,"",Baux!$M$34)</f>
        <v/>
      </c>
      <c r="F392" s="17">
        <f>IF(AD392=0,"",IFERROR(TEXT(VALUE(LEFT(Baux!$N$34,4))+C392*Baux!$O$34,"0")&amp;RIGHT(Baux!$N$34,3),""))</f>
        <v/>
      </c>
      <c r="G392" s="25">
        <f>IF(AD392=0,"",IF(F392="","",IF(SUMIFS(Indices_long!$C:$C,Indices_long!$A:$A,E392,Indices_long!$B:$B,F392)=0,"",SUMIFS(Indices_long!$C:$C,Indices_long!$A:$A,E392,Indices_long!$B:$B,F392))))</f>
        <v/>
      </c>
      <c r="H392" s="17">
        <f>IF(AD392=0,"",IF(Baux!$P$34="Base fixe",Baux!$N$34,IF(K391="Geler – rattrapage possible",H391,F391)))</f>
        <v/>
      </c>
      <c r="I392" s="25">
        <f>IF(AD392=0,"",IF(H392="","",IF(SUMIFS(Indices_long!$C:$C,Indices_long!$A:$A,E392,Indices_long!$B:$B,H392)=0,"",SUMIFS(Indices_long!$C:$C,Indices_long!$A:$A,E392,Indices_long!$B:$B,H392))))</f>
        <v/>
      </c>
      <c r="J392" s="26">
        <f>IF(OR(G392="",I392=""),"",G392/I392)</f>
        <v/>
      </c>
      <c r="K392" s="13" t="n"/>
      <c r="L392" s="27">
        <f>IF(AD392=0,"",IF(Baux!$P$34="Base fixe",Baux!$I$34,N391))</f>
        <v/>
      </c>
      <c r="M392" s="27">
        <f>IF(OR(J392="",L392=""),"",ROUND(L392*J392,2))</f>
        <v/>
      </c>
      <c r="N392" s="27">
        <f>IF(AD392=0,"",IF(LEFT(K392,5)="Geler",O392,IF(M392="","",IF(Baux!$Q$34="",M392,MIN(M392,ROUND(L392*(1+Baux!$Q$34/100)^IF(Baux!$P$34="Base fixe",C392*Baux!$O$34,VALUE(LEFT(F392,4))-VALUE(LEFT(H392,4))),2))))))</f>
        <v/>
      </c>
      <c r="O392" s="27">
        <f>IF(AD392=0,"",N391)</f>
        <v/>
      </c>
      <c r="P392" s="28">
        <f>IF(OR(N392="",O392=""),"",N392/O392-1)</f>
        <v/>
      </c>
      <c r="Q392" s="27">
        <f>IF(N392="","",N392/12)</f>
        <v/>
      </c>
      <c r="R392" s="27">
        <f>IF(N392="","",N392/IF(Baux!$L$34="Mensuelle",12,IF(Baux!$L$34="Trimestrielle",4,IF(Baux!$L$34="Semestrielle",2,1))))</f>
        <v/>
      </c>
      <c r="S392" s="27">
        <f>IF(AD392=0,"",IF(Baux!$J$34="",0,Baux!$J$34)/IF(Baux!$L$34="Mensuelle",12,IF(Baux!$L$34="Trimestrielle",4,IF(Baux!$L$34="Semestrielle",2,1))))</f>
        <v/>
      </c>
      <c r="T392" s="27">
        <f>IF(R392="","",(R392+S392)*Baux!$K$34/100)</f>
        <v/>
      </c>
      <c r="U392" s="27">
        <f>IF(R392="","",R392+S392+T392)</f>
        <v/>
      </c>
      <c r="V392" s="17">
        <f>IF(AD392=0,"",IF(LEFT(K392,5)="Geler","❄ Gelée",IF(G392="",IF(D392&lt;=TODAY(),"⚠ Indice attendu","À venir"),IF(D392&lt;=TODAY(),"✔ Calculable","Indice connu – à venir"))))</f>
        <v/>
      </c>
      <c r="W392" s="29" t="n"/>
      <c r="X392" s="13" t="n"/>
      <c r="Y392" s="14" t="n"/>
      <c r="Z392" s="14" t="n"/>
      <c r="AA392" s="13" t="n"/>
      <c r="AB392" s="17">
        <f>IF(A392="","",A392&amp;"#"&amp;C392)</f>
        <v/>
      </c>
      <c r="AC392" s="17">
        <f>IF(AND(AD392=1,D392&lt;=TODAY(),N392&lt;&gt;""),1,0)</f>
        <v/>
      </c>
      <c r="AD392" s="17">
        <f>IF(OR(A392="",D392=""),0,IF(AND(ISNUMBER(Baux!$H$34),D392&gt;Baux!$H$34),0,1))</f>
        <v/>
      </c>
    </row>
    <row r="393">
      <c r="A393" s="17">
        <f>IF(Baux!$A$34="","",Baux!$A$34)</f>
        <v/>
      </c>
      <c r="B393" s="17">
        <f>IF(A393="","",Baux!$B$34)</f>
        <v/>
      </c>
      <c r="C393" s="17" t="n">
        <v>8</v>
      </c>
      <c r="D393" s="15">
        <f>IF(OR(A393="",Baux!$F$34="",Baux!$O$34=""),"",EDATE(Baux!$F$34,12*Baux!$O$34*C393))</f>
        <v/>
      </c>
      <c r="E393" s="17">
        <f>IF(AD393=0,"",Baux!$M$34)</f>
        <v/>
      </c>
      <c r="F393" s="17">
        <f>IF(AD393=0,"",IFERROR(TEXT(VALUE(LEFT(Baux!$N$34,4))+C393*Baux!$O$34,"0")&amp;RIGHT(Baux!$N$34,3),""))</f>
        <v/>
      </c>
      <c r="G393" s="25">
        <f>IF(AD393=0,"",IF(F393="","",IF(SUMIFS(Indices_long!$C:$C,Indices_long!$A:$A,E393,Indices_long!$B:$B,F393)=0,"",SUMIFS(Indices_long!$C:$C,Indices_long!$A:$A,E393,Indices_long!$B:$B,F393))))</f>
        <v/>
      </c>
      <c r="H393" s="17">
        <f>IF(AD393=0,"",IF(Baux!$P$34="Base fixe",Baux!$N$34,IF(K392="Geler – rattrapage possible",H392,F392)))</f>
        <v/>
      </c>
      <c r="I393" s="25">
        <f>IF(AD393=0,"",IF(H393="","",IF(SUMIFS(Indices_long!$C:$C,Indices_long!$A:$A,E393,Indices_long!$B:$B,H393)=0,"",SUMIFS(Indices_long!$C:$C,Indices_long!$A:$A,E393,Indices_long!$B:$B,H393))))</f>
        <v/>
      </c>
      <c r="J393" s="26">
        <f>IF(OR(G393="",I393=""),"",G393/I393)</f>
        <v/>
      </c>
      <c r="K393" s="13" t="n"/>
      <c r="L393" s="27">
        <f>IF(AD393=0,"",IF(Baux!$P$34="Base fixe",Baux!$I$34,N392))</f>
        <v/>
      </c>
      <c r="M393" s="27">
        <f>IF(OR(J393="",L393=""),"",ROUND(L393*J393,2))</f>
        <v/>
      </c>
      <c r="N393" s="27">
        <f>IF(AD393=0,"",IF(LEFT(K393,5)="Geler",O393,IF(M393="","",IF(Baux!$Q$34="",M393,MIN(M393,ROUND(L393*(1+Baux!$Q$34/100)^IF(Baux!$P$34="Base fixe",C393*Baux!$O$34,VALUE(LEFT(F393,4))-VALUE(LEFT(H393,4))),2))))))</f>
        <v/>
      </c>
      <c r="O393" s="27">
        <f>IF(AD393=0,"",N392)</f>
        <v/>
      </c>
      <c r="P393" s="28">
        <f>IF(OR(N393="",O393=""),"",N393/O393-1)</f>
        <v/>
      </c>
      <c r="Q393" s="27">
        <f>IF(N393="","",N393/12)</f>
        <v/>
      </c>
      <c r="R393" s="27">
        <f>IF(N393="","",N393/IF(Baux!$L$34="Mensuelle",12,IF(Baux!$L$34="Trimestrielle",4,IF(Baux!$L$34="Semestrielle",2,1))))</f>
        <v/>
      </c>
      <c r="S393" s="27">
        <f>IF(AD393=0,"",IF(Baux!$J$34="",0,Baux!$J$34)/IF(Baux!$L$34="Mensuelle",12,IF(Baux!$L$34="Trimestrielle",4,IF(Baux!$L$34="Semestrielle",2,1))))</f>
        <v/>
      </c>
      <c r="T393" s="27">
        <f>IF(R393="","",(R393+S393)*Baux!$K$34/100)</f>
        <v/>
      </c>
      <c r="U393" s="27">
        <f>IF(R393="","",R393+S393+T393)</f>
        <v/>
      </c>
      <c r="V393" s="17">
        <f>IF(AD393=0,"",IF(LEFT(K393,5)="Geler","❄ Gelée",IF(G393="",IF(D393&lt;=TODAY(),"⚠ Indice attendu","À venir"),IF(D393&lt;=TODAY(),"✔ Calculable","Indice connu – à venir"))))</f>
        <v/>
      </c>
      <c r="W393" s="29" t="n"/>
      <c r="X393" s="13" t="n"/>
      <c r="Y393" s="14" t="n"/>
      <c r="Z393" s="14" t="n"/>
      <c r="AA393" s="13" t="n"/>
      <c r="AB393" s="17">
        <f>IF(A393="","",A393&amp;"#"&amp;C393)</f>
        <v/>
      </c>
      <c r="AC393" s="17">
        <f>IF(AND(AD393=1,D393&lt;=TODAY(),N393&lt;&gt;""),1,0)</f>
        <v/>
      </c>
      <c r="AD393" s="17">
        <f>IF(OR(A393="",D393=""),0,IF(AND(ISNUMBER(Baux!$H$34),D393&gt;Baux!$H$34),0,1))</f>
        <v/>
      </c>
    </row>
    <row r="394">
      <c r="A394" s="17">
        <f>IF(Baux!$A$34="","",Baux!$A$34)</f>
        <v/>
      </c>
      <c r="B394" s="17">
        <f>IF(A394="","",Baux!$B$34)</f>
        <v/>
      </c>
      <c r="C394" s="17" t="n">
        <v>9</v>
      </c>
      <c r="D394" s="15">
        <f>IF(OR(A394="",Baux!$F$34="",Baux!$O$34=""),"",EDATE(Baux!$F$34,12*Baux!$O$34*C394))</f>
        <v/>
      </c>
      <c r="E394" s="17">
        <f>IF(AD394=0,"",Baux!$M$34)</f>
        <v/>
      </c>
      <c r="F394" s="17">
        <f>IF(AD394=0,"",IFERROR(TEXT(VALUE(LEFT(Baux!$N$34,4))+C394*Baux!$O$34,"0")&amp;RIGHT(Baux!$N$34,3),""))</f>
        <v/>
      </c>
      <c r="G394" s="25">
        <f>IF(AD394=0,"",IF(F394="","",IF(SUMIFS(Indices_long!$C:$C,Indices_long!$A:$A,E394,Indices_long!$B:$B,F394)=0,"",SUMIFS(Indices_long!$C:$C,Indices_long!$A:$A,E394,Indices_long!$B:$B,F394))))</f>
        <v/>
      </c>
      <c r="H394" s="17">
        <f>IF(AD394=0,"",IF(Baux!$P$34="Base fixe",Baux!$N$34,IF(K393="Geler – rattrapage possible",H393,F393)))</f>
        <v/>
      </c>
      <c r="I394" s="25">
        <f>IF(AD394=0,"",IF(H394="","",IF(SUMIFS(Indices_long!$C:$C,Indices_long!$A:$A,E394,Indices_long!$B:$B,H394)=0,"",SUMIFS(Indices_long!$C:$C,Indices_long!$A:$A,E394,Indices_long!$B:$B,H394))))</f>
        <v/>
      </c>
      <c r="J394" s="26">
        <f>IF(OR(G394="",I394=""),"",G394/I394)</f>
        <v/>
      </c>
      <c r="K394" s="13" t="n"/>
      <c r="L394" s="27">
        <f>IF(AD394=0,"",IF(Baux!$P$34="Base fixe",Baux!$I$34,N393))</f>
        <v/>
      </c>
      <c r="M394" s="27">
        <f>IF(OR(J394="",L394=""),"",ROUND(L394*J394,2))</f>
        <v/>
      </c>
      <c r="N394" s="27">
        <f>IF(AD394=0,"",IF(LEFT(K394,5)="Geler",O394,IF(M394="","",IF(Baux!$Q$34="",M394,MIN(M394,ROUND(L394*(1+Baux!$Q$34/100)^IF(Baux!$P$34="Base fixe",C394*Baux!$O$34,VALUE(LEFT(F394,4))-VALUE(LEFT(H394,4))),2))))))</f>
        <v/>
      </c>
      <c r="O394" s="27">
        <f>IF(AD394=0,"",N393)</f>
        <v/>
      </c>
      <c r="P394" s="28">
        <f>IF(OR(N394="",O394=""),"",N394/O394-1)</f>
        <v/>
      </c>
      <c r="Q394" s="27">
        <f>IF(N394="","",N394/12)</f>
        <v/>
      </c>
      <c r="R394" s="27">
        <f>IF(N394="","",N394/IF(Baux!$L$34="Mensuelle",12,IF(Baux!$L$34="Trimestrielle",4,IF(Baux!$L$34="Semestrielle",2,1))))</f>
        <v/>
      </c>
      <c r="S394" s="27">
        <f>IF(AD394=0,"",IF(Baux!$J$34="",0,Baux!$J$34)/IF(Baux!$L$34="Mensuelle",12,IF(Baux!$L$34="Trimestrielle",4,IF(Baux!$L$34="Semestrielle",2,1))))</f>
        <v/>
      </c>
      <c r="T394" s="27">
        <f>IF(R394="","",(R394+S394)*Baux!$K$34/100)</f>
        <v/>
      </c>
      <c r="U394" s="27">
        <f>IF(R394="","",R394+S394+T394)</f>
        <v/>
      </c>
      <c r="V394" s="17">
        <f>IF(AD394=0,"",IF(LEFT(K394,5)="Geler","❄ Gelée",IF(G394="",IF(D394&lt;=TODAY(),"⚠ Indice attendu","À venir"),IF(D394&lt;=TODAY(),"✔ Calculable","Indice connu – à venir"))))</f>
        <v/>
      </c>
      <c r="W394" s="29" t="n"/>
      <c r="X394" s="13" t="n"/>
      <c r="Y394" s="14" t="n"/>
      <c r="Z394" s="14" t="n"/>
      <c r="AA394" s="13" t="n"/>
      <c r="AB394" s="17">
        <f>IF(A394="","",A394&amp;"#"&amp;C394)</f>
        <v/>
      </c>
      <c r="AC394" s="17">
        <f>IF(AND(AD394=1,D394&lt;=TODAY(),N394&lt;&gt;""),1,0)</f>
        <v/>
      </c>
      <c r="AD394" s="17">
        <f>IF(OR(A394="",D394=""),0,IF(AND(ISNUMBER(Baux!$H$34),D394&gt;Baux!$H$34),0,1))</f>
        <v/>
      </c>
    </row>
    <row r="395">
      <c r="A395" s="17">
        <f>IF(Baux!$A$34="","",Baux!$A$34)</f>
        <v/>
      </c>
      <c r="B395" s="17">
        <f>IF(A395="","",Baux!$B$34)</f>
        <v/>
      </c>
      <c r="C395" s="17" t="n">
        <v>10</v>
      </c>
      <c r="D395" s="15">
        <f>IF(OR(A395="",Baux!$F$34="",Baux!$O$34=""),"",EDATE(Baux!$F$34,12*Baux!$O$34*C395))</f>
        <v/>
      </c>
      <c r="E395" s="17">
        <f>IF(AD395=0,"",Baux!$M$34)</f>
        <v/>
      </c>
      <c r="F395" s="17">
        <f>IF(AD395=0,"",IFERROR(TEXT(VALUE(LEFT(Baux!$N$34,4))+C395*Baux!$O$34,"0")&amp;RIGHT(Baux!$N$34,3),""))</f>
        <v/>
      </c>
      <c r="G395" s="25">
        <f>IF(AD395=0,"",IF(F395="","",IF(SUMIFS(Indices_long!$C:$C,Indices_long!$A:$A,E395,Indices_long!$B:$B,F395)=0,"",SUMIFS(Indices_long!$C:$C,Indices_long!$A:$A,E395,Indices_long!$B:$B,F395))))</f>
        <v/>
      </c>
      <c r="H395" s="17">
        <f>IF(AD395=0,"",IF(Baux!$P$34="Base fixe",Baux!$N$34,IF(K394="Geler – rattrapage possible",H394,F394)))</f>
        <v/>
      </c>
      <c r="I395" s="25">
        <f>IF(AD395=0,"",IF(H395="","",IF(SUMIFS(Indices_long!$C:$C,Indices_long!$A:$A,E395,Indices_long!$B:$B,H395)=0,"",SUMIFS(Indices_long!$C:$C,Indices_long!$A:$A,E395,Indices_long!$B:$B,H395))))</f>
        <v/>
      </c>
      <c r="J395" s="26">
        <f>IF(OR(G395="",I395=""),"",G395/I395)</f>
        <v/>
      </c>
      <c r="K395" s="13" t="n"/>
      <c r="L395" s="27">
        <f>IF(AD395=0,"",IF(Baux!$P$34="Base fixe",Baux!$I$34,N394))</f>
        <v/>
      </c>
      <c r="M395" s="27">
        <f>IF(OR(J395="",L395=""),"",ROUND(L395*J395,2))</f>
        <v/>
      </c>
      <c r="N395" s="27">
        <f>IF(AD395=0,"",IF(LEFT(K395,5)="Geler",O395,IF(M395="","",IF(Baux!$Q$34="",M395,MIN(M395,ROUND(L395*(1+Baux!$Q$34/100)^IF(Baux!$P$34="Base fixe",C395*Baux!$O$34,VALUE(LEFT(F395,4))-VALUE(LEFT(H395,4))),2))))))</f>
        <v/>
      </c>
      <c r="O395" s="27">
        <f>IF(AD395=0,"",N394)</f>
        <v/>
      </c>
      <c r="P395" s="28">
        <f>IF(OR(N395="",O395=""),"",N395/O395-1)</f>
        <v/>
      </c>
      <c r="Q395" s="27">
        <f>IF(N395="","",N395/12)</f>
        <v/>
      </c>
      <c r="R395" s="27">
        <f>IF(N395="","",N395/IF(Baux!$L$34="Mensuelle",12,IF(Baux!$L$34="Trimestrielle",4,IF(Baux!$L$34="Semestrielle",2,1))))</f>
        <v/>
      </c>
      <c r="S395" s="27">
        <f>IF(AD395=0,"",IF(Baux!$J$34="",0,Baux!$J$34)/IF(Baux!$L$34="Mensuelle",12,IF(Baux!$L$34="Trimestrielle",4,IF(Baux!$L$34="Semestrielle",2,1))))</f>
        <v/>
      </c>
      <c r="T395" s="27">
        <f>IF(R395="","",(R395+S395)*Baux!$K$34/100)</f>
        <v/>
      </c>
      <c r="U395" s="27">
        <f>IF(R395="","",R395+S395+T395)</f>
        <v/>
      </c>
      <c r="V395" s="17">
        <f>IF(AD395=0,"",IF(LEFT(K395,5)="Geler","❄ Gelée",IF(G395="",IF(D395&lt;=TODAY(),"⚠ Indice attendu","À venir"),IF(D395&lt;=TODAY(),"✔ Calculable","Indice connu – à venir"))))</f>
        <v/>
      </c>
      <c r="W395" s="29" t="n"/>
      <c r="X395" s="13" t="n"/>
      <c r="Y395" s="14" t="n"/>
      <c r="Z395" s="14" t="n"/>
      <c r="AA395" s="13" t="n"/>
      <c r="AB395" s="17">
        <f>IF(A395="","",A395&amp;"#"&amp;C395)</f>
        <v/>
      </c>
      <c r="AC395" s="17">
        <f>IF(AND(AD395=1,D395&lt;=TODAY(),N395&lt;&gt;""),1,0)</f>
        <v/>
      </c>
      <c r="AD395" s="17">
        <f>IF(OR(A395="",D395=""),0,IF(AND(ISNUMBER(Baux!$H$34),D395&gt;Baux!$H$34),0,1))</f>
        <v/>
      </c>
    </row>
    <row r="396">
      <c r="A396" s="17">
        <f>IF(Baux!$A$34="","",Baux!$A$34)</f>
        <v/>
      </c>
      <c r="B396" s="17">
        <f>IF(A396="","",Baux!$B$34)</f>
        <v/>
      </c>
      <c r="C396" s="17" t="n">
        <v>11</v>
      </c>
      <c r="D396" s="15">
        <f>IF(OR(A396="",Baux!$F$34="",Baux!$O$34=""),"",EDATE(Baux!$F$34,12*Baux!$O$34*C396))</f>
        <v/>
      </c>
      <c r="E396" s="17">
        <f>IF(AD396=0,"",Baux!$M$34)</f>
        <v/>
      </c>
      <c r="F396" s="17">
        <f>IF(AD396=0,"",IFERROR(TEXT(VALUE(LEFT(Baux!$N$34,4))+C396*Baux!$O$34,"0")&amp;RIGHT(Baux!$N$34,3),""))</f>
        <v/>
      </c>
      <c r="G396" s="25">
        <f>IF(AD396=0,"",IF(F396="","",IF(SUMIFS(Indices_long!$C:$C,Indices_long!$A:$A,E396,Indices_long!$B:$B,F396)=0,"",SUMIFS(Indices_long!$C:$C,Indices_long!$A:$A,E396,Indices_long!$B:$B,F396))))</f>
        <v/>
      </c>
      <c r="H396" s="17">
        <f>IF(AD396=0,"",IF(Baux!$P$34="Base fixe",Baux!$N$34,IF(K395="Geler – rattrapage possible",H395,F395)))</f>
        <v/>
      </c>
      <c r="I396" s="25">
        <f>IF(AD396=0,"",IF(H396="","",IF(SUMIFS(Indices_long!$C:$C,Indices_long!$A:$A,E396,Indices_long!$B:$B,H396)=0,"",SUMIFS(Indices_long!$C:$C,Indices_long!$A:$A,E396,Indices_long!$B:$B,H396))))</f>
        <v/>
      </c>
      <c r="J396" s="26">
        <f>IF(OR(G396="",I396=""),"",G396/I396)</f>
        <v/>
      </c>
      <c r="K396" s="13" t="n"/>
      <c r="L396" s="27">
        <f>IF(AD396=0,"",IF(Baux!$P$34="Base fixe",Baux!$I$34,N395))</f>
        <v/>
      </c>
      <c r="M396" s="27">
        <f>IF(OR(J396="",L396=""),"",ROUND(L396*J396,2))</f>
        <v/>
      </c>
      <c r="N396" s="27">
        <f>IF(AD396=0,"",IF(LEFT(K396,5)="Geler",O396,IF(M396="","",IF(Baux!$Q$34="",M396,MIN(M396,ROUND(L396*(1+Baux!$Q$34/100)^IF(Baux!$P$34="Base fixe",C396*Baux!$O$34,VALUE(LEFT(F396,4))-VALUE(LEFT(H396,4))),2))))))</f>
        <v/>
      </c>
      <c r="O396" s="27">
        <f>IF(AD396=0,"",N395)</f>
        <v/>
      </c>
      <c r="P396" s="28">
        <f>IF(OR(N396="",O396=""),"",N396/O396-1)</f>
        <v/>
      </c>
      <c r="Q396" s="27">
        <f>IF(N396="","",N396/12)</f>
        <v/>
      </c>
      <c r="R396" s="27">
        <f>IF(N396="","",N396/IF(Baux!$L$34="Mensuelle",12,IF(Baux!$L$34="Trimestrielle",4,IF(Baux!$L$34="Semestrielle",2,1))))</f>
        <v/>
      </c>
      <c r="S396" s="27">
        <f>IF(AD396=0,"",IF(Baux!$J$34="",0,Baux!$J$34)/IF(Baux!$L$34="Mensuelle",12,IF(Baux!$L$34="Trimestrielle",4,IF(Baux!$L$34="Semestrielle",2,1))))</f>
        <v/>
      </c>
      <c r="T396" s="27">
        <f>IF(R396="","",(R396+S396)*Baux!$K$34/100)</f>
        <v/>
      </c>
      <c r="U396" s="27">
        <f>IF(R396="","",R396+S396+T396)</f>
        <v/>
      </c>
      <c r="V396" s="17">
        <f>IF(AD396=0,"",IF(LEFT(K396,5)="Geler","❄ Gelée",IF(G396="",IF(D396&lt;=TODAY(),"⚠ Indice attendu","À venir"),IF(D396&lt;=TODAY(),"✔ Calculable","Indice connu – à venir"))))</f>
        <v/>
      </c>
      <c r="W396" s="29" t="n"/>
      <c r="X396" s="13" t="n"/>
      <c r="Y396" s="14" t="n"/>
      <c r="Z396" s="14" t="n"/>
      <c r="AA396" s="13" t="n"/>
      <c r="AB396" s="17">
        <f>IF(A396="","",A396&amp;"#"&amp;C396)</f>
        <v/>
      </c>
      <c r="AC396" s="17">
        <f>IF(AND(AD396=1,D396&lt;=TODAY(),N396&lt;&gt;""),1,0)</f>
        <v/>
      </c>
      <c r="AD396" s="17">
        <f>IF(OR(A396="",D396=""),0,IF(AND(ISNUMBER(Baux!$H$34),D396&gt;Baux!$H$34),0,1))</f>
        <v/>
      </c>
    </row>
    <row r="397">
      <c r="A397" s="17">
        <f>IF(Baux!$A$34="","",Baux!$A$34)</f>
        <v/>
      </c>
      <c r="B397" s="17">
        <f>IF(A397="","",Baux!$B$34)</f>
        <v/>
      </c>
      <c r="C397" s="17" t="n">
        <v>12</v>
      </c>
      <c r="D397" s="15">
        <f>IF(OR(A397="",Baux!$F$34="",Baux!$O$34=""),"",EDATE(Baux!$F$34,12*Baux!$O$34*C397))</f>
        <v/>
      </c>
      <c r="E397" s="17">
        <f>IF(AD397=0,"",Baux!$M$34)</f>
        <v/>
      </c>
      <c r="F397" s="17">
        <f>IF(AD397=0,"",IFERROR(TEXT(VALUE(LEFT(Baux!$N$34,4))+C397*Baux!$O$34,"0")&amp;RIGHT(Baux!$N$34,3),""))</f>
        <v/>
      </c>
      <c r="G397" s="25">
        <f>IF(AD397=0,"",IF(F397="","",IF(SUMIFS(Indices_long!$C:$C,Indices_long!$A:$A,E397,Indices_long!$B:$B,F397)=0,"",SUMIFS(Indices_long!$C:$C,Indices_long!$A:$A,E397,Indices_long!$B:$B,F397))))</f>
        <v/>
      </c>
      <c r="H397" s="17">
        <f>IF(AD397=0,"",IF(Baux!$P$34="Base fixe",Baux!$N$34,IF(K396="Geler – rattrapage possible",H396,F396)))</f>
        <v/>
      </c>
      <c r="I397" s="25">
        <f>IF(AD397=0,"",IF(H397="","",IF(SUMIFS(Indices_long!$C:$C,Indices_long!$A:$A,E397,Indices_long!$B:$B,H397)=0,"",SUMIFS(Indices_long!$C:$C,Indices_long!$A:$A,E397,Indices_long!$B:$B,H397))))</f>
        <v/>
      </c>
      <c r="J397" s="26">
        <f>IF(OR(G397="",I397=""),"",G397/I397)</f>
        <v/>
      </c>
      <c r="K397" s="13" t="n"/>
      <c r="L397" s="27">
        <f>IF(AD397=0,"",IF(Baux!$P$34="Base fixe",Baux!$I$34,N396))</f>
        <v/>
      </c>
      <c r="M397" s="27">
        <f>IF(OR(J397="",L397=""),"",ROUND(L397*J397,2))</f>
        <v/>
      </c>
      <c r="N397" s="27">
        <f>IF(AD397=0,"",IF(LEFT(K397,5)="Geler",O397,IF(M397="","",IF(Baux!$Q$34="",M397,MIN(M397,ROUND(L397*(1+Baux!$Q$34/100)^IF(Baux!$P$34="Base fixe",C397*Baux!$O$34,VALUE(LEFT(F397,4))-VALUE(LEFT(H397,4))),2))))))</f>
        <v/>
      </c>
      <c r="O397" s="27">
        <f>IF(AD397=0,"",N396)</f>
        <v/>
      </c>
      <c r="P397" s="28">
        <f>IF(OR(N397="",O397=""),"",N397/O397-1)</f>
        <v/>
      </c>
      <c r="Q397" s="27">
        <f>IF(N397="","",N397/12)</f>
        <v/>
      </c>
      <c r="R397" s="27">
        <f>IF(N397="","",N397/IF(Baux!$L$34="Mensuelle",12,IF(Baux!$L$34="Trimestrielle",4,IF(Baux!$L$34="Semestrielle",2,1))))</f>
        <v/>
      </c>
      <c r="S397" s="27">
        <f>IF(AD397=0,"",IF(Baux!$J$34="",0,Baux!$J$34)/IF(Baux!$L$34="Mensuelle",12,IF(Baux!$L$34="Trimestrielle",4,IF(Baux!$L$34="Semestrielle",2,1))))</f>
        <v/>
      </c>
      <c r="T397" s="27">
        <f>IF(R397="","",(R397+S397)*Baux!$K$34/100)</f>
        <v/>
      </c>
      <c r="U397" s="27">
        <f>IF(R397="","",R397+S397+T397)</f>
        <v/>
      </c>
      <c r="V397" s="17">
        <f>IF(AD397=0,"",IF(LEFT(K397,5)="Geler","❄ Gelée",IF(G397="",IF(D397&lt;=TODAY(),"⚠ Indice attendu","À venir"),IF(D397&lt;=TODAY(),"✔ Calculable","Indice connu – à venir"))))</f>
        <v/>
      </c>
      <c r="W397" s="29" t="n"/>
      <c r="X397" s="13" t="n"/>
      <c r="Y397" s="14" t="n"/>
      <c r="Z397" s="14" t="n"/>
      <c r="AA397" s="13" t="n"/>
      <c r="AB397" s="17">
        <f>IF(A397="","",A397&amp;"#"&amp;C397)</f>
        <v/>
      </c>
      <c r="AC397" s="17">
        <f>IF(AND(AD397=1,D397&lt;=TODAY(),N397&lt;&gt;""),1,0)</f>
        <v/>
      </c>
      <c r="AD397" s="17">
        <f>IF(OR(A397="",D397=""),0,IF(AND(ISNUMBER(Baux!$H$34),D397&gt;Baux!$H$34),0,1))</f>
        <v/>
      </c>
    </row>
    <row r="398">
      <c r="A398" s="17">
        <f>IF(Baux!$A$35="","",Baux!$A$35)</f>
        <v/>
      </c>
      <c r="B398" s="17">
        <f>IF(A398="","",Baux!$B$35)</f>
        <v/>
      </c>
      <c r="C398" s="17" t="n">
        <v>1</v>
      </c>
      <c r="D398" s="15">
        <f>IF(OR(A398="",Baux!$F$35="",Baux!$O$35=""),"",EDATE(Baux!$F$35,12*Baux!$O$35*C398))</f>
        <v/>
      </c>
      <c r="E398" s="17">
        <f>IF(AD398=0,"",Baux!$M$35)</f>
        <v/>
      </c>
      <c r="F398" s="17">
        <f>IF(AD398=0,"",IFERROR(TEXT(VALUE(LEFT(Baux!$N$35,4))+C398*Baux!$O$35,"0")&amp;RIGHT(Baux!$N$35,3),""))</f>
        <v/>
      </c>
      <c r="G398" s="25">
        <f>IF(AD398=0,"",IF(F398="","",IF(SUMIFS(Indices_long!$C:$C,Indices_long!$A:$A,E398,Indices_long!$B:$B,F398)=0,"",SUMIFS(Indices_long!$C:$C,Indices_long!$A:$A,E398,Indices_long!$B:$B,F398))))</f>
        <v/>
      </c>
      <c r="H398" s="17">
        <f>IF(AD398=0,"",Baux!$N$35)</f>
        <v/>
      </c>
      <c r="I398" s="25">
        <f>IF(AD398=0,"",IF(H398="","",IF(SUMIFS(Indices_long!$C:$C,Indices_long!$A:$A,E398,Indices_long!$B:$B,H398)=0,"",SUMIFS(Indices_long!$C:$C,Indices_long!$A:$A,E398,Indices_long!$B:$B,H398))))</f>
        <v/>
      </c>
      <c r="J398" s="26">
        <f>IF(OR(G398="",I398=""),"",G398/I398)</f>
        <v/>
      </c>
      <c r="K398" s="13" t="n"/>
      <c r="L398" s="27">
        <f>IF(AD398=0,"",Baux!$I$35)</f>
        <v/>
      </c>
      <c r="M398" s="27">
        <f>IF(OR(J398="",L398=""),"",ROUND(L398*J398,2))</f>
        <v/>
      </c>
      <c r="N398" s="27">
        <f>IF(AD398=0,"",IF(LEFT(K398,5)="Geler",O398,IF(M398="","",IF(Baux!$Q$35="",M398,MIN(M398,ROUND(L398*(1+Baux!$Q$35/100)^IF(Baux!$P$35="Base fixe",C398*Baux!$O$35,VALUE(LEFT(F398,4))-VALUE(LEFT(H398,4))),2))))))</f>
        <v/>
      </c>
      <c r="O398" s="27">
        <f>IF(AD398=0,"",Baux!$I$35)</f>
        <v/>
      </c>
      <c r="P398" s="28">
        <f>IF(OR(N398="",O398=""),"",N398/O398-1)</f>
        <v/>
      </c>
      <c r="Q398" s="27">
        <f>IF(N398="","",N398/12)</f>
        <v/>
      </c>
      <c r="R398" s="27">
        <f>IF(N398="","",N398/IF(Baux!$L$35="Mensuelle",12,IF(Baux!$L$35="Trimestrielle",4,IF(Baux!$L$35="Semestrielle",2,1))))</f>
        <v/>
      </c>
      <c r="S398" s="27">
        <f>IF(AD398=0,"",IF(Baux!$J$35="",0,Baux!$J$35)/IF(Baux!$L$35="Mensuelle",12,IF(Baux!$L$35="Trimestrielle",4,IF(Baux!$L$35="Semestrielle",2,1))))</f>
        <v/>
      </c>
      <c r="T398" s="27">
        <f>IF(R398="","",(R398+S398)*Baux!$K$35/100)</f>
        <v/>
      </c>
      <c r="U398" s="27">
        <f>IF(R398="","",R398+S398+T398)</f>
        <v/>
      </c>
      <c r="V398" s="17">
        <f>IF(AD398=0,"",IF(LEFT(K398,5)="Geler","❄ Gelée",IF(G398="",IF(D398&lt;=TODAY(),"⚠ Indice attendu","À venir"),IF(D398&lt;=TODAY(),"✔ Calculable","Indice connu – à venir"))))</f>
        <v/>
      </c>
      <c r="W398" s="29" t="n"/>
      <c r="X398" s="13" t="n"/>
      <c r="Y398" s="14" t="n"/>
      <c r="Z398" s="14" t="n"/>
      <c r="AA398" s="13" t="n"/>
      <c r="AB398" s="17">
        <f>IF(A398="","",A398&amp;"#"&amp;C398)</f>
        <v/>
      </c>
      <c r="AC398" s="17">
        <f>IF(AND(AD398=1,D398&lt;=TODAY(),N398&lt;&gt;""),1,0)</f>
        <v/>
      </c>
      <c r="AD398" s="17">
        <f>IF(OR(A398="",D398=""),0,IF(AND(ISNUMBER(Baux!$H$35),D398&gt;Baux!$H$35),0,1))</f>
        <v/>
      </c>
    </row>
    <row r="399">
      <c r="A399" s="17">
        <f>IF(Baux!$A$35="","",Baux!$A$35)</f>
        <v/>
      </c>
      <c r="B399" s="17">
        <f>IF(A399="","",Baux!$B$35)</f>
        <v/>
      </c>
      <c r="C399" s="17" t="n">
        <v>2</v>
      </c>
      <c r="D399" s="15">
        <f>IF(OR(A399="",Baux!$F$35="",Baux!$O$35=""),"",EDATE(Baux!$F$35,12*Baux!$O$35*C399))</f>
        <v/>
      </c>
      <c r="E399" s="17">
        <f>IF(AD399=0,"",Baux!$M$35)</f>
        <v/>
      </c>
      <c r="F399" s="17">
        <f>IF(AD399=0,"",IFERROR(TEXT(VALUE(LEFT(Baux!$N$35,4))+C399*Baux!$O$35,"0")&amp;RIGHT(Baux!$N$35,3),""))</f>
        <v/>
      </c>
      <c r="G399" s="25">
        <f>IF(AD399=0,"",IF(F399="","",IF(SUMIFS(Indices_long!$C:$C,Indices_long!$A:$A,E399,Indices_long!$B:$B,F399)=0,"",SUMIFS(Indices_long!$C:$C,Indices_long!$A:$A,E399,Indices_long!$B:$B,F399))))</f>
        <v/>
      </c>
      <c r="H399" s="17">
        <f>IF(AD399=0,"",IF(Baux!$P$35="Base fixe",Baux!$N$35,IF(K398="Geler – rattrapage possible",H398,F398)))</f>
        <v/>
      </c>
      <c r="I399" s="25">
        <f>IF(AD399=0,"",IF(H399="","",IF(SUMIFS(Indices_long!$C:$C,Indices_long!$A:$A,E399,Indices_long!$B:$B,H399)=0,"",SUMIFS(Indices_long!$C:$C,Indices_long!$A:$A,E399,Indices_long!$B:$B,H399))))</f>
        <v/>
      </c>
      <c r="J399" s="26">
        <f>IF(OR(G399="",I399=""),"",G399/I399)</f>
        <v/>
      </c>
      <c r="K399" s="13" t="n"/>
      <c r="L399" s="27">
        <f>IF(AD399=0,"",IF(Baux!$P$35="Base fixe",Baux!$I$35,N398))</f>
        <v/>
      </c>
      <c r="M399" s="27">
        <f>IF(OR(J399="",L399=""),"",ROUND(L399*J399,2))</f>
        <v/>
      </c>
      <c r="N399" s="27">
        <f>IF(AD399=0,"",IF(LEFT(K399,5)="Geler",O399,IF(M399="","",IF(Baux!$Q$35="",M399,MIN(M399,ROUND(L399*(1+Baux!$Q$35/100)^IF(Baux!$P$35="Base fixe",C399*Baux!$O$35,VALUE(LEFT(F399,4))-VALUE(LEFT(H399,4))),2))))))</f>
        <v/>
      </c>
      <c r="O399" s="27">
        <f>IF(AD399=0,"",N398)</f>
        <v/>
      </c>
      <c r="P399" s="28">
        <f>IF(OR(N399="",O399=""),"",N399/O399-1)</f>
        <v/>
      </c>
      <c r="Q399" s="27">
        <f>IF(N399="","",N399/12)</f>
        <v/>
      </c>
      <c r="R399" s="27">
        <f>IF(N399="","",N399/IF(Baux!$L$35="Mensuelle",12,IF(Baux!$L$35="Trimestrielle",4,IF(Baux!$L$35="Semestrielle",2,1))))</f>
        <v/>
      </c>
      <c r="S399" s="27">
        <f>IF(AD399=0,"",IF(Baux!$J$35="",0,Baux!$J$35)/IF(Baux!$L$35="Mensuelle",12,IF(Baux!$L$35="Trimestrielle",4,IF(Baux!$L$35="Semestrielle",2,1))))</f>
        <v/>
      </c>
      <c r="T399" s="27">
        <f>IF(R399="","",(R399+S399)*Baux!$K$35/100)</f>
        <v/>
      </c>
      <c r="U399" s="27">
        <f>IF(R399="","",R399+S399+T399)</f>
        <v/>
      </c>
      <c r="V399" s="17">
        <f>IF(AD399=0,"",IF(LEFT(K399,5)="Geler","❄ Gelée",IF(G399="",IF(D399&lt;=TODAY(),"⚠ Indice attendu","À venir"),IF(D399&lt;=TODAY(),"✔ Calculable","Indice connu – à venir"))))</f>
        <v/>
      </c>
      <c r="W399" s="29" t="n"/>
      <c r="X399" s="13" t="n"/>
      <c r="Y399" s="14" t="n"/>
      <c r="Z399" s="14" t="n"/>
      <c r="AA399" s="13" t="n"/>
      <c r="AB399" s="17">
        <f>IF(A399="","",A399&amp;"#"&amp;C399)</f>
        <v/>
      </c>
      <c r="AC399" s="17">
        <f>IF(AND(AD399=1,D399&lt;=TODAY(),N399&lt;&gt;""),1,0)</f>
        <v/>
      </c>
      <c r="AD399" s="17">
        <f>IF(OR(A399="",D399=""),0,IF(AND(ISNUMBER(Baux!$H$35),D399&gt;Baux!$H$35),0,1))</f>
        <v/>
      </c>
    </row>
    <row r="400">
      <c r="A400" s="17">
        <f>IF(Baux!$A$35="","",Baux!$A$35)</f>
        <v/>
      </c>
      <c r="B400" s="17">
        <f>IF(A400="","",Baux!$B$35)</f>
        <v/>
      </c>
      <c r="C400" s="17" t="n">
        <v>3</v>
      </c>
      <c r="D400" s="15">
        <f>IF(OR(A400="",Baux!$F$35="",Baux!$O$35=""),"",EDATE(Baux!$F$35,12*Baux!$O$35*C400))</f>
        <v/>
      </c>
      <c r="E400" s="17">
        <f>IF(AD400=0,"",Baux!$M$35)</f>
        <v/>
      </c>
      <c r="F400" s="17">
        <f>IF(AD400=0,"",IFERROR(TEXT(VALUE(LEFT(Baux!$N$35,4))+C400*Baux!$O$35,"0")&amp;RIGHT(Baux!$N$35,3),""))</f>
        <v/>
      </c>
      <c r="G400" s="25">
        <f>IF(AD400=0,"",IF(F400="","",IF(SUMIFS(Indices_long!$C:$C,Indices_long!$A:$A,E400,Indices_long!$B:$B,F400)=0,"",SUMIFS(Indices_long!$C:$C,Indices_long!$A:$A,E400,Indices_long!$B:$B,F400))))</f>
        <v/>
      </c>
      <c r="H400" s="17">
        <f>IF(AD400=0,"",IF(Baux!$P$35="Base fixe",Baux!$N$35,IF(K399="Geler – rattrapage possible",H399,F399)))</f>
        <v/>
      </c>
      <c r="I400" s="25">
        <f>IF(AD400=0,"",IF(H400="","",IF(SUMIFS(Indices_long!$C:$C,Indices_long!$A:$A,E400,Indices_long!$B:$B,H400)=0,"",SUMIFS(Indices_long!$C:$C,Indices_long!$A:$A,E400,Indices_long!$B:$B,H400))))</f>
        <v/>
      </c>
      <c r="J400" s="26">
        <f>IF(OR(G400="",I400=""),"",G400/I400)</f>
        <v/>
      </c>
      <c r="K400" s="13" t="n"/>
      <c r="L400" s="27">
        <f>IF(AD400=0,"",IF(Baux!$P$35="Base fixe",Baux!$I$35,N399))</f>
        <v/>
      </c>
      <c r="M400" s="27">
        <f>IF(OR(J400="",L400=""),"",ROUND(L400*J400,2))</f>
        <v/>
      </c>
      <c r="N400" s="27">
        <f>IF(AD400=0,"",IF(LEFT(K400,5)="Geler",O400,IF(M400="","",IF(Baux!$Q$35="",M400,MIN(M400,ROUND(L400*(1+Baux!$Q$35/100)^IF(Baux!$P$35="Base fixe",C400*Baux!$O$35,VALUE(LEFT(F400,4))-VALUE(LEFT(H400,4))),2))))))</f>
        <v/>
      </c>
      <c r="O400" s="27">
        <f>IF(AD400=0,"",N399)</f>
        <v/>
      </c>
      <c r="P400" s="28">
        <f>IF(OR(N400="",O400=""),"",N400/O400-1)</f>
        <v/>
      </c>
      <c r="Q400" s="27">
        <f>IF(N400="","",N400/12)</f>
        <v/>
      </c>
      <c r="R400" s="27">
        <f>IF(N400="","",N400/IF(Baux!$L$35="Mensuelle",12,IF(Baux!$L$35="Trimestrielle",4,IF(Baux!$L$35="Semestrielle",2,1))))</f>
        <v/>
      </c>
      <c r="S400" s="27">
        <f>IF(AD400=0,"",IF(Baux!$J$35="",0,Baux!$J$35)/IF(Baux!$L$35="Mensuelle",12,IF(Baux!$L$35="Trimestrielle",4,IF(Baux!$L$35="Semestrielle",2,1))))</f>
        <v/>
      </c>
      <c r="T400" s="27">
        <f>IF(R400="","",(R400+S400)*Baux!$K$35/100)</f>
        <v/>
      </c>
      <c r="U400" s="27">
        <f>IF(R400="","",R400+S400+T400)</f>
        <v/>
      </c>
      <c r="V400" s="17">
        <f>IF(AD400=0,"",IF(LEFT(K400,5)="Geler","❄ Gelée",IF(G400="",IF(D400&lt;=TODAY(),"⚠ Indice attendu","À venir"),IF(D400&lt;=TODAY(),"✔ Calculable","Indice connu – à venir"))))</f>
        <v/>
      </c>
      <c r="W400" s="29" t="n"/>
      <c r="X400" s="13" t="n"/>
      <c r="Y400" s="14" t="n"/>
      <c r="Z400" s="14" t="n"/>
      <c r="AA400" s="13" t="n"/>
      <c r="AB400" s="17">
        <f>IF(A400="","",A400&amp;"#"&amp;C400)</f>
        <v/>
      </c>
      <c r="AC400" s="17">
        <f>IF(AND(AD400=1,D400&lt;=TODAY(),N400&lt;&gt;""),1,0)</f>
        <v/>
      </c>
      <c r="AD400" s="17">
        <f>IF(OR(A400="",D400=""),0,IF(AND(ISNUMBER(Baux!$H$35),D400&gt;Baux!$H$35),0,1))</f>
        <v/>
      </c>
    </row>
    <row r="401">
      <c r="A401" s="17">
        <f>IF(Baux!$A$35="","",Baux!$A$35)</f>
        <v/>
      </c>
      <c r="B401" s="17">
        <f>IF(A401="","",Baux!$B$35)</f>
        <v/>
      </c>
      <c r="C401" s="17" t="n">
        <v>4</v>
      </c>
      <c r="D401" s="15">
        <f>IF(OR(A401="",Baux!$F$35="",Baux!$O$35=""),"",EDATE(Baux!$F$35,12*Baux!$O$35*C401))</f>
        <v/>
      </c>
      <c r="E401" s="17">
        <f>IF(AD401=0,"",Baux!$M$35)</f>
        <v/>
      </c>
      <c r="F401" s="17">
        <f>IF(AD401=0,"",IFERROR(TEXT(VALUE(LEFT(Baux!$N$35,4))+C401*Baux!$O$35,"0")&amp;RIGHT(Baux!$N$35,3),""))</f>
        <v/>
      </c>
      <c r="G401" s="25">
        <f>IF(AD401=0,"",IF(F401="","",IF(SUMIFS(Indices_long!$C:$C,Indices_long!$A:$A,E401,Indices_long!$B:$B,F401)=0,"",SUMIFS(Indices_long!$C:$C,Indices_long!$A:$A,E401,Indices_long!$B:$B,F401))))</f>
        <v/>
      </c>
      <c r="H401" s="17">
        <f>IF(AD401=0,"",IF(Baux!$P$35="Base fixe",Baux!$N$35,IF(K400="Geler – rattrapage possible",H400,F400)))</f>
        <v/>
      </c>
      <c r="I401" s="25">
        <f>IF(AD401=0,"",IF(H401="","",IF(SUMIFS(Indices_long!$C:$C,Indices_long!$A:$A,E401,Indices_long!$B:$B,H401)=0,"",SUMIFS(Indices_long!$C:$C,Indices_long!$A:$A,E401,Indices_long!$B:$B,H401))))</f>
        <v/>
      </c>
      <c r="J401" s="26">
        <f>IF(OR(G401="",I401=""),"",G401/I401)</f>
        <v/>
      </c>
      <c r="K401" s="13" t="n"/>
      <c r="L401" s="27">
        <f>IF(AD401=0,"",IF(Baux!$P$35="Base fixe",Baux!$I$35,N400))</f>
        <v/>
      </c>
      <c r="M401" s="27">
        <f>IF(OR(J401="",L401=""),"",ROUND(L401*J401,2))</f>
        <v/>
      </c>
      <c r="N401" s="27">
        <f>IF(AD401=0,"",IF(LEFT(K401,5)="Geler",O401,IF(M401="","",IF(Baux!$Q$35="",M401,MIN(M401,ROUND(L401*(1+Baux!$Q$35/100)^IF(Baux!$P$35="Base fixe",C401*Baux!$O$35,VALUE(LEFT(F401,4))-VALUE(LEFT(H401,4))),2))))))</f>
        <v/>
      </c>
      <c r="O401" s="27">
        <f>IF(AD401=0,"",N400)</f>
        <v/>
      </c>
      <c r="P401" s="28">
        <f>IF(OR(N401="",O401=""),"",N401/O401-1)</f>
        <v/>
      </c>
      <c r="Q401" s="27">
        <f>IF(N401="","",N401/12)</f>
        <v/>
      </c>
      <c r="R401" s="27">
        <f>IF(N401="","",N401/IF(Baux!$L$35="Mensuelle",12,IF(Baux!$L$35="Trimestrielle",4,IF(Baux!$L$35="Semestrielle",2,1))))</f>
        <v/>
      </c>
      <c r="S401" s="27">
        <f>IF(AD401=0,"",IF(Baux!$J$35="",0,Baux!$J$35)/IF(Baux!$L$35="Mensuelle",12,IF(Baux!$L$35="Trimestrielle",4,IF(Baux!$L$35="Semestrielle",2,1))))</f>
        <v/>
      </c>
      <c r="T401" s="27">
        <f>IF(R401="","",(R401+S401)*Baux!$K$35/100)</f>
        <v/>
      </c>
      <c r="U401" s="27">
        <f>IF(R401="","",R401+S401+T401)</f>
        <v/>
      </c>
      <c r="V401" s="17">
        <f>IF(AD401=0,"",IF(LEFT(K401,5)="Geler","❄ Gelée",IF(G401="",IF(D401&lt;=TODAY(),"⚠ Indice attendu","À venir"),IF(D401&lt;=TODAY(),"✔ Calculable","Indice connu – à venir"))))</f>
        <v/>
      </c>
      <c r="W401" s="29" t="n"/>
      <c r="X401" s="13" t="n"/>
      <c r="Y401" s="14" t="n"/>
      <c r="Z401" s="14" t="n"/>
      <c r="AA401" s="13" t="n"/>
      <c r="AB401" s="17">
        <f>IF(A401="","",A401&amp;"#"&amp;C401)</f>
        <v/>
      </c>
      <c r="AC401" s="17">
        <f>IF(AND(AD401=1,D401&lt;=TODAY(),N401&lt;&gt;""),1,0)</f>
        <v/>
      </c>
      <c r="AD401" s="17">
        <f>IF(OR(A401="",D401=""),0,IF(AND(ISNUMBER(Baux!$H$35),D401&gt;Baux!$H$35),0,1))</f>
        <v/>
      </c>
    </row>
    <row r="402">
      <c r="A402" s="17">
        <f>IF(Baux!$A$35="","",Baux!$A$35)</f>
        <v/>
      </c>
      <c r="B402" s="17">
        <f>IF(A402="","",Baux!$B$35)</f>
        <v/>
      </c>
      <c r="C402" s="17" t="n">
        <v>5</v>
      </c>
      <c r="D402" s="15">
        <f>IF(OR(A402="",Baux!$F$35="",Baux!$O$35=""),"",EDATE(Baux!$F$35,12*Baux!$O$35*C402))</f>
        <v/>
      </c>
      <c r="E402" s="17">
        <f>IF(AD402=0,"",Baux!$M$35)</f>
        <v/>
      </c>
      <c r="F402" s="17">
        <f>IF(AD402=0,"",IFERROR(TEXT(VALUE(LEFT(Baux!$N$35,4))+C402*Baux!$O$35,"0")&amp;RIGHT(Baux!$N$35,3),""))</f>
        <v/>
      </c>
      <c r="G402" s="25">
        <f>IF(AD402=0,"",IF(F402="","",IF(SUMIFS(Indices_long!$C:$C,Indices_long!$A:$A,E402,Indices_long!$B:$B,F402)=0,"",SUMIFS(Indices_long!$C:$C,Indices_long!$A:$A,E402,Indices_long!$B:$B,F402))))</f>
        <v/>
      </c>
      <c r="H402" s="17">
        <f>IF(AD402=0,"",IF(Baux!$P$35="Base fixe",Baux!$N$35,IF(K401="Geler – rattrapage possible",H401,F401)))</f>
        <v/>
      </c>
      <c r="I402" s="25">
        <f>IF(AD402=0,"",IF(H402="","",IF(SUMIFS(Indices_long!$C:$C,Indices_long!$A:$A,E402,Indices_long!$B:$B,H402)=0,"",SUMIFS(Indices_long!$C:$C,Indices_long!$A:$A,E402,Indices_long!$B:$B,H402))))</f>
        <v/>
      </c>
      <c r="J402" s="26">
        <f>IF(OR(G402="",I402=""),"",G402/I402)</f>
        <v/>
      </c>
      <c r="K402" s="13" t="n"/>
      <c r="L402" s="27">
        <f>IF(AD402=0,"",IF(Baux!$P$35="Base fixe",Baux!$I$35,N401))</f>
        <v/>
      </c>
      <c r="M402" s="27">
        <f>IF(OR(J402="",L402=""),"",ROUND(L402*J402,2))</f>
        <v/>
      </c>
      <c r="N402" s="27">
        <f>IF(AD402=0,"",IF(LEFT(K402,5)="Geler",O402,IF(M402="","",IF(Baux!$Q$35="",M402,MIN(M402,ROUND(L402*(1+Baux!$Q$35/100)^IF(Baux!$P$35="Base fixe",C402*Baux!$O$35,VALUE(LEFT(F402,4))-VALUE(LEFT(H402,4))),2))))))</f>
        <v/>
      </c>
      <c r="O402" s="27">
        <f>IF(AD402=0,"",N401)</f>
        <v/>
      </c>
      <c r="P402" s="28">
        <f>IF(OR(N402="",O402=""),"",N402/O402-1)</f>
        <v/>
      </c>
      <c r="Q402" s="27">
        <f>IF(N402="","",N402/12)</f>
        <v/>
      </c>
      <c r="R402" s="27">
        <f>IF(N402="","",N402/IF(Baux!$L$35="Mensuelle",12,IF(Baux!$L$35="Trimestrielle",4,IF(Baux!$L$35="Semestrielle",2,1))))</f>
        <v/>
      </c>
      <c r="S402" s="27">
        <f>IF(AD402=0,"",IF(Baux!$J$35="",0,Baux!$J$35)/IF(Baux!$L$35="Mensuelle",12,IF(Baux!$L$35="Trimestrielle",4,IF(Baux!$L$35="Semestrielle",2,1))))</f>
        <v/>
      </c>
      <c r="T402" s="27">
        <f>IF(R402="","",(R402+S402)*Baux!$K$35/100)</f>
        <v/>
      </c>
      <c r="U402" s="27">
        <f>IF(R402="","",R402+S402+T402)</f>
        <v/>
      </c>
      <c r="V402" s="17">
        <f>IF(AD402=0,"",IF(LEFT(K402,5)="Geler","❄ Gelée",IF(G402="",IF(D402&lt;=TODAY(),"⚠ Indice attendu","À venir"),IF(D402&lt;=TODAY(),"✔ Calculable","Indice connu – à venir"))))</f>
        <v/>
      </c>
      <c r="W402" s="29" t="n"/>
      <c r="X402" s="13" t="n"/>
      <c r="Y402" s="14" t="n"/>
      <c r="Z402" s="14" t="n"/>
      <c r="AA402" s="13" t="n"/>
      <c r="AB402" s="17">
        <f>IF(A402="","",A402&amp;"#"&amp;C402)</f>
        <v/>
      </c>
      <c r="AC402" s="17">
        <f>IF(AND(AD402=1,D402&lt;=TODAY(),N402&lt;&gt;""),1,0)</f>
        <v/>
      </c>
      <c r="AD402" s="17">
        <f>IF(OR(A402="",D402=""),0,IF(AND(ISNUMBER(Baux!$H$35),D402&gt;Baux!$H$35),0,1))</f>
        <v/>
      </c>
    </row>
    <row r="403">
      <c r="A403" s="17">
        <f>IF(Baux!$A$35="","",Baux!$A$35)</f>
        <v/>
      </c>
      <c r="B403" s="17">
        <f>IF(A403="","",Baux!$B$35)</f>
        <v/>
      </c>
      <c r="C403" s="17" t="n">
        <v>6</v>
      </c>
      <c r="D403" s="15">
        <f>IF(OR(A403="",Baux!$F$35="",Baux!$O$35=""),"",EDATE(Baux!$F$35,12*Baux!$O$35*C403))</f>
        <v/>
      </c>
      <c r="E403" s="17">
        <f>IF(AD403=0,"",Baux!$M$35)</f>
        <v/>
      </c>
      <c r="F403" s="17">
        <f>IF(AD403=0,"",IFERROR(TEXT(VALUE(LEFT(Baux!$N$35,4))+C403*Baux!$O$35,"0")&amp;RIGHT(Baux!$N$35,3),""))</f>
        <v/>
      </c>
      <c r="G403" s="25">
        <f>IF(AD403=0,"",IF(F403="","",IF(SUMIFS(Indices_long!$C:$C,Indices_long!$A:$A,E403,Indices_long!$B:$B,F403)=0,"",SUMIFS(Indices_long!$C:$C,Indices_long!$A:$A,E403,Indices_long!$B:$B,F403))))</f>
        <v/>
      </c>
      <c r="H403" s="17">
        <f>IF(AD403=0,"",IF(Baux!$P$35="Base fixe",Baux!$N$35,IF(K402="Geler – rattrapage possible",H402,F402)))</f>
        <v/>
      </c>
      <c r="I403" s="25">
        <f>IF(AD403=0,"",IF(H403="","",IF(SUMIFS(Indices_long!$C:$C,Indices_long!$A:$A,E403,Indices_long!$B:$B,H403)=0,"",SUMIFS(Indices_long!$C:$C,Indices_long!$A:$A,E403,Indices_long!$B:$B,H403))))</f>
        <v/>
      </c>
      <c r="J403" s="26">
        <f>IF(OR(G403="",I403=""),"",G403/I403)</f>
        <v/>
      </c>
      <c r="K403" s="13" t="n"/>
      <c r="L403" s="27">
        <f>IF(AD403=0,"",IF(Baux!$P$35="Base fixe",Baux!$I$35,N402))</f>
        <v/>
      </c>
      <c r="M403" s="27">
        <f>IF(OR(J403="",L403=""),"",ROUND(L403*J403,2))</f>
        <v/>
      </c>
      <c r="N403" s="27">
        <f>IF(AD403=0,"",IF(LEFT(K403,5)="Geler",O403,IF(M403="","",IF(Baux!$Q$35="",M403,MIN(M403,ROUND(L403*(1+Baux!$Q$35/100)^IF(Baux!$P$35="Base fixe",C403*Baux!$O$35,VALUE(LEFT(F403,4))-VALUE(LEFT(H403,4))),2))))))</f>
        <v/>
      </c>
      <c r="O403" s="27">
        <f>IF(AD403=0,"",N402)</f>
        <v/>
      </c>
      <c r="P403" s="28">
        <f>IF(OR(N403="",O403=""),"",N403/O403-1)</f>
        <v/>
      </c>
      <c r="Q403" s="27">
        <f>IF(N403="","",N403/12)</f>
        <v/>
      </c>
      <c r="R403" s="27">
        <f>IF(N403="","",N403/IF(Baux!$L$35="Mensuelle",12,IF(Baux!$L$35="Trimestrielle",4,IF(Baux!$L$35="Semestrielle",2,1))))</f>
        <v/>
      </c>
      <c r="S403" s="27">
        <f>IF(AD403=0,"",IF(Baux!$J$35="",0,Baux!$J$35)/IF(Baux!$L$35="Mensuelle",12,IF(Baux!$L$35="Trimestrielle",4,IF(Baux!$L$35="Semestrielle",2,1))))</f>
        <v/>
      </c>
      <c r="T403" s="27">
        <f>IF(R403="","",(R403+S403)*Baux!$K$35/100)</f>
        <v/>
      </c>
      <c r="U403" s="27">
        <f>IF(R403="","",R403+S403+T403)</f>
        <v/>
      </c>
      <c r="V403" s="17">
        <f>IF(AD403=0,"",IF(LEFT(K403,5)="Geler","❄ Gelée",IF(G403="",IF(D403&lt;=TODAY(),"⚠ Indice attendu","À venir"),IF(D403&lt;=TODAY(),"✔ Calculable","Indice connu – à venir"))))</f>
        <v/>
      </c>
      <c r="W403" s="29" t="n"/>
      <c r="X403" s="13" t="n"/>
      <c r="Y403" s="14" t="n"/>
      <c r="Z403" s="14" t="n"/>
      <c r="AA403" s="13" t="n"/>
      <c r="AB403" s="17">
        <f>IF(A403="","",A403&amp;"#"&amp;C403)</f>
        <v/>
      </c>
      <c r="AC403" s="17">
        <f>IF(AND(AD403=1,D403&lt;=TODAY(),N403&lt;&gt;""),1,0)</f>
        <v/>
      </c>
      <c r="AD403" s="17">
        <f>IF(OR(A403="",D403=""),0,IF(AND(ISNUMBER(Baux!$H$35),D403&gt;Baux!$H$35),0,1))</f>
        <v/>
      </c>
    </row>
    <row r="404">
      <c r="A404" s="17">
        <f>IF(Baux!$A$35="","",Baux!$A$35)</f>
        <v/>
      </c>
      <c r="B404" s="17">
        <f>IF(A404="","",Baux!$B$35)</f>
        <v/>
      </c>
      <c r="C404" s="17" t="n">
        <v>7</v>
      </c>
      <c r="D404" s="15">
        <f>IF(OR(A404="",Baux!$F$35="",Baux!$O$35=""),"",EDATE(Baux!$F$35,12*Baux!$O$35*C404))</f>
        <v/>
      </c>
      <c r="E404" s="17">
        <f>IF(AD404=0,"",Baux!$M$35)</f>
        <v/>
      </c>
      <c r="F404" s="17">
        <f>IF(AD404=0,"",IFERROR(TEXT(VALUE(LEFT(Baux!$N$35,4))+C404*Baux!$O$35,"0")&amp;RIGHT(Baux!$N$35,3),""))</f>
        <v/>
      </c>
      <c r="G404" s="25">
        <f>IF(AD404=0,"",IF(F404="","",IF(SUMIFS(Indices_long!$C:$C,Indices_long!$A:$A,E404,Indices_long!$B:$B,F404)=0,"",SUMIFS(Indices_long!$C:$C,Indices_long!$A:$A,E404,Indices_long!$B:$B,F404))))</f>
        <v/>
      </c>
      <c r="H404" s="17">
        <f>IF(AD404=0,"",IF(Baux!$P$35="Base fixe",Baux!$N$35,IF(K403="Geler – rattrapage possible",H403,F403)))</f>
        <v/>
      </c>
      <c r="I404" s="25">
        <f>IF(AD404=0,"",IF(H404="","",IF(SUMIFS(Indices_long!$C:$C,Indices_long!$A:$A,E404,Indices_long!$B:$B,H404)=0,"",SUMIFS(Indices_long!$C:$C,Indices_long!$A:$A,E404,Indices_long!$B:$B,H404))))</f>
        <v/>
      </c>
      <c r="J404" s="26">
        <f>IF(OR(G404="",I404=""),"",G404/I404)</f>
        <v/>
      </c>
      <c r="K404" s="13" t="n"/>
      <c r="L404" s="27">
        <f>IF(AD404=0,"",IF(Baux!$P$35="Base fixe",Baux!$I$35,N403))</f>
        <v/>
      </c>
      <c r="M404" s="27">
        <f>IF(OR(J404="",L404=""),"",ROUND(L404*J404,2))</f>
        <v/>
      </c>
      <c r="N404" s="27">
        <f>IF(AD404=0,"",IF(LEFT(K404,5)="Geler",O404,IF(M404="","",IF(Baux!$Q$35="",M404,MIN(M404,ROUND(L404*(1+Baux!$Q$35/100)^IF(Baux!$P$35="Base fixe",C404*Baux!$O$35,VALUE(LEFT(F404,4))-VALUE(LEFT(H404,4))),2))))))</f>
        <v/>
      </c>
      <c r="O404" s="27">
        <f>IF(AD404=0,"",N403)</f>
        <v/>
      </c>
      <c r="P404" s="28">
        <f>IF(OR(N404="",O404=""),"",N404/O404-1)</f>
        <v/>
      </c>
      <c r="Q404" s="27">
        <f>IF(N404="","",N404/12)</f>
        <v/>
      </c>
      <c r="R404" s="27">
        <f>IF(N404="","",N404/IF(Baux!$L$35="Mensuelle",12,IF(Baux!$L$35="Trimestrielle",4,IF(Baux!$L$35="Semestrielle",2,1))))</f>
        <v/>
      </c>
      <c r="S404" s="27">
        <f>IF(AD404=0,"",IF(Baux!$J$35="",0,Baux!$J$35)/IF(Baux!$L$35="Mensuelle",12,IF(Baux!$L$35="Trimestrielle",4,IF(Baux!$L$35="Semestrielle",2,1))))</f>
        <v/>
      </c>
      <c r="T404" s="27">
        <f>IF(R404="","",(R404+S404)*Baux!$K$35/100)</f>
        <v/>
      </c>
      <c r="U404" s="27">
        <f>IF(R404="","",R404+S404+T404)</f>
        <v/>
      </c>
      <c r="V404" s="17">
        <f>IF(AD404=0,"",IF(LEFT(K404,5)="Geler","❄ Gelée",IF(G404="",IF(D404&lt;=TODAY(),"⚠ Indice attendu","À venir"),IF(D404&lt;=TODAY(),"✔ Calculable","Indice connu – à venir"))))</f>
        <v/>
      </c>
      <c r="W404" s="29" t="n"/>
      <c r="X404" s="13" t="n"/>
      <c r="Y404" s="14" t="n"/>
      <c r="Z404" s="14" t="n"/>
      <c r="AA404" s="13" t="n"/>
      <c r="AB404" s="17">
        <f>IF(A404="","",A404&amp;"#"&amp;C404)</f>
        <v/>
      </c>
      <c r="AC404" s="17">
        <f>IF(AND(AD404=1,D404&lt;=TODAY(),N404&lt;&gt;""),1,0)</f>
        <v/>
      </c>
      <c r="AD404" s="17">
        <f>IF(OR(A404="",D404=""),0,IF(AND(ISNUMBER(Baux!$H$35),D404&gt;Baux!$H$35),0,1))</f>
        <v/>
      </c>
    </row>
    <row r="405">
      <c r="A405" s="17">
        <f>IF(Baux!$A$35="","",Baux!$A$35)</f>
        <v/>
      </c>
      <c r="B405" s="17">
        <f>IF(A405="","",Baux!$B$35)</f>
        <v/>
      </c>
      <c r="C405" s="17" t="n">
        <v>8</v>
      </c>
      <c r="D405" s="15">
        <f>IF(OR(A405="",Baux!$F$35="",Baux!$O$35=""),"",EDATE(Baux!$F$35,12*Baux!$O$35*C405))</f>
        <v/>
      </c>
      <c r="E405" s="17">
        <f>IF(AD405=0,"",Baux!$M$35)</f>
        <v/>
      </c>
      <c r="F405" s="17">
        <f>IF(AD405=0,"",IFERROR(TEXT(VALUE(LEFT(Baux!$N$35,4))+C405*Baux!$O$35,"0")&amp;RIGHT(Baux!$N$35,3),""))</f>
        <v/>
      </c>
      <c r="G405" s="25">
        <f>IF(AD405=0,"",IF(F405="","",IF(SUMIFS(Indices_long!$C:$C,Indices_long!$A:$A,E405,Indices_long!$B:$B,F405)=0,"",SUMIFS(Indices_long!$C:$C,Indices_long!$A:$A,E405,Indices_long!$B:$B,F405))))</f>
        <v/>
      </c>
      <c r="H405" s="17">
        <f>IF(AD405=0,"",IF(Baux!$P$35="Base fixe",Baux!$N$35,IF(K404="Geler – rattrapage possible",H404,F404)))</f>
        <v/>
      </c>
      <c r="I405" s="25">
        <f>IF(AD405=0,"",IF(H405="","",IF(SUMIFS(Indices_long!$C:$C,Indices_long!$A:$A,E405,Indices_long!$B:$B,H405)=0,"",SUMIFS(Indices_long!$C:$C,Indices_long!$A:$A,E405,Indices_long!$B:$B,H405))))</f>
        <v/>
      </c>
      <c r="J405" s="26">
        <f>IF(OR(G405="",I405=""),"",G405/I405)</f>
        <v/>
      </c>
      <c r="K405" s="13" t="n"/>
      <c r="L405" s="27">
        <f>IF(AD405=0,"",IF(Baux!$P$35="Base fixe",Baux!$I$35,N404))</f>
        <v/>
      </c>
      <c r="M405" s="27">
        <f>IF(OR(J405="",L405=""),"",ROUND(L405*J405,2))</f>
        <v/>
      </c>
      <c r="N405" s="27">
        <f>IF(AD405=0,"",IF(LEFT(K405,5)="Geler",O405,IF(M405="","",IF(Baux!$Q$35="",M405,MIN(M405,ROUND(L405*(1+Baux!$Q$35/100)^IF(Baux!$P$35="Base fixe",C405*Baux!$O$35,VALUE(LEFT(F405,4))-VALUE(LEFT(H405,4))),2))))))</f>
        <v/>
      </c>
      <c r="O405" s="27">
        <f>IF(AD405=0,"",N404)</f>
        <v/>
      </c>
      <c r="P405" s="28">
        <f>IF(OR(N405="",O405=""),"",N405/O405-1)</f>
        <v/>
      </c>
      <c r="Q405" s="27">
        <f>IF(N405="","",N405/12)</f>
        <v/>
      </c>
      <c r="R405" s="27">
        <f>IF(N405="","",N405/IF(Baux!$L$35="Mensuelle",12,IF(Baux!$L$35="Trimestrielle",4,IF(Baux!$L$35="Semestrielle",2,1))))</f>
        <v/>
      </c>
      <c r="S405" s="27">
        <f>IF(AD405=0,"",IF(Baux!$J$35="",0,Baux!$J$35)/IF(Baux!$L$35="Mensuelle",12,IF(Baux!$L$35="Trimestrielle",4,IF(Baux!$L$35="Semestrielle",2,1))))</f>
        <v/>
      </c>
      <c r="T405" s="27">
        <f>IF(R405="","",(R405+S405)*Baux!$K$35/100)</f>
        <v/>
      </c>
      <c r="U405" s="27">
        <f>IF(R405="","",R405+S405+T405)</f>
        <v/>
      </c>
      <c r="V405" s="17">
        <f>IF(AD405=0,"",IF(LEFT(K405,5)="Geler","❄ Gelée",IF(G405="",IF(D405&lt;=TODAY(),"⚠ Indice attendu","À venir"),IF(D405&lt;=TODAY(),"✔ Calculable","Indice connu – à venir"))))</f>
        <v/>
      </c>
      <c r="W405" s="29" t="n"/>
      <c r="X405" s="13" t="n"/>
      <c r="Y405" s="14" t="n"/>
      <c r="Z405" s="14" t="n"/>
      <c r="AA405" s="13" t="n"/>
      <c r="AB405" s="17">
        <f>IF(A405="","",A405&amp;"#"&amp;C405)</f>
        <v/>
      </c>
      <c r="AC405" s="17">
        <f>IF(AND(AD405=1,D405&lt;=TODAY(),N405&lt;&gt;""),1,0)</f>
        <v/>
      </c>
      <c r="AD405" s="17">
        <f>IF(OR(A405="",D405=""),0,IF(AND(ISNUMBER(Baux!$H$35),D405&gt;Baux!$H$35),0,1))</f>
        <v/>
      </c>
    </row>
    <row r="406">
      <c r="A406" s="17">
        <f>IF(Baux!$A$35="","",Baux!$A$35)</f>
        <v/>
      </c>
      <c r="B406" s="17">
        <f>IF(A406="","",Baux!$B$35)</f>
        <v/>
      </c>
      <c r="C406" s="17" t="n">
        <v>9</v>
      </c>
      <c r="D406" s="15">
        <f>IF(OR(A406="",Baux!$F$35="",Baux!$O$35=""),"",EDATE(Baux!$F$35,12*Baux!$O$35*C406))</f>
        <v/>
      </c>
      <c r="E406" s="17">
        <f>IF(AD406=0,"",Baux!$M$35)</f>
        <v/>
      </c>
      <c r="F406" s="17">
        <f>IF(AD406=0,"",IFERROR(TEXT(VALUE(LEFT(Baux!$N$35,4))+C406*Baux!$O$35,"0")&amp;RIGHT(Baux!$N$35,3),""))</f>
        <v/>
      </c>
      <c r="G406" s="25">
        <f>IF(AD406=0,"",IF(F406="","",IF(SUMIFS(Indices_long!$C:$C,Indices_long!$A:$A,E406,Indices_long!$B:$B,F406)=0,"",SUMIFS(Indices_long!$C:$C,Indices_long!$A:$A,E406,Indices_long!$B:$B,F406))))</f>
        <v/>
      </c>
      <c r="H406" s="17">
        <f>IF(AD406=0,"",IF(Baux!$P$35="Base fixe",Baux!$N$35,IF(K405="Geler – rattrapage possible",H405,F405)))</f>
        <v/>
      </c>
      <c r="I406" s="25">
        <f>IF(AD406=0,"",IF(H406="","",IF(SUMIFS(Indices_long!$C:$C,Indices_long!$A:$A,E406,Indices_long!$B:$B,H406)=0,"",SUMIFS(Indices_long!$C:$C,Indices_long!$A:$A,E406,Indices_long!$B:$B,H406))))</f>
        <v/>
      </c>
      <c r="J406" s="26">
        <f>IF(OR(G406="",I406=""),"",G406/I406)</f>
        <v/>
      </c>
      <c r="K406" s="13" t="n"/>
      <c r="L406" s="27">
        <f>IF(AD406=0,"",IF(Baux!$P$35="Base fixe",Baux!$I$35,N405))</f>
        <v/>
      </c>
      <c r="M406" s="27">
        <f>IF(OR(J406="",L406=""),"",ROUND(L406*J406,2))</f>
        <v/>
      </c>
      <c r="N406" s="27">
        <f>IF(AD406=0,"",IF(LEFT(K406,5)="Geler",O406,IF(M406="","",IF(Baux!$Q$35="",M406,MIN(M406,ROUND(L406*(1+Baux!$Q$35/100)^IF(Baux!$P$35="Base fixe",C406*Baux!$O$35,VALUE(LEFT(F406,4))-VALUE(LEFT(H406,4))),2))))))</f>
        <v/>
      </c>
      <c r="O406" s="27">
        <f>IF(AD406=0,"",N405)</f>
        <v/>
      </c>
      <c r="P406" s="28">
        <f>IF(OR(N406="",O406=""),"",N406/O406-1)</f>
        <v/>
      </c>
      <c r="Q406" s="27">
        <f>IF(N406="","",N406/12)</f>
        <v/>
      </c>
      <c r="R406" s="27">
        <f>IF(N406="","",N406/IF(Baux!$L$35="Mensuelle",12,IF(Baux!$L$35="Trimestrielle",4,IF(Baux!$L$35="Semestrielle",2,1))))</f>
        <v/>
      </c>
      <c r="S406" s="27">
        <f>IF(AD406=0,"",IF(Baux!$J$35="",0,Baux!$J$35)/IF(Baux!$L$35="Mensuelle",12,IF(Baux!$L$35="Trimestrielle",4,IF(Baux!$L$35="Semestrielle",2,1))))</f>
        <v/>
      </c>
      <c r="T406" s="27">
        <f>IF(R406="","",(R406+S406)*Baux!$K$35/100)</f>
        <v/>
      </c>
      <c r="U406" s="27">
        <f>IF(R406="","",R406+S406+T406)</f>
        <v/>
      </c>
      <c r="V406" s="17">
        <f>IF(AD406=0,"",IF(LEFT(K406,5)="Geler","❄ Gelée",IF(G406="",IF(D406&lt;=TODAY(),"⚠ Indice attendu","À venir"),IF(D406&lt;=TODAY(),"✔ Calculable","Indice connu – à venir"))))</f>
        <v/>
      </c>
      <c r="W406" s="29" t="n"/>
      <c r="X406" s="13" t="n"/>
      <c r="Y406" s="14" t="n"/>
      <c r="Z406" s="14" t="n"/>
      <c r="AA406" s="13" t="n"/>
      <c r="AB406" s="17">
        <f>IF(A406="","",A406&amp;"#"&amp;C406)</f>
        <v/>
      </c>
      <c r="AC406" s="17">
        <f>IF(AND(AD406=1,D406&lt;=TODAY(),N406&lt;&gt;""),1,0)</f>
        <v/>
      </c>
      <c r="AD406" s="17">
        <f>IF(OR(A406="",D406=""),0,IF(AND(ISNUMBER(Baux!$H$35),D406&gt;Baux!$H$35),0,1))</f>
        <v/>
      </c>
    </row>
    <row r="407">
      <c r="A407" s="17">
        <f>IF(Baux!$A$35="","",Baux!$A$35)</f>
        <v/>
      </c>
      <c r="B407" s="17">
        <f>IF(A407="","",Baux!$B$35)</f>
        <v/>
      </c>
      <c r="C407" s="17" t="n">
        <v>10</v>
      </c>
      <c r="D407" s="15">
        <f>IF(OR(A407="",Baux!$F$35="",Baux!$O$35=""),"",EDATE(Baux!$F$35,12*Baux!$O$35*C407))</f>
        <v/>
      </c>
      <c r="E407" s="17">
        <f>IF(AD407=0,"",Baux!$M$35)</f>
        <v/>
      </c>
      <c r="F407" s="17">
        <f>IF(AD407=0,"",IFERROR(TEXT(VALUE(LEFT(Baux!$N$35,4))+C407*Baux!$O$35,"0")&amp;RIGHT(Baux!$N$35,3),""))</f>
        <v/>
      </c>
      <c r="G407" s="25">
        <f>IF(AD407=0,"",IF(F407="","",IF(SUMIFS(Indices_long!$C:$C,Indices_long!$A:$A,E407,Indices_long!$B:$B,F407)=0,"",SUMIFS(Indices_long!$C:$C,Indices_long!$A:$A,E407,Indices_long!$B:$B,F407))))</f>
        <v/>
      </c>
      <c r="H407" s="17">
        <f>IF(AD407=0,"",IF(Baux!$P$35="Base fixe",Baux!$N$35,IF(K406="Geler – rattrapage possible",H406,F406)))</f>
        <v/>
      </c>
      <c r="I407" s="25">
        <f>IF(AD407=0,"",IF(H407="","",IF(SUMIFS(Indices_long!$C:$C,Indices_long!$A:$A,E407,Indices_long!$B:$B,H407)=0,"",SUMIFS(Indices_long!$C:$C,Indices_long!$A:$A,E407,Indices_long!$B:$B,H407))))</f>
        <v/>
      </c>
      <c r="J407" s="26">
        <f>IF(OR(G407="",I407=""),"",G407/I407)</f>
        <v/>
      </c>
      <c r="K407" s="13" t="n"/>
      <c r="L407" s="27">
        <f>IF(AD407=0,"",IF(Baux!$P$35="Base fixe",Baux!$I$35,N406))</f>
        <v/>
      </c>
      <c r="M407" s="27">
        <f>IF(OR(J407="",L407=""),"",ROUND(L407*J407,2))</f>
        <v/>
      </c>
      <c r="N407" s="27">
        <f>IF(AD407=0,"",IF(LEFT(K407,5)="Geler",O407,IF(M407="","",IF(Baux!$Q$35="",M407,MIN(M407,ROUND(L407*(1+Baux!$Q$35/100)^IF(Baux!$P$35="Base fixe",C407*Baux!$O$35,VALUE(LEFT(F407,4))-VALUE(LEFT(H407,4))),2))))))</f>
        <v/>
      </c>
      <c r="O407" s="27">
        <f>IF(AD407=0,"",N406)</f>
        <v/>
      </c>
      <c r="P407" s="28">
        <f>IF(OR(N407="",O407=""),"",N407/O407-1)</f>
        <v/>
      </c>
      <c r="Q407" s="27">
        <f>IF(N407="","",N407/12)</f>
        <v/>
      </c>
      <c r="R407" s="27">
        <f>IF(N407="","",N407/IF(Baux!$L$35="Mensuelle",12,IF(Baux!$L$35="Trimestrielle",4,IF(Baux!$L$35="Semestrielle",2,1))))</f>
        <v/>
      </c>
      <c r="S407" s="27">
        <f>IF(AD407=0,"",IF(Baux!$J$35="",0,Baux!$J$35)/IF(Baux!$L$35="Mensuelle",12,IF(Baux!$L$35="Trimestrielle",4,IF(Baux!$L$35="Semestrielle",2,1))))</f>
        <v/>
      </c>
      <c r="T407" s="27">
        <f>IF(R407="","",(R407+S407)*Baux!$K$35/100)</f>
        <v/>
      </c>
      <c r="U407" s="27">
        <f>IF(R407="","",R407+S407+T407)</f>
        <v/>
      </c>
      <c r="V407" s="17">
        <f>IF(AD407=0,"",IF(LEFT(K407,5)="Geler","❄ Gelée",IF(G407="",IF(D407&lt;=TODAY(),"⚠ Indice attendu","À venir"),IF(D407&lt;=TODAY(),"✔ Calculable","Indice connu – à venir"))))</f>
        <v/>
      </c>
      <c r="W407" s="29" t="n"/>
      <c r="X407" s="13" t="n"/>
      <c r="Y407" s="14" t="n"/>
      <c r="Z407" s="14" t="n"/>
      <c r="AA407" s="13" t="n"/>
      <c r="AB407" s="17">
        <f>IF(A407="","",A407&amp;"#"&amp;C407)</f>
        <v/>
      </c>
      <c r="AC407" s="17">
        <f>IF(AND(AD407=1,D407&lt;=TODAY(),N407&lt;&gt;""),1,0)</f>
        <v/>
      </c>
      <c r="AD407" s="17">
        <f>IF(OR(A407="",D407=""),0,IF(AND(ISNUMBER(Baux!$H$35),D407&gt;Baux!$H$35),0,1))</f>
        <v/>
      </c>
    </row>
    <row r="408">
      <c r="A408" s="17">
        <f>IF(Baux!$A$35="","",Baux!$A$35)</f>
        <v/>
      </c>
      <c r="B408" s="17">
        <f>IF(A408="","",Baux!$B$35)</f>
        <v/>
      </c>
      <c r="C408" s="17" t="n">
        <v>11</v>
      </c>
      <c r="D408" s="15">
        <f>IF(OR(A408="",Baux!$F$35="",Baux!$O$35=""),"",EDATE(Baux!$F$35,12*Baux!$O$35*C408))</f>
        <v/>
      </c>
      <c r="E408" s="17">
        <f>IF(AD408=0,"",Baux!$M$35)</f>
        <v/>
      </c>
      <c r="F408" s="17">
        <f>IF(AD408=0,"",IFERROR(TEXT(VALUE(LEFT(Baux!$N$35,4))+C408*Baux!$O$35,"0")&amp;RIGHT(Baux!$N$35,3),""))</f>
        <v/>
      </c>
      <c r="G408" s="25">
        <f>IF(AD408=0,"",IF(F408="","",IF(SUMIFS(Indices_long!$C:$C,Indices_long!$A:$A,E408,Indices_long!$B:$B,F408)=0,"",SUMIFS(Indices_long!$C:$C,Indices_long!$A:$A,E408,Indices_long!$B:$B,F408))))</f>
        <v/>
      </c>
      <c r="H408" s="17">
        <f>IF(AD408=0,"",IF(Baux!$P$35="Base fixe",Baux!$N$35,IF(K407="Geler – rattrapage possible",H407,F407)))</f>
        <v/>
      </c>
      <c r="I408" s="25">
        <f>IF(AD408=0,"",IF(H408="","",IF(SUMIFS(Indices_long!$C:$C,Indices_long!$A:$A,E408,Indices_long!$B:$B,H408)=0,"",SUMIFS(Indices_long!$C:$C,Indices_long!$A:$A,E408,Indices_long!$B:$B,H408))))</f>
        <v/>
      </c>
      <c r="J408" s="26">
        <f>IF(OR(G408="",I408=""),"",G408/I408)</f>
        <v/>
      </c>
      <c r="K408" s="13" t="n"/>
      <c r="L408" s="27">
        <f>IF(AD408=0,"",IF(Baux!$P$35="Base fixe",Baux!$I$35,N407))</f>
        <v/>
      </c>
      <c r="M408" s="27">
        <f>IF(OR(J408="",L408=""),"",ROUND(L408*J408,2))</f>
        <v/>
      </c>
      <c r="N408" s="27">
        <f>IF(AD408=0,"",IF(LEFT(K408,5)="Geler",O408,IF(M408="","",IF(Baux!$Q$35="",M408,MIN(M408,ROUND(L408*(1+Baux!$Q$35/100)^IF(Baux!$P$35="Base fixe",C408*Baux!$O$35,VALUE(LEFT(F408,4))-VALUE(LEFT(H408,4))),2))))))</f>
        <v/>
      </c>
      <c r="O408" s="27">
        <f>IF(AD408=0,"",N407)</f>
        <v/>
      </c>
      <c r="P408" s="28">
        <f>IF(OR(N408="",O408=""),"",N408/O408-1)</f>
        <v/>
      </c>
      <c r="Q408" s="27">
        <f>IF(N408="","",N408/12)</f>
        <v/>
      </c>
      <c r="R408" s="27">
        <f>IF(N408="","",N408/IF(Baux!$L$35="Mensuelle",12,IF(Baux!$L$35="Trimestrielle",4,IF(Baux!$L$35="Semestrielle",2,1))))</f>
        <v/>
      </c>
      <c r="S408" s="27">
        <f>IF(AD408=0,"",IF(Baux!$J$35="",0,Baux!$J$35)/IF(Baux!$L$35="Mensuelle",12,IF(Baux!$L$35="Trimestrielle",4,IF(Baux!$L$35="Semestrielle",2,1))))</f>
        <v/>
      </c>
      <c r="T408" s="27">
        <f>IF(R408="","",(R408+S408)*Baux!$K$35/100)</f>
        <v/>
      </c>
      <c r="U408" s="27">
        <f>IF(R408="","",R408+S408+T408)</f>
        <v/>
      </c>
      <c r="V408" s="17">
        <f>IF(AD408=0,"",IF(LEFT(K408,5)="Geler","❄ Gelée",IF(G408="",IF(D408&lt;=TODAY(),"⚠ Indice attendu","À venir"),IF(D408&lt;=TODAY(),"✔ Calculable","Indice connu – à venir"))))</f>
        <v/>
      </c>
      <c r="W408" s="29" t="n"/>
      <c r="X408" s="13" t="n"/>
      <c r="Y408" s="14" t="n"/>
      <c r="Z408" s="14" t="n"/>
      <c r="AA408" s="13" t="n"/>
      <c r="AB408" s="17">
        <f>IF(A408="","",A408&amp;"#"&amp;C408)</f>
        <v/>
      </c>
      <c r="AC408" s="17">
        <f>IF(AND(AD408=1,D408&lt;=TODAY(),N408&lt;&gt;""),1,0)</f>
        <v/>
      </c>
      <c r="AD408" s="17">
        <f>IF(OR(A408="",D408=""),0,IF(AND(ISNUMBER(Baux!$H$35),D408&gt;Baux!$H$35),0,1))</f>
        <v/>
      </c>
    </row>
    <row r="409">
      <c r="A409" s="17">
        <f>IF(Baux!$A$35="","",Baux!$A$35)</f>
        <v/>
      </c>
      <c r="B409" s="17">
        <f>IF(A409="","",Baux!$B$35)</f>
        <v/>
      </c>
      <c r="C409" s="17" t="n">
        <v>12</v>
      </c>
      <c r="D409" s="15">
        <f>IF(OR(A409="",Baux!$F$35="",Baux!$O$35=""),"",EDATE(Baux!$F$35,12*Baux!$O$35*C409))</f>
        <v/>
      </c>
      <c r="E409" s="17">
        <f>IF(AD409=0,"",Baux!$M$35)</f>
        <v/>
      </c>
      <c r="F409" s="17">
        <f>IF(AD409=0,"",IFERROR(TEXT(VALUE(LEFT(Baux!$N$35,4))+C409*Baux!$O$35,"0")&amp;RIGHT(Baux!$N$35,3),""))</f>
        <v/>
      </c>
      <c r="G409" s="25">
        <f>IF(AD409=0,"",IF(F409="","",IF(SUMIFS(Indices_long!$C:$C,Indices_long!$A:$A,E409,Indices_long!$B:$B,F409)=0,"",SUMIFS(Indices_long!$C:$C,Indices_long!$A:$A,E409,Indices_long!$B:$B,F409))))</f>
        <v/>
      </c>
      <c r="H409" s="17">
        <f>IF(AD409=0,"",IF(Baux!$P$35="Base fixe",Baux!$N$35,IF(K408="Geler – rattrapage possible",H408,F408)))</f>
        <v/>
      </c>
      <c r="I409" s="25">
        <f>IF(AD409=0,"",IF(H409="","",IF(SUMIFS(Indices_long!$C:$C,Indices_long!$A:$A,E409,Indices_long!$B:$B,H409)=0,"",SUMIFS(Indices_long!$C:$C,Indices_long!$A:$A,E409,Indices_long!$B:$B,H409))))</f>
        <v/>
      </c>
      <c r="J409" s="26">
        <f>IF(OR(G409="",I409=""),"",G409/I409)</f>
        <v/>
      </c>
      <c r="K409" s="13" t="n"/>
      <c r="L409" s="27">
        <f>IF(AD409=0,"",IF(Baux!$P$35="Base fixe",Baux!$I$35,N408))</f>
        <v/>
      </c>
      <c r="M409" s="27">
        <f>IF(OR(J409="",L409=""),"",ROUND(L409*J409,2))</f>
        <v/>
      </c>
      <c r="N409" s="27">
        <f>IF(AD409=0,"",IF(LEFT(K409,5)="Geler",O409,IF(M409="","",IF(Baux!$Q$35="",M409,MIN(M409,ROUND(L409*(1+Baux!$Q$35/100)^IF(Baux!$P$35="Base fixe",C409*Baux!$O$35,VALUE(LEFT(F409,4))-VALUE(LEFT(H409,4))),2))))))</f>
        <v/>
      </c>
      <c r="O409" s="27">
        <f>IF(AD409=0,"",N408)</f>
        <v/>
      </c>
      <c r="P409" s="28">
        <f>IF(OR(N409="",O409=""),"",N409/O409-1)</f>
        <v/>
      </c>
      <c r="Q409" s="27">
        <f>IF(N409="","",N409/12)</f>
        <v/>
      </c>
      <c r="R409" s="27">
        <f>IF(N409="","",N409/IF(Baux!$L$35="Mensuelle",12,IF(Baux!$L$35="Trimestrielle",4,IF(Baux!$L$35="Semestrielle",2,1))))</f>
        <v/>
      </c>
      <c r="S409" s="27">
        <f>IF(AD409=0,"",IF(Baux!$J$35="",0,Baux!$J$35)/IF(Baux!$L$35="Mensuelle",12,IF(Baux!$L$35="Trimestrielle",4,IF(Baux!$L$35="Semestrielle",2,1))))</f>
        <v/>
      </c>
      <c r="T409" s="27">
        <f>IF(R409="","",(R409+S409)*Baux!$K$35/100)</f>
        <v/>
      </c>
      <c r="U409" s="27">
        <f>IF(R409="","",R409+S409+T409)</f>
        <v/>
      </c>
      <c r="V409" s="17">
        <f>IF(AD409=0,"",IF(LEFT(K409,5)="Geler","❄ Gelée",IF(G409="",IF(D409&lt;=TODAY(),"⚠ Indice attendu","À venir"),IF(D409&lt;=TODAY(),"✔ Calculable","Indice connu – à venir"))))</f>
        <v/>
      </c>
      <c r="W409" s="29" t="n"/>
      <c r="X409" s="13" t="n"/>
      <c r="Y409" s="14" t="n"/>
      <c r="Z409" s="14" t="n"/>
      <c r="AA409" s="13" t="n"/>
      <c r="AB409" s="17">
        <f>IF(A409="","",A409&amp;"#"&amp;C409)</f>
        <v/>
      </c>
      <c r="AC409" s="17">
        <f>IF(AND(AD409=1,D409&lt;=TODAY(),N409&lt;&gt;""),1,0)</f>
        <v/>
      </c>
      <c r="AD409" s="17">
        <f>IF(OR(A409="",D409=""),0,IF(AND(ISNUMBER(Baux!$H$35),D409&gt;Baux!$H$35),0,1))</f>
        <v/>
      </c>
    </row>
    <row r="410">
      <c r="A410" s="17">
        <f>IF(Baux!$A$36="","",Baux!$A$36)</f>
        <v/>
      </c>
      <c r="B410" s="17">
        <f>IF(A410="","",Baux!$B$36)</f>
        <v/>
      </c>
      <c r="C410" s="17" t="n">
        <v>1</v>
      </c>
      <c r="D410" s="15">
        <f>IF(OR(A410="",Baux!$F$36="",Baux!$O$36=""),"",EDATE(Baux!$F$36,12*Baux!$O$36*C410))</f>
        <v/>
      </c>
      <c r="E410" s="17">
        <f>IF(AD410=0,"",Baux!$M$36)</f>
        <v/>
      </c>
      <c r="F410" s="17">
        <f>IF(AD410=0,"",IFERROR(TEXT(VALUE(LEFT(Baux!$N$36,4))+C410*Baux!$O$36,"0")&amp;RIGHT(Baux!$N$36,3),""))</f>
        <v/>
      </c>
      <c r="G410" s="25">
        <f>IF(AD410=0,"",IF(F410="","",IF(SUMIFS(Indices_long!$C:$C,Indices_long!$A:$A,E410,Indices_long!$B:$B,F410)=0,"",SUMIFS(Indices_long!$C:$C,Indices_long!$A:$A,E410,Indices_long!$B:$B,F410))))</f>
        <v/>
      </c>
      <c r="H410" s="17">
        <f>IF(AD410=0,"",Baux!$N$36)</f>
        <v/>
      </c>
      <c r="I410" s="25">
        <f>IF(AD410=0,"",IF(H410="","",IF(SUMIFS(Indices_long!$C:$C,Indices_long!$A:$A,E410,Indices_long!$B:$B,H410)=0,"",SUMIFS(Indices_long!$C:$C,Indices_long!$A:$A,E410,Indices_long!$B:$B,H410))))</f>
        <v/>
      </c>
      <c r="J410" s="26">
        <f>IF(OR(G410="",I410=""),"",G410/I410)</f>
        <v/>
      </c>
      <c r="K410" s="13" t="n"/>
      <c r="L410" s="27">
        <f>IF(AD410=0,"",Baux!$I$36)</f>
        <v/>
      </c>
      <c r="M410" s="27">
        <f>IF(OR(J410="",L410=""),"",ROUND(L410*J410,2))</f>
        <v/>
      </c>
      <c r="N410" s="27">
        <f>IF(AD410=0,"",IF(LEFT(K410,5)="Geler",O410,IF(M410="","",IF(Baux!$Q$36="",M410,MIN(M410,ROUND(L410*(1+Baux!$Q$36/100)^IF(Baux!$P$36="Base fixe",C410*Baux!$O$36,VALUE(LEFT(F410,4))-VALUE(LEFT(H410,4))),2))))))</f>
        <v/>
      </c>
      <c r="O410" s="27">
        <f>IF(AD410=0,"",Baux!$I$36)</f>
        <v/>
      </c>
      <c r="P410" s="28">
        <f>IF(OR(N410="",O410=""),"",N410/O410-1)</f>
        <v/>
      </c>
      <c r="Q410" s="27">
        <f>IF(N410="","",N410/12)</f>
        <v/>
      </c>
      <c r="R410" s="27">
        <f>IF(N410="","",N410/IF(Baux!$L$36="Mensuelle",12,IF(Baux!$L$36="Trimestrielle",4,IF(Baux!$L$36="Semestrielle",2,1))))</f>
        <v/>
      </c>
      <c r="S410" s="27">
        <f>IF(AD410=0,"",IF(Baux!$J$36="",0,Baux!$J$36)/IF(Baux!$L$36="Mensuelle",12,IF(Baux!$L$36="Trimestrielle",4,IF(Baux!$L$36="Semestrielle",2,1))))</f>
        <v/>
      </c>
      <c r="T410" s="27">
        <f>IF(R410="","",(R410+S410)*Baux!$K$36/100)</f>
        <v/>
      </c>
      <c r="U410" s="27">
        <f>IF(R410="","",R410+S410+T410)</f>
        <v/>
      </c>
      <c r="V410" s="17">
        <f>IF(AD410=0,"",IF(LEFT(K410,5)="Geler","❄ Gelée",IF(G410="",IF(D410&lt;=TODAY(),"⚠ Indice attendu","À venir"),IF(D410&lt;=TODAY(),"✔ Calculable","Indice connu – à venir"))))</f>
        <v/>
      </c>
      <c r="W410" s="29" t="n"/>
      <c r="X410" s="13" t="n"/>
      <c r="Y410" s="14" t="n"/>
      <c r="Z410" s="14" t="n"/>
      <c r="AA410" s="13" t="n"/>
      <c r="AB410" s="17">
        <f>IF(A410="","",A410&amp;"#"&amp;C410)</f>
        <v/>
      </c>
      <c r="AC410" s="17">
        <f>IF(AND(AD410=1,D410&lt;=TODAY(),N410&lt;&gt;""),1,0)</f>
        <v/>
      </c>
      <c r="AD410" s="17">
        <f>IF(OR(A410="",D410=""),0,IF(AND(ISNUMBER(Baux!$H$36),D410&gt;Baux!$H$36),0,1))</f>
        <v/>
      </c>
    </row>
    <row r="411">
      <c r="A411" s="17">
        <f>IF(Baux!$A$36="","",Baux!$A$36)</f>
        <v/>
      </c>
      <c r="B411" s="17">
        <f>IF(A411="","",Baux!$B$36)</f>
        <v/>
      </c>
      <c r="C411" s="17" t="n">
        <v>2</v>
      </c>
      <c r="D411" s="15">
        <f>IF(OR(A411="",Baux!$F$36="",Baux!$O$36=""),"",EDATE(Baux!$F$36,12*Baux!$O$36*C411))</f>
        <v/>
      </c>
      <c r="E411" s="17">
        <f>IF(AD411=0,"",Baux!$M$36)</f>
        <v/>
      </c>
      <c r="F411" s="17">
        <f>IF(AD411=0,"",IFERROR(TEXT(VALUE(LEFT(Baux!$N$36,4))+C411*Baux!$O$36,"0")&amp;RIGHT(Baux!$N$36,3),""))</f>
        <v/>
      </c>
      <c r="G411" s="25">
        <f>IF(AD411=0,"",IF(F411="","",IF(SUMIFS(Indices_long!$C:$C,Indices_long!$A:$A,E411,Indices_long!$B:$B,F411)=0,"",SUMIFS(Indices_long!$C:$C,Indices_long!$A:$A,E411,Indices_long!$B:$B,F411))))</f>
        <v/>
      </c>
      <c r="H411" s="17">
        <f>IF(AD411=0,"",IF(Baux!$P$36="Base fixe",Baux!$N$36,IF(K410="Geler – rattrapage possible",H410,F410)))</f>
        <v/>
      </c>
      <c r="I411" s="25">
        <f>IF(AD411=0,"",IF(H411="","",IF(SUMIFS(Indices_long!$C:$C,Indices_long!$A:$A,E411,Indices_long!$B:$B,H411)=0,"",SUMIFS(Indices_long!$C:$C,Indices_long!$A:$A,E411,Indices_long!$B:$B,H411))))</f>
        <v/>
      </c>
      <c r="J411" s="26">
        <f>IF(OR(G411="",I411=""),"",G411/I411)</f>
        <v/>
      </c>
      <c r="K411" s="13" t="n"/>
      <c r="L411" s="27">
        <f>IF(AD411=0,"",IF(Baux!$P$36="Base fixe",Baux!$I$36,N410))</f>
        <v/>
      </c>
      <c r="M411" s="27">
        <f>IF(OR(J411="",L411=""),"",ROUND(L411*J411,2))</f>
        <v/>
      </c>
      <c r="N411" s="27">
        <f>IF(AD411=0,"",IF(LEFT(K411,5)="Geler",O411,IF(M411="","",IF(Baux!$Q$36="",M411,MIN(M411,ROUND(L411*(1+Baux!$Q$36/100)^IF(Baux!$P$36="Base fixe",C411*Baux!$O$36,VALUE(LEFT(F411,4))-VALUE(LEFT(H411,4))),2))))))</f>
        <v/>
      </c>
      <c r="O411" s="27">
        <f>IF(AD411=0,"",N410)</f>
        <v/>
      </c>
      <c r="P411" s="28">
        <f>IF(OR(N411="",O411=""),"",N411/O411-1)</f>
        <v/>
      </c>
      <c r="Q411" s="27">
        <f>IF(N411="","",N411/12)</f>
        <v/>
      </c>
      <c r="R411" s="27">
        <f>IF(N411="","",N411/IF(Baux!$L$36="Mensuelle",12,IF(Baux!$L$36="Trimestrielle",4,IF(Baux!$L$36="Semestrielle",2,1))))</f>
        <v/>
      </c>
      <c r="S411" s="27">
        <f>IF(AD411=0,"",IF(Baux!$J$36="",0,Baux!$J$36)/IF(Baux!$L$36="Mensuelle",12,IF(Baux!$L$36="Trimestrielle",4,IF(Baux!$L$36="Semestrielle",2,1))))</f>
        <v/>
      </c>
      <c r="T411" s="27">
        <f>IF(R411="","",(R411+S411)*Baux!$K$36/100)</f>
        <v/>
      </c>
      <c r="U411" s="27">
        <f>IF(R411="","",R411+S411+T411)</f>
        <v/>
      </c>
      <c r="V411" s="17">
        <f>IF(AD411=0,"",IF(LEFT(K411,5)="Geler","❄ Gelée",IF(G411="",IF(D411&lt;=TODAY(),"⚠ Indice attendu","À venir"),IF(D411&lt;=TODAY(),"✔ Calculable","Indice connu – à venir"))))</f>
        <v/>
      </c>
      <c r="W411" s="29" t="n"/>
      <c r="X411" s="13" t="n"/>
      <c r="Y411" s="14" t="n"/>
      <c r="Z411" s="14" t="n"/>
      <c r="AA411" s="13" t="n"/>
      <c r="AB411" s="17">
        <f>IF(A411="","",A411&amp;"#"&amp;C411)</f>
        <v/>
      </c>
      <c r="AC411" s="17">
        <f>IF(AND(AD411=1,D411&lt;=TODAY(),N411&lt;&gt;""),1,0)</f>
        <v/>
      </c>
      <c r="AD411" s="17">
        <f>IF(OR(A411="",D411=""),0,IF(AND(ISNUMBER(Baux!$H$36),D411&gt;Baux!$H$36),0,1))</f>
        <v/>
      </c>
    </row>
    <row r="412">
      <c r="A412" s="17">
        <f>IF(Baux!$A$36="","",Baux!$A$36)</f>
        <v/>
      </c>
      <c r="B412" s="17">
        <f>IF(A412="","",Baux!$B$36)</f>
        <v/>
      </c>
      <c r="C412" s="17" t="n">
        <v>3</v>
      </c>
      <c r="D412" s="15">
        <f>IF(OR(A412="",Baux!$F$36="",Baux!$O$36=""),"",EDATE(Baux!$F$36,12*Baux!$O$36*C412))</f>
        <v/>
      </c>
      <c r="E412" s="17">
        <f>IF(AD412=0,"",Baux!$M$36)</f>
        <v/>
      </c>
      <c r="F412" s="17">
        <f>IF(AD412=0,"",IFERROR(TEXT(VALUE(LEFT(Baux!$N$36,4))+C412*Baux!$O$36,"0")&amp;RIGHT(Baux!$N$36,3),""))</f>
        <v/>
      </c>
      <c r="G412" s="25">
        <f>IF(AD412=0,"",IF(F412="","",IF(SUMIFS(Indices_long!$C:$C,Indices_long!$A:$A,E412,Indices_long!$B:$B,F412)=0,"",SUMIFS(Indices_long!$C:$C,Indices_long!$A:$A,E412,Indices_long!$B:$B,F412))))</f>
        <v/>
      </c>
      <c r="H412" s="17">
        <f>IF(AD412=0,"",IF(Baux!$P$36="Base fixe",Baux!$N$36,IF(K411="Geler – rattrapage possible",H411,F411)))</f>
        <v/>
      </c>
      <c r="I412" s="25">
        <f>IF(AD412=0,"",IF(H412="","",IF(SUMIFS(Indices_long!$C:$C,Indices_long!$A:$A,E412,Indices_long!$B:$B,H412)=0,"",SUMIFS(Indices_long!$C:$C,Indices_long!$A:$A,E412,Indices_long!$B:$B,H412))))</f>
        <v/>
      </c>
      <c r="J412" s="26">
        <f>IF(OR(G412="",I412=""),"",G412/I412)</f>
        <v/>
      </c>
      <c r="K412" s="13" t="n"/>
      <c r="L412" s="27">
        <f>IF(AD412=0,"",IF(Baux!$P$36="Base fixe",Baux!$I$36,N411))</f>
        <v/>
      </c>
      <c r="M412" s="27">
        <f>IF(OR(J412="",L412=""),"",ROUND(L412*J412,2))</f>
        <v/>
      </c>
      <c r="N412" s="27">
        <f>IF(AD412=0,"",IF(LEFT(K412,5)="Geler",O412,IF(M412="","",IF(Baux!$Q$36="",M412,MIN(M412,ROUND(L412*(1+Baux!$Q$36/100)^IF(Baux!$P$36="Base fixe",C412*Baux!$O$36,VALUE(LEFT(F412,4))-VALUE(LEFT(H412,4))),2))))))</f>
        <v/>
      </c>
      <c r="O412" s="27">
        <f>IF(AD412=0,"",N411)</f>
        <v/>
      </c>
      <c r="P412" s="28">
        <f>IF(OR(N412="",O412=""),"",N412/O412-1)</f>
        <v/>
      </c>
      <c r="Q412" s="27">
        <f>IF(N412="","",N412/12)</f>
        <v/>
      </c>
      <c r="R412" s="27">
        <f>IF(N412="","",N412/IF(Baux!$L$36="Mensuelle",12,IF(Baux!$L$36="Trimestrielle",4,IF(Baux!$L$36="Semestrielle",2,1))))</f>
        <v/>
      </c>
      <c r="S412" s="27">
        <f>IF(AD412=0,"",IF(Baux!$J$36="",0,Baux!$J$36)/IF(Baux!$L$36="Mensuelle",12,IF(Baux!$L$36="Trimestrielle",4,IF(Baux!$L$36="Semestrielle",2,1))))</f>
        <v/>
      </c>
      <c r="T412" s="27">
        <f>IF(R412="","",(R412+S412)*Baux!$K$36/100)</f>
        <v/>
      </c>
      <c r="U412" s="27">
        <f>IF(R412="","",R412+S412+T412)</f>
        <v/>
      </c>
      <c r="V412" s="17">
        <f>IF(AD412=0,"",IF(LEFT(K412,5)="Geler","❄ Gelée",IF(G412="",IF(D412&lt;=TODAY(),"⚠ Indice attendu","À venir"),IF(D412&lt;=TODAY(),"✔ Calculable","Indice connu – à venir"))))</f>
        <v/>
      </c>
      <c r="W412" s="29" t="n"/>
      <c r="X412" s="13" t="n"/>
      <c r="Y412" s="14" t="n"/>
      <c r="Z412" s="14" t="n"/>
      <c r="AA412" s="13" t="n"/>
      <c r="AB412" s="17">
        <f>IF(A412="","",A412&amp;"#"&amp;C412)</f>
        <v/>
      </c>
      <c r="AC412" s="17">
        <f>IF(AND(AD412=1,D412&lt;=TODAY(),N412&lt;&gt;""),1,0)</f>
        <v/>
      </c>
      <c r="AD412" s="17">
        <f>IF(OR(A412="",D412=""),0,IF(AND(ISNUMBER(Baux!$H$36),D412&gt;Baux!$H$36),0,1))</f>
        <v/>
      </c>
    </row>
    <row r="413">
      <c r="A413" s="17">
        <f>IF(Baux!$A$36="","",Baux!$A$36)</f>
        <v/>
      </c>
      <c r="B413" s="17">
        <f>IF(A413="","",Baux!$B$36)</f>
        <v/>
      </c>
      <c r="C413" s="17" t="n">
        <v>4</v>
      </c>
      <c r="D413" s="15">
        <f>IF(OR(A413="",Baux!$F$36="",Baux!$O$36=""),"",EDATE(Baux!$F$36,12*Baux!$O$36*C413))</f>
        <v/>
      </c>
      <c r="E413" s="17">
        <f>IF(AD413=0,"",Baux!$M$36)</f>
        <v/>
      </c>
      <c r="F413" s="17">
        <f>IF(AD413=0,"",IFERROR(TEXT(VALUE(LEFT(Baux!$N$36,4))+C413*Baux!$O$36,"0")&amp;RIGHT(Baux!$N$36,3),""))</f>
        <v/>
      </c>
      <c r="G413" s="25">
        <f>IF(AD413=0,"",IF(F413="","",IF(SUMIFS(Indices_long!$C:$C,Indices_long!$A:$A,E413,Indices_long!$B:$B,F413)=0,"",SUMIFS(Indices_long!$C:$C,Indices_long!$A:$A,E413,Indices_long!$B:$B,F413))))</f>
        <v/>
      </c>
      <c r="H413" s="17">
        <f>IF(AD413=0,"",IF(Baux!$P$36="Base fixe",Baux!$N$36,IF(K412="Geler – rattrapage possible",H412,F412)))</f>
        <v/>
      </c>
      <c r="I413" s="25">
        <f>IF(AD413=0,"",IF(H413="","",IF(SUMIFS(Indices_long!$C:$C,Indices_long!$A:$A,E413,Indices_long!$B:$B,H413)=0,"",SUMIFS(Indices_long!$C:$C,Indices_long!$A:$A,E413,Indices_long!$B:$B,H413))))</f>
        <v/>
      </c>
      <c r="J413" s="26">
        <f>IF(OR(G413="",I413=""),"",G413/I413)</f>
        <v/>
      </c>
      <c r="K413" s="13" t="n"/>
      <c r="L413" s="27">
        <f>IF(AD413=0,"",IF(Baux!$P$36="Base fixe",Baux!$I$36,N412))</f>
        <v/>
      </c>
      <c r="M413" s="27">
        <f>IF(OR(J413="",L413=""),"",ROUND(L413*J413,2))</f>
        <v/>
      </c>
      <c r="N413" s="27">
        <f>IF(AD413=0,"",IF(LEFT(K413,5)="Geler",O413,IF(M413="","",IF(Baux!$Q$36="",M413,MIN(M413,ROUND(L413*(1+Baux!$Q$36/100)^IF(Baux!$P$36="Base fixe",C413*Baux!$O$36,VALUE(LEFT(F413,4))-VALUE(LEFT(H413,4))),2))))))</f>
        <v/>
      </c>
      <c r="O413" s="27">
        <f>IF(AD413=0,"",N412)</f>
        <v/>
      </c>
      <c r="P413" s="28">
        <f>IF(OR(N413="",O413=""),"",N413/O413-1)</f>
        <v/>
      </c>
      <c r="Q413" s="27">
        <f>IF(N413="","",N413/12)</f>
        <v/>
      </c>
      <c r="R413" s="27">
        <f>IF(N413="","",N413/IF(Baux!$L$36="Mensuelle",12,IF(Baux!$L$36="Trimestrielle",4,IF(Baux!$L$36="Semestrielle",2,1))))</f>
        <v/>
      </c>
      <c r="S413" s="27">
        <f>IF(AD413=0,"",IF(Baux!$J$36="",0,Baux!$J$36)/IF(Baux!$L$36="Mensuelle",12,IF(Baux!$L$36="Trimestrielle",4,IF(Baux!$L$36="Semestrielle",2,1))))</f>
        <v/>
      </c>
      <c r="T413" s="27">
        <f>IF(R413="","",(R413+S413)*Baux!$K$36/100)</f>
        <v/>
      </c>
      <c r="U413" s="27">
        <f>IF(R413="","",R413+S413+T413)</f>
        <v/>
      </c>
      <c r="V413" s="17">
        <f>IF(AD413=0,"",IF(LEFT(K413,5)="Geler","❄ Gelée",IF(G413="",IF(D413&lt;=TODAY(),"⚠ Indice attendu","À venir"),IF(D413&lt;=TODAY(),"✔ Calculable","Indice connu – à venir"))))</f>
        <v/>
      </c>
      <c r="W413" s="29" t="n"/>
      <c r="X413" s="13" t="n"/>
      <c r="Y413" s="14" t="n"/>
      <c r="Z413" s="14" t="n"/>
      <c r="AA413" s="13" t="n"/>
      <c r="AB413" s="17">
        <f>IF(A413="","",A413&amp;"#"&amp;C413)</f>
        <v/>
      </c>
      <c r="AC413" s="17">
        <f>IF(AND(AD413=1,D413&lt;=TODAY(),N413&lt;&gt;""),1,0)</f>
        <v/>
      </c>
      <c r="AD413" s="17">
        <f>IF(OR(A413="",D413=""),0,IF(AND(ISNUMBER(Baux!$H$36),D413&gt;Baux!$H$36),0,1))</f>
        <v/>
      </c>
    </row>
    <row r="414">
      <c r="A414" s="17">
        <f>IF(Baux!$A$36="","",Baux!$A$36)</f>
        <v/>
      </c>
      <c r="B414" s="17">
        <f>IF(A414="","",Baux!$B$36)</f>
        <v/>
      </c>
      <c r="C414" s="17" t="n">
        <v>5</v>
      </c>
      <c r="D414" s="15">
        <f>IF(OR(A414="",Baux!$F$36="",Baux!$O$36=""),"",EDATE(Baux!$F$36,12*Baux!$O$36*C414))</f>
        <v/>
      </c>
      <c r="E414" s="17">
        <f>IF(AD414=0,"",Baux!$M$36)</f>
        <v/>
      </c>
      <c r="F414" s="17">
        <f>IF(AD414=0,"",IFERROR(TEXT(VALUE(LEFT(Baux!$N$36,4))+C414*Baux!$O$36,"0")&amp;RIGHT(Baux!$N$36,3),""))</f>
        <v/>
      </c>
      <c r="G414" s="25">
        <f>IF(AD414=0,"",IF(F414="","",IF(SUMIFS(Indices_long!$C:$C,Indices_long!$A:$A,E414,Indices_long!$B:$B,F414)=0,"",SUMIFS(Indices_long!$C:$C,Indices_long!$A:$A,E414,Indices_long!$B:$B,F414))))</f>
        <v/>
      </c>
      <c r="H414" s="17">
        <f>IF(AD414=0,"",IF(Baux!$P$36="Base fixe",Baux!$N$36,IF(K413="Geler – rattrapage possible",H413,F413)))</f>
        <v/>
      </c>
      <c r="I414" s="25">
        <f>IF(AD414=0,"",IF(H414="","",IF(SUMIFS(Indices_long!$C:$C,Indices_long!$A:$A,E414,Indices_long!$B:$B,H414)=0,"",SUMIFS(Indices_long!$C:$C,Indices_long!$A:$A,E414,Indices_long!$B:$B,H414))))</f>
        <v/>
      </c>
      <c r="J414" s="26">
        <f>IF(OR(G414="",I414=""),"",G414/I414)</f>
        <v/>
      </c>
      <c r="K414" s="13" t="n"/>
      <c r="L414" s="27">
        <f>IF(AD414=0,"",IF(Baux!$P$36="Base fixe",Baux!$I$36,N413))</f>
        <v/>
      </c>
      <c r="M414" s="27">
        <f>IF(OR(J414="",L414=""),"",ROUND(L414*J414,2))</f>
        <v/>
      </c>
      <c r="N414" s="27">
        <f>IF(AD414=0,"",IF(LEFT(K414,5)="Geler",O414,IF(M414="","",IF(Baux!$Q$36="",M414,MIN(M414,ROUND(L414*(1+Baux!$Q$36/100)^IF(Baux!$P$36="Base fixe",C414*Baux!$O$36,VALUE(LEFT(F414,4))-VALUE(LEFT(H414,4))),2))))))</f>
        <v/>
      </c>
      <c r="O414" s="27">
        <f>IF(AD414=0,"",N413)</f>
        <v/>
      </c>
      <c r="P414" s="28">
        <f>IF(OR(N414="",O414=""),"",N414/O414-1)</f>
        <v/>
      </c>
      <c r="Q414" s="27">
        <f>IF(N414="","",N414/12)</f>
        <v/>
      </c>
      <c r="R414" s="27">
        <f>IF(N414="","",N414/IF(Baux!$L$36="Mensuelle",12,IF(Baux!$L$36="Trimestrielle",4,IF(Baux!$L$36="Semestrielle",2,1))))</f>
        <v/>
      </c>
      <c r="S414" s="27">
        <f>IF(AD414=0,"",IF(Baux!$J$36="",0,Baux!$J$36)/IF(Baux!$L$36="Mensuelle",12,IF(Baux!$L$36="Trimestrielle",4,IF(Baux!$L$36="Semestrielle",2,1))))</f>
        <v/>
      </c>
      <c r="T414" s="27">
        <f>IF(R414="","",(R414+S414)*Baux!$K$36/100)</f>
        <v/>
      </c>
      <c r="U414" s="27">
        <f>IF(R414="","",R414+S414+T414)</f>
        <v/>
      </c>
      <c r="V414" s="17">
        <f>IF(AD414=0,"",IF(LEFT(K414,5)="Geler","❄ Gelée",IF(G414="",IF(D414&lt;=TODAY(),"⚠ Indice attendu","À venir"),IF(D414&lt;=TODAY(),"✔ Calculable","Indice connu – à venir"))))</f>
        <v/>
      </c>
      <c r="W414" s="29" t="n"/>
      <c r="X414" s="13" t="n"/>
      <c r="Y414" s="14" t="n"/>
      <c r="Z414" s="14" t="n"/>
      <c r="AA414" s="13" t="n"/>
      <c r="AB414" s="17">
        <f>IF(A414="","",A414&amp;"#"&amp;C414)</f>
        <v/>
      </c>
      <c r="AC414" s="17">
        <f>IF(AND(AD414=1,D414&lt;=TODAY(),N414&lt;&gt;""),1,0)</f>
        <v/>
      </c>
      <c r="AD414" s="17">
        <f>IF(OR(A414="",D414=""),0,IF(AND(ISNUMBER(Baux!$H$36),D414&gt;Baux!$H$36),0,1))</f>
        <v/>
      </c>
    </row>
    <row r="415">
      <c r="A415" s="17">
        <f>IF(Baux!$A$36="","",Baux!$A$36)</f>
        <v/>
      </c>
      <c r="B415" s="17">
        <f>IF(A415="","",Baux!$B$36)</f>
        <v/>
      </c>
      <c r="C415" s="17" t="n">
        <v>6</v>
      </c>
      <c r="D415" s="15">
        <f>IF(OR(A415="",Baux!$F$36="",Baux!$O$36=""),"",EDATE(Baux!$F$36,12*Baux!$O$36*C415))</f>
        <v/>
      </c>
      <c r="E415" s="17">
        <f>IF(AD415=0,"",Baux!$M$36)</f>
        <v/>
      </c>
      <c r="F415" s="17">
        <f>IF(AD415=0,"",IFERROR(TEXT(VALUE(LEFT(Baux!$N$36,4))+C415*Baux!$O$36,"0")&amp;RIGHT(Baux!$N$36,3),""))</f>
        <v/>
      </c>
      <c r="G415" s="25">
        <f>IF(AD415=0,"",IF(F415="","",IF(SUMIFS(Indices_long!$C:$C,Indices_long!$A:$A,E415,Indices_long!$B:$B,F415)=0,"",SUMIFS(Indices_long!$C:$C,Indices_long!$A:$A,E415,Indices_long!$B:$B,F415))))</f>
        <v/>
      </c>
      <c r="H415" s="17">
        <f>IF(AD415=0,"",IF(Baux!$P$36="Base fixe",Baux!$N$36,IF(K414="Geler – rattrapage possible",H414,F414)))</f>
        <v/>
      </c>
      <c r="I415" s="25">
        <f>IF(AD415=0,"",IF(H415="","",IF(SUMIFS(Indices_long!$C:$C,Indices_long!$A:$A,E415,Indices_long!$B:$B,H415)=0,"",SUMIFS(Indices_long!$C:$C,Indices_long!$A:$A,E415,Indices_long!$B:$B,H415))))</f>
        <v/>
      </c>
      <c r="J415" s="26">
        <f>IF(OR(G415="",I415=""),"",G415/I415)</f>
        <v/>
      </c>
      <c r="K415" s="13" t="n"/>
      <c r="L415" s="27">
        <f>IF(AD415=0,"",IF(Baux!$P$36="Base fixe",Baux!$I$36,N414))</f>
        <v/>
      </c>
      <c r="M415" s="27">
        <f>IF(OR(J415="",L415=""),"",ROUND(L415*J415,2))</f>
        <v/>
      </c>
      <c r="N415" s="27">
        <f>IF(AD415=0,"",IF(LEFT(K415,5)="Geler",O415,IF(M415="","",IF(Baux!$Q$36="",M415,MIN(M415,ROUND(L415*(1+Baux!$Q$36/100)^IF(Baux!$P$36="Base fixe",C415*Baux!$O$36,VALUE(LEFT(F415,4))-VALUE(LEFT(H415,4))),2))))))</f>
        <v/>
      </c>
      <c r="O415" s="27">
        <f>IF(AD415=0,"",N414)</f>
        <v/>
      </c>
      <c r="P415" s="28">
        <f>IF(OR(N415="",O415=""),"",N415/O415-1)</f>
        <v/>
      </c>
      <c r="Q415" s="27">
        <f>IF(N415="","",N415/12)</f>
        <v/>
      </c>
      <c r="R415" s="27">
        <f>IF(N415="","",N415/IF(Baux!$L$36="Mensuelle",12,IF(Baux!$L$36="Trimestrielle",4,IF(Baux!$L$36="Semestrielle",2,1))))</f>
        <v/>
      </c>
      <c r="S415" s="27">
        <f>IF(AD415=0,"",IF(Baux!$J$36="",0,Baux!$J$36)/IF(Baux!$L$36="Mensuelle",12,IF(Baux!$L$36="Trimestrielle",4,IF(Baux!$L$36="Semestrielle",2,1))))</f>
        <v/>
      </c>
      <c r="T415" s="27">
        <f>IF(R415="","",(R415+S415)*Baux!$K$36/100)</f>
        <v/>
      </c>
      <c r="U415" s="27">
        <f>IF(R415="","",R415+S415+T415)</f>
        <v/>
      </c>
      <c r="V415" s="17">
        <f>IF(AD415=0,"",IF(LEFT(K415,5)="Geler","❄ Gelée",IF(G415="",IF(D415&lt;=TODAY(),"⚠ Indice attendu","À venir"),IF(D415&lt;=TODAY(),"✔ Calculable","Indice connu – à venir"))))</f>
        <v/>
      </c>
      <c r="W415" s="29" t="n"/>
      <c r="X415" s="13" t="n"/>
      <c r="Y415" s="14" t="n"/>
      <c r="Z415" s="14" t="n"/>
      <c r="AA415" s="13" t="n"/>
      <c r="AB415" s="17">
        <f>IF(A415="","",A415&amp;"#"&amp;C415)</f>
        <v/>
      </c>
      <c r="AC415" s="17">
        <f>IF(AND(AD415=1,D415&lt;=TODAY(),N415&lt;&gt;""),1,0)</f>
        <v/>
      </c>
      <c r="AD415" s="17">
        <f>IF(OR(A415="",D415=""),0,IF(AND(ISNUMBER(Baux!$H$36),D415&gt;Baux!$H$36),0,1))</f>
        <v/>
      </c>
    </row>
    <row r="416">
      <c r="A416" s="17">
        <f>IF(Baux!$A$36="","",Baux!$A$36)</f>
        <v/>
      </c>
      <c r="B416" s="17">
        <f>IF(A416="","",Baux!$B$36)</f>
        <v/>
      </c>
      <c r="C416" s="17" t="n">
        <v>7</v>
      </c>
      <c r="D416" s="15">
        <f>IF(OR(A416="",Baux!$F$36="",Baux!$O$36=""),"",EDATE(Baux!$F$36,12*Baux!$O$36*C416))</f>
        <v/>
      </c>
      <c r="E416" s="17">
        <f>IF(AD416=0,"",Baux!$M$36)</f>
        <v/>
      </c>
      <c r="F416" s="17">
        <f>IF(AD416=0,"",IFERROR(TEXT(VALUE(LEFT(Baux!$N$36,4))+C416*Baux!$O$36,"0")&amp;RIGHT(Baux!$N$36,3),""))</f>
        <v/>
      </c>
      <c r="G416" s="25">
        <f>IF(AD416=0,"",IF(F416="","",IF(SUMIFS(Indices_long!$C:$C,Indices_long!$A:$A,E416,Indices_long!$B:$B,F416)=0,"",SUMIFS(Indices_long!$C:$C,Indices_long!$A:$A,E416,Indices_long!$B:$B,F416))))</f>
        <v/>
      </c>
      <c r="H416" s="17">
        <f>IF(AD416=0,"",IF(Baux!$P$36="Base fixe",Baux!$N$36,IF(K415="Geler – rattrapage possible",H415,F415)))</f>
        <v/>
      </c>
      <c r="I416" s="25">
        <f>IF(AD416=0,"",IF(H416="","",IF(SUMIFS(Indices_long!$C:$C,Indices_long!$A:$A,E416,Indices_long!$B:$B,H416)=0,"",SUMIFS(Indices_long!$C:$C,Indices_long!$A:$A,E416,Indices_long!$B:$B,H416))))</f>
        <v/>
      </c>
      <c r="J416" s="26">
        <f>IF(OR(G416="",I416=""),"",G416/I416)</f>
        <v/>
      </c>
      <c r="K416" s="13" t="n"/>
      <c r="L416" s="27">
        <f>IF(AD416=0,"",IF(Baux!$P$36="Base fixe",Baux!$I$36,N415))</f>
        <v/>
      </c>
      <c r="M416" s="27">
        <f>IF(OR(J416="",L416=""),"",ROUND(L416*J416,2))</f>
        <v/>
      </c>
      <c r="N416" s="27">
        <f>IF(AD416=0,"",IF(LEFT(K416,5)="Geler",O416,IF(M416="","",IF(Baux!$Q$36="",M416,MIN(M416,ROUND(L416*(1+Baux!$Q$36/100)^IF(Baux!$P$36="Base fixe",C416*Baux!$O$36,VALUE(LEFT(F416,4))-VALUE(LEFT(H416,4))),2))))))</f>
        <v/>
      </c>
      <c r="O416" s="27">
        <f>IF(AD416=0,"",N415)</f>
        <v/>
      </c>
      <c r="P416" s="28">
        <f>IF(OR(N416="",O416=""),"",N416/O416-1)</f>
        <v/>
      </c>
      <c r="Q416" s="27">
        <f>IF(N416="","",N416/12)</f>
        <v/>
      </c>
      <c r="R416" s="27">
        <f>IF(N416="","",N416/IF(Baux!$L$36="Mensuelle",12,IF(Baux!$L$36="Trimestrielle",4,IF(Baux!$L$36="Semestrielle",2,1))))</f>
        <v/>
      </c>
      <c r="S416" s="27">
        <f>IF(AD416=0,"",IF(Baux!$J$36="",0,Baux!$J$36)/IF(Baux!$L$36="Mensuelle",12,IF(Baux!$L$36="Trimestrielle",4,IF(Baux!$L$36="Semestrielle",2,1))))</f>
        <v/>
      </c>
      <c r="T416" s="27">
        <f>IF(R416="","",(R416+S416)*Baux!$K$36/100)</f>
        <v/>
      </c>
      <c r="U416" s="27">
        <f>IF(R416="","",R416+S416+T416)</f>
        <v/>
      </c>
      <c r="V416" s="17">
        <f>IF(AD416=0,"",IF(LEFT(K416,5)="Geler","❄ Gelée",IF(G416="",IF(D416&lt;=TODAY(),"⚠ Indice attendu","À venir"),IF(D416&lt;=TODAY(),"✔ Calculable","Indice connu – à venir"))))</f>
        <v/>
      </c>
      <c r="W416" s="29" t="n"/>
      <c r="X416" s="13" t="n"/>
      <c r="Y416" s="14" t="n"/>
      <c r="Z416" s="14" t="n"/>
      <c r="AA416" s="13" t="n"/>
      <c r="AB416" s="17">
        <f>IF(A416="","",A416&amp;"#"&amp;C416)</f>
        <v/>
      </c>
      <c r="AC416" s="17">
        <f>IF(AND(AD416=1,D416&lt;=TODAY(),N416&lt;&gt;""),1,0)</f>
        <v/>
      </c>
      <c r="AD416" s="17">
        <f>IF(OR(A416="",D416=""),0,IF(AND(ISNUMBER(Baux!$H$36),D416&gt;Baux!$H$36),0,1))</f>
        <v/>
      </c>
    </row>
    <row r="417">
      <c r="A417" s="17">
        <f>IF(Baux!$A$36="","",Baux!$A$36)</f>
        <v/>
      </c>
      <c r="B417" s="17">
        <f>IF(A417="","",Baux!$B$36)</f>
        <v/>
      </c>
      <c r="C417" s="17" t="n">
        <v>8</v>
      </c>
      <c r="D417" s="15">
        <f>IF(OR(A417="",Baux!$F$36="",Baux!$O$36=""),"",EDATE(Baux!$F$36,12*Baux!$O$36*C417))</f>
        <v/>
      </c>
      <c r="E417" s="17">
        <f>IF(AD417=0,"",Baux!$M$36)</f>
        <v/>
      </c>
      <c r="F417" s="17">
        <f>IF(AD417=0,"",IFERROR(TEXT(VALUE(LEFT(Baux!$N$36,4))+C417*Baux!$O$36,"0")&amp;RIGHT(Baux!$N$36,3),""))</f>
        <v/>
      </c>
      <c r="G417" s="25">
        <f>IF(AD417=0,"",IF(F417="","",IF(SUMIFS(Indices_long!$C:$C,Indices_long!$A:$A,E417,Indices_long!$B:$B,F417)=0,"",SUMIFS(Indices_long!$C:$C,Indices_long!$A:$A,E417,Indices_long!$B:$B,F417))))</f>
        <v/>
      </c>
      <c r="H417" s="17">
        <f>IF(AD417=0,"",IF(Baux!$P$36="Base fixe",Baux!$N$36,IF(K416="Geler – rattrapage possible",H416,F416)))</f>
        <v/>
      </c>
      <c r="I417" s="25">
        <f>IF(AD417=0,"",IF(H417="","",IF(SUMIFS(Indices_long!$C:$C,Indices_long!$A:$A,E417,Indices_long!$B:$B,H417)=0,"",SUMIFS(Indices_long!$C:$C,Indices_long!$A:$A,E417,Indices_long!$B:$B,H417))))</f>
        <v/>
      </c>
      <c r="J417" s="26">
        <f>IF(OR(G417="",I417=""),"",G417/I417)</f>
        <v/>
      </c>
      <c r="K417" s="13" t="n"/>
      <c r="L417" s="27">
        <f>IF(AD417=0,"",IF(Baux!$P$36="Base fixe",Baux!$I$36,N416))</f>
        <v/>
      </c>
      <c r="M417" s="27">
        <f>IF(OR(J417="",L417=""),"",ROUND(L417*J417,2))</f>
        <v/>
      </c>
      <c r="N417" s="27">
        <f>IF(AD417=0,"",IF(LEFT(K417,5)="Geler",O417,IF(M417="","",IF(Baux!$Q$36="",M417,MIN(M417,ROUND(L417*(1+Baux!$Q$36/100)^IF(Baux!$P$36="Base fixe",C417*Baux!$O$36,VALUE(LEFT(F417,4))-VALUE(LEFT(H417,4))),2))))))</f>
        <v/>
      </c>
      <c r="O417" s="27">
        <f>IF(AD417=0,"",N416)</f>
        <v/>
      </c>
      <c r="P417" s="28">
        <f>IF(OR(N417="",O417=""),"",N417/O417-1)</f>
        <v/>
      </c>
      <c r="Q417" s="27">
        <f>IF(N417="","",N417/12)</f>
        <v/>
      </c>
      <c r="R417" s="27">
        <f>IF(N417="","",N417/IF(Baux!$L$36="Mensuelle",12,IF(Baux!$L$36="Trimestrielle",4,IF(Baux!$L$36="Semestrielle",2,1))))</f>
        <v/>
      </c>
      <c r="S417" s="27">
        <f>IF(AD417=0,"",IF(Baux!$J$36="",0,Baux!$J$36)/IF(Baux!$L$36="Mensuelle",12,IF(Baux!$L$36="Trimestrielle",4,IF(Baux!$L$36="Semestrielle",2,1))))</f>
        <v/>
      </c>
      <c r="T417" s="27">
        <f>IF(R417="","",(R417+S417)*Baux!$K$36/100)</f>
        <v/>
      </c>
      <c r="U417" s="27">
        <f>IF(R417="","",R417+S417+T417)</f>
        <v/>
      </c>
      <c r="V417" s="17">
        <f>IF(AD417=0,"",IF(LEFT(K417,5)="Geler","❄ Gelée",IF(G417="",IF(D417&lt;=TODAY(),"⚠ Indice attendu","À venir"),IF(D417&lt;=TODAY(),"✔ Calculable","Indice connu – à venir"))))</f>
        <v/>
      </c>
      <c r="W417" s="29" t="n"/>
      <c r="X417" s="13" t="n"/>
      <c r="Y417" s="14" t="n"/>
      <c r="Z417" s="14" t="n"/>
      <c r="AA417" s="13" t="n"/>
      <c r="AB417" s="17">
        <f>IF(A417="","",A417&amp;"#"&amp;C417)</f>
        <v/>
      </c>
      <c r="AC417" s="17">
        <f>IF(AND(AD417=1,D417&lt;=TODAY(),N417&lt;&gt;""),1,0)</f>
        <v/>
      </c>
      <c r="AD417" s="17">
        <f>IF(OR(A417="",D417=""),0,IF(AND(ISNUMBER(Baux!$H$36),D417&gt;Baux!$H$36),0,1))</f>
        <v/>
      </c>
    </row>
    <row r="418">
      <c r="A418" s="17">
        <f>IF(Baux!$A$36="","",Baux!$A$36)</f>
        <v/>
      </c>
      <c r="B418" s="17">
        <f>IF(A418="","",Baux!$B$36)</f>
        <v/>
      </c>
      <c r="C418" s="17" t="n">
        <v>9</v>
      </c>
      <c r="D418" s="15">
        <f>IF(OR(A418="",Baux!$F$36="",Baux!$O$36=""),"",EDATE(Baux!$F$36,12*Baux!$O$36*C418))</f>
        <v/>
      </c>
      <c r="E418" s="17">
        <f>IF(AD418=0,"",Baux!$M$36)</f>
        <v/>
      </c>
      <c r="F418" s="17">
        <f>IF(AD418=0,"",IFERROR(TEXT(VALUE(LEFT(Baux!$N$36,4))+C418*Baux!$O$36,"0")&amp;RIGHT(Baux!$N$36,3),""))</f>
        <v/>
      </c>
      <c r="G418" s="25">
        <f>IF(AD418=0,"",IF(F418="","",IF(SUMIFS(Indices_long!$C:$C,Indices_long!$A:$A,E418,Indices_long!$B:$B,F418)=0,"",SUMIFS(Indices_long!$C:$C,Indices_long!$A:$A,E418,Indices_long!$B:$B,F418))))</f>
        <v/>
      </c>
      <c r="H418" s="17">
        <f>IF(AD418=0,"",IF(Baux!$P$36="Base fixe",Baux!$N$36,IF(K417="Geler – rattrapage possible",H417,F417)))</f>
        <v/>
      </c>
      <c r="I418" s="25">
        <f>IF(AD418=0,"",IF(H418="","",IF(SUMIFS(Indices_long!$C:$C,Indices_long!$A:$A,E418,Indices_long!$B:$B,H418)=0,"",SUMIFS(Indices_long!$C:$C,Indices_long!$A:$A,E418,Indices_long!$B:$B,H418))))</f>
        <v/>
      </c>
      <c r="J418" s="26">
        <f>IF(OR(G418="",I418=""),"",G418/I418)</f>
        <v/>
      </c>
      <c r="K418" s="13" t="n"/>
      <c r="L418" s="27">
        <f>IF(AD418=0,"",IF(Baux!$P$36="Base fixe",Baux!$I$36,N417))</f>
        <v/>
      </c>
      <c r="M418" s="27">
        <f>IF(OR(J418="",L418=""),"",ROUND(L418*J418,2))</f>
        <v/>
      </c>
      <c r="N418" s="27">
        <f>IF(AD418=0,"",IF(LEFT(K418,5)="Geler",O418,IF(M418="","",IF(Baux!$Q$36="",M418,MIN(M418,ROUND(L418*(1+Baux!$Q$36/100)^IF(Baux!$P$36="Base fixe",C418*Baux!$O$36,VALUE(LEFT(F418,4))-VALUE(LEFT(H418,4))),2))))))</f>
        <v/>
      </c>
      <c r="O418" s="27">
        <f>IF(AD418=0,"",N417)</f>
        <v/>
      </c>
      <c r="P418" s="28">
        <f>IF(OR(N418="",O418=""),"",N418/O418-1)</f>
        <v/>
      </c>
      <c r="Q418" s="27">
        <f>IF(N418="","",N418/12)</f>
        <v/>
      </c>
      <c r="R418" s="27">
        <f>IF(N418="","",N418/IF(Baux!$L$36="Mensuelle",12,IF(Baux!$L$36="Trimestrielle",4,IF(Baux!$L$36="Semestrielle",2,1))))</f>
        <v/>
      </c>
      <c r="S418" s="27">
        <f>IF(AD418=0,"",IF(Baux!$J$36="",0,Baux!$J$36)/IF(Baux!$L$36="Mensuelle",12,IF(Baux!$L$36="Trimestrielle",4,IF(Baux!$L$36="Semestrielle",2,1))))</f>
        <v/>
      </c>
      <c r="T418" s="27">
        <f>IF(R418="","",(R418+S418)*Baux!$K$36/100)</f>
        <v/>
      </c>
      <c r="U418" s="27">
        <f>IF(R418="","",R418+S418+T418)</f>
        <v/>
      </c>
      <c r="V418" s="17">
        <f>IF(AD418=0,"",IF(LEFT(K418,5)="Geler","❄ Gelée",IF(G418="",IF(D418&lt;=TODAY(),"⚠ Indice attendu","À venir"),IF(D418&lt;=TODAY(),"✔ Calculable","Indice connu – à venir"))))</f>
        <v/>
      </c>
      <c r="W418" s="29" t="n"/>
      <c r="X418" s="13" t="n"/>
      <c r="Y418" s="14" t="n"/>
      <c r="Z418" s="14" t="n"/>
      <c r="AA418" s="13" t="n"/>
      <c r="AB418" s="17">
        <f>IF(A418="","",A418&amp;"#"&amp;C418)</f>
        <v/>
      </c>
      <c r="AC418" s="17">
        <f>IF(AND(AD418=1,D418&lt;=TODAY(),N418&lt;&gt;""),1,0)</f>
        <v/>
      </c>
      <c r="AD418" s="17">
        <f>IF(OR(A418="",D418=""),0,IF(AND(ISNUMBER(Baux!$H$36),D418&gt;Baux!$H$36),0,1))</f>
        <v/>
      </c>
    </row>
    <row r="419">
      <c r="A419" s="17">
        <f>IF(Baux!$A$36="","",Baux!$A$36)</f>
        <v/>
      </c>
      <c r="B419" s="17">
        <f>IF(A419="","",Baux!$B$36)</f>
        <v/>
      </c>
      <c r="C419" s="17" t="n">
        <v>10</v>
      </c>
      <c r="D419" s="15">
        <f>IF(OR(A419="",Baux!$F$36="",Baux!$O$36=""),"",EDATE(Baux!$F$36,12*Baux!$O$36*C419))</f>
        <v/>
      </c>
      <c r="E419" s="17">
        <f>IF(AD419=0,"",Baux!$M$36)</f>
        <v/>
      </c>
      <c r="F419" s="17">
        <f>IF(AD419=0,"",IFERROR(TEXT(VALUE(LEFT(Baux!$N$36,4))+C419*Baux!$O$36,"0")&amp;RIGHT(Baux!$N$36,3),""))</f>
        <v/>
      </c>
      <c r="G419" s="25">
        <f>IF(AD419=0,"",IF(F419="","",IF(SUMIFS(Indices_long!$C:$C,Indices_long!$A:$A,E419,Indices_long!$B:$B,F419)=0,"",SUMIFS(Indices_long!$C:$C,Indices_long!$A:$A,E419,Indices_long!$B:$B,F419))))</f>
        <v/>
      </c>
      <c r="H419" s="17">
        <f>IF(AD419=0,"",IF(Baux!$P$36="Base fixe",Baux!$N$36,IF(K418="Geler – rattrapage possible",H418,F418)))</f>
        <v/>
      </c>
      <c r="I419" s="25">
        <f>IF(AD419=0,"",IF(H419="","",IF(SUMIFS(Indices_long!$C:$C,Indices_long!$A:$A,E419,Indices_long!$B:$B,H419)=0,"",SUMIFS(Indices_long!$C:$C,Indices_long!$A:$A,E419,Indices_long!$B:$B,H419))))</f>
        <v/>
      </c>
      <c r="J419" s="26">
        <f>IF(OR(G419="",I419=""),"",G419/I419)</f>
        <v/>
      </c>
      <c r="K419" s="13" t="n"/>
      <c r="L419" s="27">
        <f>IF(AD419=0,"",IF(Baux!$P$36="Base fixe",Baux!$I$36,N418))</f>
        <v/>
      </c>
      <c r="M419" s="27">
        <f>IF(OR(J419="",L419=""),"",ROUND(L419*J419,2))</f>
        <v/>
      </c>
      <c r="N419" s="27">
        <f>IF(AD419=0,"",IF(LEFT(K419,5)="Geler",O419,IF(M419="","",IF(Baux!$Q$36="",M419,MIN(M419,ROUND(L419*(1+Baux!$Q$36/100)^IF(Baux!$P$36="Base fixe",C419*Baux!$O$36,VALUE(LEFT(F419,4))-VALUE(LEFT(H419,4))),2))))))</f>
        <v/>
      </c>
      <c r="O419" s="27">
        <f>IF(AD419=0,"",N418)</f>
        <v/>
      </c>
      <c r="P419" s="28">
        <f>IF(OR(N419="",O419=""),"",N419/O419-1)</f>
        <v/>
      </c>
      <c r="Q419" s="27">
        <f>IF(N419="","",N419/12)</f>
        <v/>
      </c>
      <c r="R419" s="27">
        <f>IF(N419="","",N419/IF(Baux!$L$36="Mensuelle",12,IF(Baux!$L$36="Trimestrielle",4,IF(Baux!$L$36="Semestrielle",2,1))))</f>
        <v/>
      </c>
      <c r="S419" s="27">
        <f>IF(AD419=0,"",IF(Baux!$J$36="",0,Baux!$J$36)/IF(Baux!$L$36="Mensuelle",12,IF(Baux!$L$36="Trimestrielle",4,IF(Baux!$L$36="Semestrielle",2,1))))</f>
        <v/>
      </c>
      <c r="T419" s="27">
        <f>IF(R419="","",(R419+S419)*Baux!$K$36/100)</f>
        <v/>
      </c>
      <c r="U419" s="27">
        <f>IF(R419="","",R419+S419+T419)</f>
        <v/>
      </c>
      <c r="V419" s="17">
        <f>IF(AD419=0,"",IF(LEFT(K419,5)="Geler","❄ Gelée",IF(G419="",IF(D419&lt;=TODAY(),"⚠ Indice attendu","À venir"),IF(D419&lt;=TODAY(),"✔ Calculable","Indice connu – à venir"))))</f>
        <v/>
      </c>
      <c r="W419" s="29" t="n"/>
      <c r="X419" s="13" t="n"/>
      <c r="Y419" s="14" t="n"/>
      <c r="Z419" s="14" t="n"/>
      <c r="AA419" s="13" t="n"/>
      <c r="AB419" s="17">
        <f>IF(A419="","",A419&amp;"#"&amp;C419)</f>
        <v/>
      </c>
      <c r="AC419" s="17">
        <f>IF(AND(AD419=1,D419&lt;=TODAY(),N419&lt;&gt;""),1,0)</f>
        <v/>
      </c>
      <c r="AD419" s="17">
        <f>IF(OR(A419="",D419=""),0,IF(AND(ISNUMBER(Baux!$H$36),D419&gt;Baux!$H$36),0,1))</f>
        <v/>
      </c>
    </row>
    <row r="420">
      <c r="A420" s="17">
        <f>IF(Baux!$A$36="","",Baux!$A$36)</f>
        <v/>
      </c>
      <c r="B420" s="17">
        <f>IF(A420="","",Baux!$B$36)</f>
        <v/>
      </c>
      <c r="C420" s="17" t="n">
        <v>11</v>
      </c>
      <c r="D420" s="15">
        <f>IF(OR(A420="",Baux!$F$36="",Baux!$O$36=""),"",EDATE(Baux!$F$36,12*Baux!$O$36*C420))</f>
        <v/>
      </c>
      <c r="E420" s="17">
        <f>IF(AD420=0,"",Baux!$M$36)</f>
        <v/>
      </c>
      <c r="F420" s="17">
        <f>IF(AD420=0,"",IFERROR(TEXT(VALUE(LEFT(Baux!$N$36,4))+C420*Baux!$O$36,"0")&amp;RIGHT(Baux!$N$36,3),""))</f>
        <v/>
      </c>
      <c r="G420" s="25">
        <f>IF(AD420=0,"",IF(F420="","",IF(SUMIFS(Indices_long!$C:$C,Indices_long!$A:$A,E420,Indices_long!$B:$B,F420)=0,"",SUMIFS(Indices_long!$C:$C,Indices_long!$A:$A,E420,Indices_long!$B:$B,F420))))</f>
        <v/>
      </c>
      <c r="H420" s="17">
        <f>IF(AD420=0,"",IF(Baux!$P$36="Base fixe",Baux!$N$36,IF(K419="Geler – rattrapage possible",H419,F419)))</f>
        <v/>
      </c>
      <c r="I420" s="25">
        <f>IF(AD420=0,"",IF(H420="","",IF(SUMIFS(Indices_long!$C:$C,Indices_long!$A:$A,E420,Indices_long!$B:$B,H420)=0,"",SUMIFS(Indices_long!$C:$C,Indices_long!$A:$A,E420,Indices_long!$B:$B,H420))))</f>
        <v/>
      </c>
      <c r="J420" s="26">
        <f>IF(OR(G420="",I420=""),"",G420/I420)</f>
        <v/>
      </c>
      <c r="K420" s="13" t="n"/>
      <c r="L420" s="27">
        <f>IF(AD420=0,"",IF(Baux!$P$36="Base fixe",Baux!$I$36,N419))</f>
        <v/>
      </c>
      <c r="M420" s="27">
        <f>IF(OR(J420="",L420=""),"",ROUND(L420*J420,2))</f>
        <v/>
      </c>
      <c r="N420" s="27">
        <f>IF(AD420=0,"",IF(LEFT(K420,5)="Geler",O420,IF(M420="","",IF(Baux!$Q$36="",M420,MIN(M420,ROUND(L420*(1+Baux!$Q$36/100)^IF(Baux!$P$36="Base fixe",C420*Baux!$O$36,VALUE(LEFT(F420,4))-VALUE(LEFT(H420,4))),2))))))</f>
        <v/>
      </c>
      <c r="O420" s="27">
        <f>IF(AD420=0,"",N419)</f>
        <v/>
      </c>
      <c r="P420" s="28">
        <f>IF(OR(N420="",O420=""),"",N420/O420-1)</f>
        <v/>
      </c>
      <c r="Q420" s="27">
        <f>IF(N420="","",N420/12)</f>
        <v/>
      </c>
      <c r="R420" s="27">
        <f>IF(N420="","",N420/IF(Baux!$L$36="Mensuelle",12,IF(Baux!$L$36="Trimestrielle",4,IF(Baux!$L$36="Semestrielle",2,1))))</f>
        <v/>
      </c>
      <c r="S420" s="27">
        <f>IF(AD420=0,"",IF(Baux!$J$36="",0,Baux!$J$36)/IF(Baux!$L$36="Mensuelle",12,IF(Baux!$L$36="Trimestrielle",4,IF(Baux!$L$36="Semestrielle",2,1))))</f>
        <v/>
      </c>
      <c r="T420" s="27">
        <f>IF(R420="","",(R420+S420)*Baux!$K$36/100)</f>
        <v/>
      </c>
      <c r="U420" s="27">
        <f>IF(R420="","",R420+S420+T420)</f>
        <v/>
      </c>
      <c r="V420" s="17">
        <f>IF(AD420=0,"",IF(LEFT(K420,5)="Geler","❄ Gelée",IF(G420="",IF(D420&lt;=TODAY(),"⚠ Indice attendu","À venir"),IF(D420&lt;=TODAY(),"✔ Calculable","Indice connu – à venir"))))</f>
        <v/>
      </c>
      <c r="W420" s="29" t="n"/>
      <c r="X420" s="13" t="n"/>
      <c r="Y420" s="14" t="n"/>
      <c r="Z420" s="14" t="n"/>
      <c r="AA420" s="13" t="n"/>
      <c r="AB420" s="17">
        <f>IF(A420="","",A420&amp;"#"&amp;C420)</f>
        <v/>
      </c>
      <c r="AC420" s="17">
        <f>IF(AND(AD420=1,D420&lt;=TODAY(),N420&lt;&gt;""),1,0)</f>
        <v/>
      </c>
      <c r="AD420" s="17">
        <f>IF(OR(A420="",D420=""),0,IF(AND(ISNUMBER(Baux!$H$36),D420&gt;Baux!$H$36),0,1))</f>
        <v/>
      </c>
    </row>
    <row r="421">
      <c r="A421" s="17">
        <f>IF(Baux!$A$36="","",Baux!$A$36)</f>
        <v/>
      </c>
      <c r="B421" s="17">
        <f>IF(A421="","",Baux!$B$36)</f>
        <v/>
      </c>
      <c r="C421" s="17" t="n">
        <v>12</v>
      </c>
      <c r="D421" s="15">
        <f>IF(OR(A421="",Baux!$F$36="",Baux!$O$36=""),"",EDATE(Baux!$F$36,12*Baux!$O$36*C421))</f>
        <v/>
      </c>
      <c r="E421" s="17">
        <f>IF(AD421=0,"",Baux!$M$36)</f>
        <v/>
      </c>
      <c r="F421" s="17">
        <f>IF(AD421=0,"",IFERROR(TEXT(VALUE(LEFT(Baux!$N$36,4))+C421*Baux!$O$36,"0")&amp;RIGHT(Baux!$N$36,3),""))</f>
        <v/>
      </c>
      <c r="G421" s="25">
        <f>IF(AD421=0,"",IF(F421="","",IF(SUMIFS(Indices_long!$C:$C,Indices_long!$A:$A,E421,Indices_long!$B:$B,F421)=0,"",SUMIFS(Indices_long!$C:$C,Indices_long!$A:$A,E421,Indices_long!$B:$B,F421))))</f>
        <v/>
      </c>
      <c r="H421" s="17">
        <f>IF(AD421=0,"",IF(Baux!$P$36="Base fixe",Baux!$N$36,IF(K420="Geler – rattrapage possible",H420,F420)))</f>
        <v/>
      </c>
      <c r="I421" s="25">
        <f>IF(AD421=0,"",IF(H421="","",IF(SUMIFS(Indices_long!$C:$C,Indices_long!$A:$A,E421,Indices_long!$B:$B,H421)=0,"",SUMIFS(Indices_long!$C:$C,Indices_long!$A:$A,E421,Indices_long!$B:$B,H421))))</f>
        <v/>
      </c>
      <c r="J421" s="26">
        <f>IF(OR(G421="",I421=""),"",G421/I421)</f>
        <v/>
      </c>
      <c r="K421" s="13" t="n"/>
      <c r="L421" s="27">
        <f>IF(AD421=0,"",IF(Baux!$P$36="Base fixe",Baux!$I$36,N420))</f>
        <v/>
      </c>
      <c r="M421" s="27">
        <f>IF(OR(J421="",L421=""),"",ROUND(L421*J421,2))</f>
        <v/>
      </c>
      <c r="N421" s="27">
        <f>IF(AD421=0,"",IF(LEFT(K421,5)="Geler",O421,IF(M421="","",IF(Baux!$Q$36="",M421,MIN(M421,ROUND(L421*(1+Baux!$Q$36/100)^IF(Baux!$P$36="Base fixe",C421*Baux!$O$36,VALUE(LEFT(F421,4))-VALUE(LEFT(H421,4))),2))))))</f>
        <v/>
      </c>
      <c r="O421" s="27">
        <f>IF(AD421=0,"",N420)</f>
        <v/>
      </c>
      <c r="P421" s="28">
        <f>IF(OR(N421="",O421=""),"",N421/O421-1)</f>
        <v/>
      </c>
      <c r="Q421" s="27">
        <f>IF(N421="","",N421/12)</f>
        <v/>
      </c>
      <c r="R421" s="27">
        <f>IF(N421="","",N421/IF(Baux!$L$36="Mensuelle",12,IF(Baux!$L$36="Trimestrielle",4,IF(Baux!$L$36="Semestrielle",2,1))))</f>
        <v/>
      </c>
      <c r="S421" s="27">
        <f>IF(AD421=0,"",IF(Baux!$J$36="",0,Baux!$J$36)/IF(Baux!$L$36="Mensuelle",12,IF(Baux!$L$36="Trimestrielle",4,IF(Baux!$L$36="Semestrielle",2,1))))</f>
        <v/>
      </c>
      <c r="T421" s="27">
        <f>IF(R421="","",(R421+S421)*Baux!$K$36/100)</f>
        <v/>
      </c>
      <c r="U421" s="27">
        <f>IF(R421="","",R421+S421+T421)</f>
        <v/>
      </c>
      <c r="V421" s="17">
        <f>IF(AD421=0,"",IF(LEFT(K421,5)="Geler","❄ Gelée",IF(G421="",IF(D421&lt;=TODAY(),"⚠ Indice attendu","À venir"),IF(D421&lt;=TODAY(),"✔ Calculable","Indice connu – à venir"))))</f>
        <v/>
      </c>
      <c r="W421" s="29" t="n"/>
      <c r="X421" s="13" t="n"/>
      <c r="Y421" s="14" t="n"/>
      <c r="Z421" s="14" t="n"/>
      <c r="AA421" s="13" t="n"/>
      <c r="AB421" s="17">
        <f>IF(A421="","",A421&amp;"#"&amp;C421)</f>
        <v/>
      </c>
      <c r="AC421" s="17">
        <f>IF(AND(AD421=1,D421&lt;=TODAY(),N421&lt;&gt;""),1,0)</f>
        <v/>
      </c>
      <c r="AD421" s="17">
        <f>IF(OR(A421="",D421=""),0,IF(AND(ISNUMBER(Baux!$H$36),D421&gt;Baux!$H$36),0,1))</f>
        <v/>
      </c>
    </row>
    <row r="422">
      <c r="A422" s="17">
        <f>IF(Baux!$A$37="","",Baux!$A$37)</f>
        <v/>
      </c>
      <c r="B422" s="17">
        <f>IF(A422="","",Baux!$B$37)</f>
        <v/>
      </c>
      <c r="C422" s="17" t="n">
        <v>1</v>
      </c>
      <c r="D422" s="15">
        <f>IF(OR(A422="",Baux!$F$37="",Baux!$O$37=""),"",EDATE(Baux!$F$37,12*Baux!$O$37*C422))</f>
        <v/>
      </c>
      <c r="E422" s="17">
        <f>IF(AD422=0,"",Baux!$M$37)</f>
        <v/>
      </c>
      <c r="F422" s="17">
        <f>IF(AD422=0,"",IFERROR(TEXT(VALUE(LEFT(Baux!$N$37,4))+C422*Baux!$O$37,"0")&amp;RIGHT(Baux!$N$37,3),""))</f>
        <v/>
      </c>
      <c r="G422" s="25">
        <f>IF(AD422=0,"",IF(F422="","",IF(SUMIFS(Indices_long!$C:$C,Indices_long!$A:$A,E422,Indices_long!$B:$B,F422)=0,"",SUMIFS(Indices_long!$C:$C,Indices_long!$A:$A,E422,Indices_long!$B:$B,F422))))</f>
        <v/>
      </c>
      <c r="H422" s="17">
        <f>IF(AD422=0,"",Baux!$N$37)</f>
        <v/>
      </c>
      <c r="I422" s="25">
        <f>IF(AD422=0,"",IF(H422="","",IF(SUMIFS(Indices_long!$C:$C,Indices_long!$A:$A,E422,Indices_long!$B:$B,H422)=0,"",SUMIFS(Indices_long!$C:$C,Indices_long!$A:$A,E422,Indices_long!$B:$B,H422))))</f>
        <v/>
      </c>
      <c r="J422" s="26">
        <f>IF(OR(G422="",I422=""),"",G422/I422)</f>
        <v/>
      </c>
      <c r="K422" s="13" t="n"/>
      <c r="L422" s="27">
        <f>IF(AD422=0,"",Baux!$I$37)</f>
        <v/>
      </c>
      <c r="M422" s="27">
        <f>IF(OR(J422="",L422=""),"",ROUND(L422*J422,2))</f>
        <v/>
      </c>
      <c r="N422" s="27">
        <f>IF(AD422=0,"",IF(LEFT(K422,5)="Geler",O422,IF(M422="","",IF(Baux!$Q$37="",M422,MIN(M422,ROUND(L422*(1+Baux!$Q$37/100)^IF(Baux!$P$37="Base fixe",C422*Baux!$O$37,VALUE(LEFT(F422,4))-VALUE(LEFT(H422,4))),2))))))</f>
        <v/>
      </c>
      <c r="O422" s="27">
        <f>IF(AD422=0,"",Baux!$I$37)</f>
        <v/>
      </c>
      <c r="P422" s="28">
        <f>IF(OR(N422="",O422=""),"",N422/O422-1)</f>
        <v/>
      </c>
      <c r="Q422" s="27">
        <f>IF(N422="","",N422/12)</f>
        <v/>
      </c>
      <c r="R422" s="27">
        <f>IF(N422="","",N422/IF(Baux!$L$37="Mensuelle",12,IF(Baux!$L$37="Trimestrielle",4,IF(Baux!$L$37="Semestrielle",2,1))))</f>
        <v/>
      </c>
      <c r="S422" s="27">
        <f>IF(AD422=0,"",IF(Baux!$J$37="",0,Baux!$J$37)/IF(Baux!$L$37="Mensuelle",12,IF(Baux!$L$37="Trimestrielle",4,IF(Baux!$L$37="Semestrielle",2,1))))</f>
        <v/>
      </c>
      <c r="T422" s="27">
        <f>IF(R422="","",(R422+S422)*Baux!$K$37/100)</f>
        <v/>
      </c>
      <c r="U422" s="27">
        <f>IF(R422="","",R422+S422+T422)</f>
        <v/>
      </c>
      <c r="V422" s="17">
        <f>IF(AD422=0,"",IF(LEFT(K422,5)="Geler","❄ Gelée",IF(G422="",IF(D422&lt;=TODAY(),"⚠ Indice attendu","À venir"),IF(D422&lt;=TODAY(),"✔ Calculable","Indice connu – à venir"))))</f>
        <v/>
      </c>
      <c r="W422" s="29" t="n"/>
      <c r="X422" s="13" t="n"/>
      <c r="Y422" s="14" t="n"/>
      <c r="Z422" s="14" t="n"/>
      <c r="AA422" s="13" t="n"/>
      <c r="AB422" s="17">
        <f>IF(A422="","",A422&amp;"#"&amp;C422)</f>
        <v/>
      </c>
      <c r="AC422" s="17">
        <f>IF(AND(AD422=1,D422&lt;=TODAY(),N422&lt;&gt;""),1,0)</f>
        <v/>
      </c>
      <c r="AD422" s="17">
        <f>IF(OR(A422="",D422=""),0,IF(AND(ISNUMBER(Baux!$H$37),D422&gt;Baux!$H$37),0,1))</f>
        <v/>
      </c>
    </row>
    <row r="423">
      <c r="A423" s="17">
        <f>IF(Baux!$A$37="","",Baux!$A$37)</f>
        <v/>
      </c>
      <c r="B423" s="17">
        <f>IF(A423="","",Baux!$B$37)</f>
        <v/>
      </c>
      <c r="C423" s="17" t="n">
        <v>2</v>
      </c>
      <c r="D423" s="15">
        <f>IF(OR(A423="",Baux!$F$37="",Baux!$O$37=""),"",EDATE(Baux!$F$37,12*Baux!$O$37*C423))</f>
        <v/>
      </c>
      <c r="E423" s="17">
        <f>IF(AD423=0,"",Baux!$M$37)</f>
        <v/>
      </c>
      <c r="F423" s="17">
        <f>IF(AD423=0,"",IFERROR(TEXT(VALUE(LEFT(Baux!$N$37,4))+C423*Baux!$O$37,"0")&amp;RIGHT(Baux!$N$37,3),""))</f>
        <v/>
      </c>
      <c r="G423" s="25">
        <f>IF(AD423=0,"",IF(F423="","",IF(SUMIFS(Indices_long!$C:$C,Indices_long!$A:$A,E423,Indices_long!$B:$B,F423)=0,"",SUMIFS(Indices_long!$C:$C,Indices_long!$A:$A,E423,Indices_long!$B:$B,F423))))</f>
        <v/>
      </c>
      <c r="H423" s="17">
        <f>IF(AD423=0,"",IF(Baux!$P$37="Base fixe",Baux!$N$37,IF(K422="Geler – rattrapage possible",H422,F422)))</f>
        <v/>
      </c>
      <c r="I423" s="25">
        <f>IF(AD423=0,"",IF(H423="","",IF(SUMIFS(Indices_long!$C:$C,Indices_long!$A:$A,E423,Indices_long!$B:$B,H423)=0,"",SUMIFS(Indices_long!$C:$C,Indices_long!$A:$A,E423,Indices_long!$B:$B,H423))))</f>
        <v/>
      </c>
      <c r="J423" s="26">
        <f>IF(OR(G423="",I423=""),"",G423/I423)</f>
        <v/>
      </c>
      <c r="K423" s="13" t="n"/>
      <c r="L423" s="27">
        <f>IF(AD423=0,"",IF(Baux!$P$37="Base fixe",Baux!$I$37,N422))</f>
        <v/>
      </c>
      <c r="M423" s="27">
        <f>IF(OR(J423="",L423=""),"",ROUND(L423*J423,2))</f>
        <v/>
      </c>
      <c r="N423" s="27">
        <f>IF(AD423=0,"",IF(LEFT(K423,5)="Geler",O423,IF(M423="","",IF(Baux!$Q$37="",M423,MIN(M423,ROUND(L423*(1+Baux!$Q$37/100)^IF(Baux!$P$37="Base fixe",C423*Baux!$O$37,VALUE(LEFT(F423,4))-VALUE(LEFT(H423,4))),2))))))</f>
        <v/>
      </c>
      <c r="O423" s="27">
        <f>IF(AD423=0,"",N422)</f>
        <v/>
      </c>
      <c r="P423" s="28">
        <f>IF(OR(N423="",O423=""),"",N423/O423-1)</f>
        <v/>
      </c>
      <c r="Q423" s="27">
        <f>IF(N423="","",N423/12)</f>
        <v/>
      </c>
      <c r="R423" s="27">
        <f>IF(N423="","",N423/IF(Baux!$L$37="Mensuelle",12,IF(Baux!$L$37="Trimestrielle",4,IF(Baux!$L$37="Semestrielle",2,1))))</f>
        <v/>
      </c>
      <c r="S423" s="27">
        <f>IF(AD423=0,"",IF(Baux!$J$37="",0,Baux!$J$37)/IF(Baux!$L$37="Mensuelle",12,IF(Baux!$L$37="Trimestrielle",4,IF(Baux!$L$37="Semestrielle",2,1))))</f>
        <v/>
      </c>
      <c r="T423" s="27">
        <f>IF(R423="","",(R423+S423)*Baux!$K$37/100)</f>
        <v/>
      </c>
      <c r="U423" s="27">
        <f>IF(R423="","",R423+S423+T423)</f>
        <v/>
      </c>
      <c r="V423" s="17">
        <f>IF(AD423=0,"",IF(LEFT(K423,5)="Geler","❄ Gelée",IF(G423="",IF(D423&lt;=TODAY(),"⚠ Indice attendu","À venir"),IF(D423&lt;=TODAY(),"✔ Calculable","Indice connu – à venir"))))</f>
        <v/>
      </c>
      <c r="W423" s="29" t="n"/>
      <c r="X423" s="13" t="n"/>
      <c r="Y423" s="14" t="n"/>
      <c r="Z423" s="14" t="n"/>
      <c r="AA423" s="13" t="n"/>
      <c r="AB423" s="17">
        <f>IF(A423="","",A423&amp;"#"&amp;C423)</f>
        <v/>
      </c>
      <c r="AC423" s="17">
        <f>IF(AND(AD423=1,D423&lt;=TODAY(),N423&lt;&gt;""),1,0)</f>
        <v/>
      </c>
      <c r="AD423" s="17">
        <f>IF(OR(A423="",D423=""),0,IF(AND(ISNUMBER(Baux!$H$37),D423&gt;Baux!$H$37),0,1))</f>
        <v/>
      </c>
    </row>
    <row r="424">
      <c r="A424" s="17">
        <f>IF(Baux!$A$37="","",Baux!$A$37)</f>
        <v/>
      </c>
      <c r="B424" s="17">
        <f>IF(A424="","",Baux!$B$37)</f>
        <v/>
      </c>
      <c r="C424" s="17" t="n">
        <v>3</v>
      </c>
      <c r="D424" s="15">
        <f>IF(OR(A424="",Baux!$F$37="",Baux!$O$37=""),"",EDATE(Baux!$F$37,12*Baux!$O$37*C424))</f>
        <v/>
      </c>
      <c r="E424" s="17">
        <f>IF(AD424=0,"",Baux!$M$37)</f>
        <v/>
      </c>
      <c r="F424" s="17">
        <f>IF(AD424=0,"",IFERROR(TEXT(VALUE(LEFT(Baux!$N$37,4))+C424*Baux!$O$37,"0")&amp;RIGHT(Baux!$N$37,3),""))</f>
        <v/>
      </c>
      <c r="G424" s="25">
        <f>IF(AD424=0,"",IF(F424="","",IF(SUMIFS(Indices_long!$C:$C,Indices_long!$A:$A,E424,Indices_long!$B:$B,F424)=0,"",SUMIFS(Indices_long!$C:$C,Indices_long!$A:$A,E424,Indices_long!$B:$B,F424))))</f>
        <v/>
      </c>
      <c r="H424" s="17">
        <f>IF(AD424=0,"",IF(Baux!$P$37="Base fixe",Baux!$N$37,IF(K423="Geler – rattrapage possible",H423,F423)))</f>
        <v/>
      </c>
      <c r="I424" s="25">
        <f>IF(AD424=0,"",IF(H424="","",IF(SUMIFS(Indices_long!$C:$C,Indices_long!$A:$A,E424,Indices_long!$B:$B,H424)=0,"",SUMIFS(Indices_long!$C:$C,Indices_long!$A:$A,E424,Indices_long!$B:$B,H424))))</f>
        <v/>
      </c>
      <c r="J424" s="26">
        <f>IF(OR(G424="",I424=""),"",G424/I424)</f>
        <v/>
      </c>
      <c r="K424" s="13" t="n"/>
      <c r="L424" s="27">
        <f>IF(AD424=0,"",IF(Baux!$P$37="Base fixe",Baux!$I$37,N423))</f>
        <v/>
      </c>
      <c r="M424" s="27">
        <f>IF(OR(J424="",L424=""),"",ROUND(L424*J424,2))</f>
        <v/>
      </c>
      <c r="N424" s="27">
        <f>IF(AD424=0,"",IF(LEFT(K424,5)="Geler",O424,IF(M424="","",IF(Baux!$Q$37="",M424,MIN(M424,ROUND(L424*(1+Baux!$Q$37/100)^IF(Baux!$P$37="Base fixe",C424*Baux!$O$37,VALUE(LEFT(F424,4))-VALUE(LEFT(H424,4))),2))))))</f>
        <v/>
      </c>
      <c r="O424" s="27">
        <f>IF(AD424=0,"",N423)</f>
        <v/>
      </c>
      <c r="P424" s="28">
        <f>IF(OR(N424="",O424=""),"",N424/O424-1)</f>
        <v/>
      </c>
      <c r="Q424" s="27">
        <f>IF(N424="","",N424/12)</f>
        <v/>
      </c>
      <c r="R424" s="27">
        <f>IF(N424="","",N424/IF(Baux!$L$37="Mensuelle",12,IF(Baux!$L$37="Trimestrielle",4,IF(Baux!$L$37="Semestrielle",2,1))))</f>
        <v/>
      </c>
      <c r="S424" s="27">
        <f>IF(AD424=0,"",IF(Baux!$J$37="",0,Baux!$J$37)/IF(Baux!$L$37="Mensuelle",12,IF(Baux!$L$37="Trimestrielle",4,IF(Baux!$L$37="Semestrielle",2,1))))</f>
        <v/>
      </c>
      <c r="T424" s="27">
        <f>IF(R424="","",(R424+S424)*Baux!$K$37/100)</f>
        <v/>
      </c>
      <c r="U424" s="27">
        <f>IF(R424="","",R424+S424+T424)</f>
        <v/>
      </c>
      <c r="V424" s="17">
        <f>IF(AD424=0,"",IF(LEFT(K424,5)="Geler","❄ Gelée",IF(G424="",IF(D424&lt;=TODAY(),"⚠ Indice attendu","À venir"),IF(D424&lt;=TODAY(),"✔ Calculable","Indice connu – à venir"))))</f>
        <v/>
      </c>
      <c r="W424" s="29" t="n"/>
      <c r="X424" s="13" t="n"/>
      <c r="Y424" s="14" t="n"/>
      <c r="Z424" s="14" t="n"/>
      <c r="AA424" s="13" t="n"/>
      <c r="AB424" s="17">
        <f>IF(A424="","",A424&amp;"#"&amp;C424)</f>
        <v/>
      </c>
      <c r="AC424" s="17">
        <f>IF(AND(AD424=1,D424&lt;=TODAY(),N424&lt;&gt;""),1,0)</f>
        <v/>
      </c>
      <c r="AD424" s="17">
        <f>IF(OR(A424="",D424=""),0,IF(AND(ISNUMBER(Baux!$H$37),D424&gt;Baux!$H$37),0,1))</f>
        <v/>
      </c>
    </row>
    <row r="425">
      <c r="A425" s="17">
        <f>IF(Baux!$A$37="","",Baux!$A$37)</f>
        <v/>
      </c>
      <c r="B425" s="17">
        <f>IF(A425="","",Baux!$B$37)</f>
        <v/>
      </c>
      <c r="C425" s="17" t="n">
        <v>4</v>
      </c>
      <c r="D425" s="15">
        <f>IF(OR(A425="",Baux!$F$37="",Baux!$O$37=""),"",EDATE(Baux!$F$37,12*Baux!$O$37*C425))</f>
        <v/>
      </c>
      <c r="E425" s="17">
        <f>IF(AD425=0,"",Baux!$M$37)</f>
        <v/>
      </c>
      <c r="F425" s="17">
        <f>IF(AD425=0,"",IFERROR(TEXT(VALUE(LEFT(Baux!$N$37,4))+C425*Baux!$O$37,"0")&amp;RIGHT(Baux!$N$37,3),""))</f>
        <v/>
      </c>
      <c r="G425" s="25">
        <f>IF(AD425=0,"",IF(F425="","",IF(SUMIFS(Indices_long!$C:$C,Indices_long!$A:$A,E425,Indices_long!$B:$B,F425)=0,"",SUMIFS(Indices_long!$C:$C,Indices_long!$A:$A,E425,Indices_long!$B:$B,F425))))</f>
        <v/>
      </c>
      <c r="H425" s="17">
        <f>IF(AD425=0,"",IF(Baux!$P$37="Base fixe",Baux!$N$37,IF(K424="Geler – rattrapage possible",H424,F424)))</f>
        <v/>
      </c>
      <c r="I425" s="25">
        <f>IF(AD425=0,"",IF(H425="","",IF(SUMIFS(Indices_long!$C:$C,Indices_long!$A:$A,E425,Indices_long!$B:$B,H425)=0,"",SUMIFS(Indices_long!$C:$C,Indices_long!$A:$A,E425,Indices_long!$B:$B,H425))))</f>
        <v/>
      </c>
      <c r="J425" s="26">
        <f>IF(OR(G425="",I425=""),"",G425/I425)</f>
        <v/>
      </c>
      <c r="K425" s="13" t="n"/>
      <c r="L425" s="27">
        <f>IF(AD425=0,"",IF(Baux!$P$37="Base fixe",Baux!$I$37,N424))</f>
        <v/>
      </c>
      <c r="M425" s="27">
        <f>IF(OR(J425="",L425=""),"",ROUND(L425*J425,2))</f>
        <v/>
      </c>
      <c r="N425" s="27">
        <f>IF(AD425=0,"",IF(LEFT(K425,5)="Geler",O425,IF(M425="","",IF(Baux!$Q$37="",M425,MIN(M425,ROUND(L425*(1+Baux!$Q$37/100)^IF(Baux!$P$37="Base fixe",C425*Baux!$O$37,VALUE(LEFT(F425,4))-VALUE(LEFT(H425,4))),2))))))</f>
        <v/>
      </c>
      <c r="O425" s="27">
        <f>IF(AD425=0,"",N424)</f>
        <v/>
      </c>
      <c r="P425" s="28">
        <f>IF(OR(N425="",O425=""),"",N425/O425-1)</f>
        <v/>
      </c>
      <c r="Q425" s="27">
        <f>IF(N425="","",N425/12)</f>
        <v/>
      </c>
      <c r="R425" s="27">
        <f>IF(N425="","",N425/IF(Baux!$L$37="Mensuelle",12,IF(Baux!$L$37="Trimestrielle",4,IF(Baux!$L$37="Semestrielle",2,1))))</f>
        <v/>
      </c>
      <c r="S425" s="27">
        <f>IF(AD425=0,"",IF(Baux!$J$37="",0,Baux!$J$37)/IF(Baux!$L$37="Mensuelle",12,IF(Baux!$L$37="Trimestrielle",4,IF(Baux!$L$37="Semestrielle",2,1))))</f>
        <v/>
      </c>
      <c r="T425" s="27">
        <f>IF(R425="","",(R425+S425)*Baux!$K$37/100)</f>
        <v/>
      </c>
      <c r="U425" s="27">
        <f>IF(R425="","",R425+S425+T425)</f>
        <v/>
      </c>
      <c r="V425" s="17">
        <f>IF(AD425=0,"",IF(LEFT(K425,5)="Geler","❄ Gelée",IF(G425="",IF(D425&lt;=TODAY(),"⚠ Indice attendu","À venir"),IF(D425&lt;=TODAY(),"✔ Calculable","Indice connu – à venir"))))</f>
        <v/>
      </c>
      <c r="W425" s="29" t="n"/>
      <c r="X425" s="13" t="n"/>
      <c r="Y425" s="14" t="n"/>
      <c r="Z425" s="14" t="n"/>
      <c r="AA425" s="13" t="n"/>
      <c r="AB425" s="17">
        <f>IF(A425="","",A425&amp;"#"&amp;C425)</f>
        <v/>
      </c>
      <c r="AC425" s="17">
        <f>IF(AND(AD425=1,D425&lt;=TODAY(),N425&lt;&gt;""),1,0)</f>
        <v/>
      </c>
      <c r="AD425" s="17">
        <f>IF(OR(A425="",D425=""),0,IF(AND(ISNUMBER(Baux!$H$37),D425&gt;Baux!$H$37),0,1))</f>
        <v/>
      </c>
    </row>
    <row r="426">
      <c r="A426" s="17">
        <f>IF(Baux!$A$37="","",Baux!$A$37)</f>
        <v/>
      </c>
      <c r="B426" s="17">
        <f>IF(A426="","",Baux!$B$37)</f>
        <v/>
      </c>
      <c r="C426" s="17" t="n">
        <v>5</v>
      </c>
      <c r="D426" s="15">
        <f>IF(OR(A426="",Baux!$F$37="",Baux!$O$37=""),"",EDATE(Baux!$F$37,12*Baux!$O$37*C426))</f>
        <v/>
      </c>
      <c r="E426" s="17">
        <f>IF(AD426=0,"",Baux!$M$37)</f>
        <v/>
      </c>
      <c r="F426" s="17">
        <f>IF(AD426=0,"",IFERROR(TEXT(VALUE(LEFT(Baux!$N$37,4))+C426*Baux!$O$37,"0")&amp;RIGHT(Baux!$N$37,3),""))</f>
        <v/>
      </c>
      <c r="G426" s="25">
        <f>IF(AD426=0,"",IF(F426="","",IF(SUMIFS(Indices_long!$C:$C,Indices_long!$A:$A,E426,Indices_long!$B:$B,F426)=0,"",SUMIFS(Indices_long!$C:$C,Indices_long!$A:$A,E426,Indices_long!$B:$B,F426))))</f>
        <v/>
      </c>
      <c r="H426" s="17">
        <f>IF(AD426=0,"",IF(Baux!$P$37="Base fixe",Baux!$N$37,IF(K425="Geler – rattrapage possible",H425,F425)))</f>
        <v/>
      </c>
      <c r="I426" s="25">
        <f>IF(AD426=0,"",IF(H426="","",IF(SUMIFS(Indices_long!$C:$C,Indices_long!$A:$A,E426,Indices_long!$B:$B,H426)=0,"",SUMIFS(Indices_long!$C:$C,Indices_long!$A:$A,E426,Indices_long!$B:$B,H426))))</f>
        <v/>
      </c>
      <c r="J426" s="26">
        <f>IF(OR(G426="",I426=""),"",G426/I426)</f>
        <v/>
      </c>
      <c r="K426" s="13" t="n"/>
      <c r="L426" s="27">
        <f>IF(AD426=0,"",IF(Baux!$P$37="Base fixe",Baux!$I$37,N425))</f>
        <v/>
      </c>
      <c r="M426" s="27">
        <f>IF(OR(J426="",L426=""),"",ROUND(L426*J426,2))</f>
        <v/>
      </c>
      <c r="N426" s="27">
        <f>IF(AD426=0,"",IF(LEFT(K426,5)="Geler",O426,IF(M426="","",IF(Baux!$Q$37="",M426,MIN(M426,ROUND(L426*(1+Baux!$Q$37/100)^IF(Baux!$P$37="Base fixe",C426*Baux!$O$37,VALUE(LEFT(F426,4))-VALUE(LEFT(H426,4))),2))))))</f>
        <v/>
      </c>
      <c r="O426" s="27">
        <f>IF(AD426=0,"",N425)</f>
        <v/>
      </c>
      <c r="P426" s="28">
        <f>IF(OR(N426="",O426=""),"",N426/O426-1)</f>
        <v/>
      </c>
      <c r="Q426" s="27">
        <f>IF(N426="","",N426/12)</f>
        <v/>
      </c>
      <c r="R426" s="27">
        <f>IF(N426="","",N426/IF(Baux!$L$37="Mensuelle",12,IF(Baux!$L$37="Trimestrielle",4,IF(Baux!$L$37="Semestrielle",2,1))))</f>
        <v/>
      </c>
      <c r="S426" s="27">
        <f>IF(AD426=0,"",IF(Baux!$J$37="",0,Baux!$J$37)/IF(Baux!$L$37="Mensuelle",12,IF(Baux!$L$37="Trimestrielle",4,IF(Baux!$L$37="Semestrielle",2,1))))</f>
        <v/>
      </c>
      <c r="T426" s="27">
        <f>IF(R426="","",(R426+S426)*Baux!$K$37/100)</f>
        <v/>
      </c>
      <c r="U426" s="27">
        <f>IF(R426="","",R426+S426+T426)</f>
        <v/>
      </c>
      <c r="V426" s="17">
        <f>IF(AD426=0,"",IF(LEFT(K426,5)="Geler","❄ Gelée",IF(G426="",IF(D426&lt;=TODAY(),"⚠ Indice attendu","À venir"),IF(D426&lt;=TODAY(),"✔ Calculable","Indice connu – à venir"))))</f>
        <v/>
      </c>
      <c r="W426" s="29" t="n"/>
      <c r="X426" s="13" t="n"/>
      <c r="Y426" s="14" t="n"/>
      <c r="Z426" s="14" t="n"/>
      <c r="AA426" s="13" t="n"/>
      <c r="AB426" s="17">
        <f>IF(A426="","",A426&amp;"#"&amp;C426)</f>
        <v/>
      </c>
      <c r="AC426" s="17">
        <f>IF(AND(AD426=1,D426&lt;=TODAY(),N426&lt;&gt;""),1,0)</f>
        <v/>
      </c>
      <c r="AD426" s="17">
        <f>IF(OR(A426="",D426=""),0,IF(AND(ISNUMBER(Baux!$H$37),D426&gt;Baux!$H$37),0,1))</f>
        <v/>
      </c>
    </row>
    <row r="427">
      <c r="A427" s="17">
        <f>IF(Baux!$A$37="","",Baux!$A$37)</f>
        <v/>
      </c>
      <c r="B427" s="17">
        <f>IF(A427="","",Baux!$B$37)</f>
        <v/>
      </c>
      <c r="C427" s="17" t="n">
        <v>6</v>
      </c>
      <c r="D427" s="15">
        <f>IF(OR(A427="",Baux!$F$37="",Baux!$O$37=""),"",EDATE(Baux!$F$37,12*Baux!$O$37*C427))</f>
        <v/>
      </c>
      <c r="E427" s="17">
        <f>IF(AD427=0,"",Baux!$M$37)</f>
        <v/>
      </c>
      <c r="F427" s="17">
        <f>IF(AD427=0,"",IFERROR(TEXT(VALUE(LEFT(Baux!$N$37,4))+C427*Baux!$O$37,"0")&amp;RIGHT(Baux!$N$37,3),""))</f>
        <v/>
      </c>
      <c r="G427" s="25">
        <f>IF(AD427=0,"",IF(F427="","",IF(SUMIFS(Indices_long!$C:$C,Indices_long!$A:$A,E427,Indices_long!$B:$B,F427)=0,"",SUMIFS(Indices_long!$C:$C,Indices_long!$A:$A,E427,Indices_long!$B:$B,F427))))</f>
        <v/>
      </c>
      <c r="H427" s="17">
        <f>IF(AD427=0,"",IF(Baux!$P$37="Base fixe",Baux!$N$37,IF(K426="Geler – rattrapage possible",H426,F426)))</f>
        <v/>
      </c>
      <c r="I427" s="25">
        <f>IF(AD427=0,"",IF(H427="","",IF(SUMIFS(Indices_long!$C:$C,Indices_long!$A:$A,E427,Indices_long!$B:$B,H427)=0,"",SUMIFS(Indices_long!$C:$C,Indices_long!$A:$A,E427,Indices_long!$B:$B,H427))))</f>
        <v/>
      </c>
      <c r="J427" s="26">
        <f>IF(OR(G427="",I427=""),"",G427/I427)</f>
        <v/>
      </c>
      <c r="K427" s="13" t="n"/>
      <c r="L427" s="27">
        <f>IF(AD427=0,"",IF(Baux!$P$37="Base fixe",Baux!$I$37,N426))</f>
        <v/>
      </c>
      <c r="M427" s="27">
        <f>IF(OR(J427="",L427=""),"",ROUND(L427*J427,2))</f>
        <v/>
      </c>
      <c r="N427" s="27">
        <f>IF(AD427=0,"",IF(LEFT(K427,5)="Geler",O427,IF(M427="","",IF(Baux!$Q$37="",M427,MIN(M427,ROUND(L427*(1+Baux!$Q$37/100)^IF(Baux!$P$37="Base fixe",C427*Baux!$O$37,VALUE(LEFT(F427,4))-VALUE(LEFT(H427,4))),2))))))</f>
        <v/>
      </c>
      <c r="O427" s="27">
        <f>IF(AD427=0,"",N426)</f>
        <v/>
      </c>
      <c r="P427" s="28">
        <f>IF(OR(N427="",O427=""),"",N427/O427-1)</f>
        <v/>
      </c>
      <c r="Q427" s="27">
        <f>IF(N427="","",N427/12)</f>
        <v/>
      </c>
      <c r="R427" s="27">
        <f>IF(N427="","",N427/IF(Baux!$L$37="Mensuelle",12,IF(Baux!$L$37="Trimestrielle",4,IF(Baux!$L$37="Semestrielle",2,1))))</f>
        <v/>
      </c>
      <c r="S427" s="27">
        <f>IF(AD427=0,"",IF(Baux!$J$37="",0,Baux!$J$37)/IF(Baux!$L$37="Mensuelle",12,IF(Baux!$L$37="Trimestrielle",4,IF(Baux!$L$37="Semestrielle",2,1))))</f>
        <v/>
      </c>
      <c r="T427" s="27">
        <f>IF(R427="","",(R427+S427)*Baux!$K$37/100)</f>
        <v/>
      </c>
      <c r="U427" s="27">
        <f>IF(R427="","",R427+S427+T427)</f>
        <v/>
      </c>
      <c r="V427" s="17">
        <f>IF(AD427=0,"",IF(LEFT(K427,5)="Geler","❄ Gelée",IF(G427="",IF(D427&lt;=TODAY(),"⚠ Indice attendu","À venir"),IF(D427&lt;=TODAY(),"✔ Calculable","Indice connu – à venir"))))</f>
        <v/>
      </c>
      <c r="W427" s="29" t="n"/>
      <c r="X427" s="13" t="n"/>
      <c r="Y427" s="14" t="n"/>
      <c r="Z427" s="14" t="n"/>
      <c r="AA427" s="13" t="n"/>
      <c r="AB427" s="17">
        <f>IF(A427="","",A427&amp;"#"&amp;C427)</f>
        <v/>
      </c>
      <c r="AC427" s="17">
        <f>IF(AND(AD427=1,D427&lt;=TODAY(),N427&lt;&gt;""),1,0)</f>
        <v/>
      </c>
      <c r="AD427" s="17">
        <f>IF(OR(A427="",D427=""),0,IF(AND(ISNUMBER(Baux!$H$37),D427&gt;Baux!$H$37),0,1))</f>
        <v/>
      </c>
    </row>
    <row r="428">
      <c r="A428" s="17">
        <f>IF(Baux!$A$37="","",Baux!$A$37)</f>
        <v/>
      </c>
      <c r="B428" s="17">
        <f>IF(A428="","",Baux!$B$37)</f>
        <v/>
      </c>
      <c r="C428" s="17" t="n">
        <v>7</v>
      </c>
      <c r="D428" s="15">
        <f>IF(OR(A428="",Baux!$F$37="",Baux!$O$37=""),"",EDATE(Baux!$F$37,12*Baux!$O$37*C428))</f>
        <v/>
      </c>
      <c r="E428" s="17">
        <f>IF(AD428=0,"",Baux!$M$37)</f>
        <v/>
      </c>
      <c r="F428" s="17">
        <f>IF(AD428=0,"",IFERROR(TEXT(VALUE(LEFT(Baux!$N$37,4))+C428*Baux!$O$37,"0")&amp;RIGHT(Baux!$N$37,3),""))</f>
        <v/>
      </c>
      <c r="G428" s="25">
        <f>IF(AD428=0,"",IF(F428="","",IF(SUMIFS(Indices_long!$C:$C,Indices_long!$A:$A,E428,Indices_long!$B:$B,F428)=0,"",SUMIFS(Indices_long!$C:$C,Indices_long!$A:$A,E428,Indices_long!$B:$B,F428))))</f>
        <v/>
      </c>
      <c r="H428" s="17">
        <f>IF(AD428=0,"",IF(Baux!$P$37="Base fixe",Baux!$N$37,IF(K427="Geler – rattrapage possible",H427,F427)))</f>
        <v/>
      </c>
      <c r="I428" s="25">
        <f>IF(AD428=0,"",IF(H428="","",IF(SUMIFS(Indices_long!$C:$C,Indices_long!$A:$A,E428,Indices_long!$B:$B,H428)=0,"",SUMIFS(Indices_long!$C:$C,Indices_long!$A:$A,E428,Indices_long!$B:$B,H428))))</f>
        <v/>
      </c>
      <c r="J428" s="26">
        <f>IF(OR(G428="",I428=""),"",G428/I428)</f>
        <v/>
      </c>
      <c r="K428" s="13" t="n"/>
      <c r="L428" s="27">
        <f>IF(AD428=0,"",IF(Baux!$P$37="Base fixe",Baux!$I$37,N427))</f>
        <v/>
      </c>
      <c r="M428" s="27">
        <f>IF(OR(J428="",L428=""),"",ROUND(L428*J428,2))</f>
        <v/>
      </c>
      <c r="N428" s="27">
        <f>IF(AD428=0,"",IF(LEFT(K428,5)="Geler",O428,IF(M428="","",IF(Baux!$Q$37="",M428,MIN(M428,ROUND(L428*(1+Baux!$Q$37/100)^IF(Baux!$P$37="Base fixe",C428*Baux!$O$37,VALUE(LEFT(F428,4))-VALUE(LEFT(H428,4))),2))))))</f>
        <v/>
      </c>
      <c r="O428" s="27">
        <f>IF(AD428=0,"",N427)</f>
        <v/>
      </c>
      <c r="P428" s="28">
        <f>IF(OR(N428="",O428=""),"",N428/O428-1)</f>
        <v/>
      </c>
      <c r="Q428" s="27">
        <f>IF(N428="","",N428/12)</f>
        <v/>
      </c>
      <c r="R428" s="27">
        <f>IF(N428="","",N428/IF(Baux!$L$37="Mensuelle",12,IF(Baux!$L$37="Trimestrielle",4,IF(Baux!$L$37="Semestrielle",2,1))))</f>
        <v/>
      </c>
      <c r="S428" s="27">
        <f>IF(AD428=0,"",IF(Baux!$J$37="",0,Baux!$J$37)/IF(Baux!$L$37="Mensuelle",12,IF(Baux!$L$37="Trimestrielle",4,IF(Baux!$L$37="Semestrielle",2,1))))</f>
        <v/>
      </c>
      <c r="T428" s="27">
        <f>IF(R428="","",(R428+S428)*Baux!$K$37/100)</f>
        <v/>
      </c>
      <c r="U428" s="27">
        <f>IF(R428="","",R428+S428+T428)</f>
        <v/>
      </c>
      <c r="V428" s="17">
        <f>IF(AD428=0,"",IF(LEFT(K428,5)="Geler","❄ Gelée",IF(G428="",IF(D428&lt;=TODAY(),"⚠ Indice attendu","À venir"),IF(D428&lt;=TODAY(),"✔ Calculable","Indice connu – à venir"))))</f>
        <v/>
      </c>
      <c r="W428" s="29" t="n"/>
      <c r="X428" s="13" t="n"/>
      <c r="Y428" s="14" t="n"/>
      <c r="Z428" s="14" t="n"/>
      <c r="AA428" s="13" t="n"/>
      <c r="AB428" s="17">
        <f>IF(A428="","",A428&amp;"#"&amp;C428)</f>
        <v/>
      </c>
      <c r="AC428" s="17">
        <f>IF(AND(AD428=1,D428&lt;=TODAY(),N428&lt;&gt;""),1,0)</f>
        <v/>
      </c>
      <c r="AD428" s="17">
        <f>IF(OR(A428="",D428=""),0,IF(AND(ISNUMBER(Baux!$H$37),D428&gt;Baux!$H$37),0,1))</f>
        <v/>
      </c>
    </row>
    <row r="429">
      <c r="A429" s="17">
        <f>IF(Baux!$A$37="","",Baux!$A$37)</f>
        <v/>
      </c>
      <c r="B429" s="17">
        <f>IF(A429="","",Baux!$B$37)</f>
        <v/>
      </c>
      <c r="C429" s="17" t="n">
        <v>8</v>
      </c>
      <c r="D429" s="15">
        <f>IF(OR(A429="",Baux!$F$37="",Baux!$O$37=""),"",EDATE(Baux!$F$37,12*Baux!$O$37*C429))</f>
        <v/>
      </c>
      <c r="E429" s="17">
        <f>IF(AD429=0,"",Baux!$M$37)</f>
        <v/>
      </c>
      <c r="F429" s="17">
        <f>IF(AD429=0,"",IFERROR(TEXT(VALUE(LEFT(Baux!$N$37,4))+C429*Baux!$O$37,"0")&amp;RIGHT(Baux!$N$37,3),""))</f>
        <v/>
      </c>
      <c r="G429" s="25">
        <f>IF(AD429=0,"",IF(F429="","",IF(SUMIFS(Indices_long!$C:$C,Indices_long!$A:$A,E429,Indices_long!$B:$B,F429)=0,"",SUMIFS(Indices_long!$C:$C,Indices_long!$A:$A,E429,Indices_long!$B:$B,F429))))</f>
        <v/>
      </c>
      <c r="H429" s="17">
        <f>IF(AD429=0,"",IF(Baux!$P$37="Base fixe",Baux!$N$37,IF(K428="Geler – rattrapage possible",H428,F428)))</f>
        <v/>
      </c>
      <c r="I429" s="25">
        <f>IF(AD429=0,"",IF(H429="","",IF(SUMIFS(Indices_long!$C:$C,Indices_long!$A:$A,E429,Indices_long!$B:$B,H429)=0,"",SUMIFS(Indices_long!$C:$C,Indices_long!$A:$A,E429,Indices_long!$B:$B,H429))))</f>
        <v/>
      </c>
      <c r="J429" s="26">
        <f>IF(OR(G429="",I429=""),"",G429/I429)</f>
        <v/>
      </c>
      <c r="K429" s="13" t="n"/>
      <c r="L429" s="27">
        <f>IF(AD429=0,"",IF(Baux!$P$37="Base fixe",Baux!$I$37,N428))</f>
        <v/>
      </c>
      <c r="M429" s="27">
        <f>IF(OR(J429="",L429=""),"",ROUND(L429*J429,2))</f>
        <v/>
      </c>
      <c r="N429" s="27">
        <f>IF(AD429=0,"",IF(LEFT(K429,5)="Geler",O429,IF(M429="","",IF(Baux!$Q$37="",M429,MIN(M429,ROUND(L429*(1+Baux!$Q$37/100)^IF(Baux!$P$37="Base fixe",C429*Baux!$O$37,VALUE(LEFT(F429,4))-VALUE(LEFT(H429,4))),2))))))</f>
        <v/>
      </c>
      <c r="O429" s="27">
        <f>IF(AD429=0,"",N428)</f>
        <v/>
      </c>
      <c r="P429" s="28">
        <f>IF(OR(N429="",O429=""),"",N429/O429-1)</f>
        <v/>
      </c>
      <c r="Q429" s="27">
        <f>IF(N429="","",N429/12)</f>
        <v/>
      </c>
      <c r="R429" s="27">
        <f>IF(N429="","",N429/IF(Baux!$L$37="Mensuelle",12,IF(Baux!$L$37="Trimestrielle",4,IF(Baux!$L$37="Semestrielle",2,1))))</f>
        <v/>
      </c>
      <c r="S429" s="27">
        <f>IF(AD429=0,"",IF(Baux!$J$37="",0,Baux!$J$37)/IF(Baux!$L$37="Mensuelle",12,IF(Baux!$L$37="Trimestrielle",4,IF(Baux!$L$37="Semestrielle",2,1))))</f>
        <v/>
      </c>
      <c r="T429" s="27">
        <f>IF(R429="","",(R429+S429)*Baux!$K$37/100)</f>
        <v/>
      </c>
      <c r="U429" s="27">
        <f>IF(R429="","",R429+S429+T429)</f>
        <v/>
      </c>
      <c r="V429" s="17">
        <f>IF(AD429=0,"",IF(LEFT(K429,5)="Geler","❄ Gelée",IF(G429="",IF(D429&lt;=TODAY(),"⚠ Indice attendu","À venir"),IF(D429&lt;=TODAY(),"✔ Calculable","Indice connu – à venir"))))</f>
        <v/>
      </c>
      <c r="W429" s="29" t="n"/>
      <c r="X429" s="13" t="n"/>
      <c r="Y429" s="14" t="n"/>
      <c r="Z429" s="14" t="n"/>
      <c r="AA429" s="13" t="n"/>
      <c r="AB429" s="17">
        <f>IF(A429="","",A429&amp;"#"&amp;C429)</f>
        <v/>
      </c>
      <c r="AC429" s="17">
        <f>IF(AND(AD429=1,D429&lt;=TODAY(),N429&lt;&gt;""),1,0)</f>
        <v/>
      </c>
      <c r="AD429" s="17">
        <f>IF(OR(A429="",D429=""),0,IF(AND(ISNUMBER(Baux!$H$37),D429&gt;Baux!$H$37),0,1))</f>
        <v/>
      </c>
    </row>
    <row r="430">
      <c r="A430" s="17">
        <f>IF(Baux!$A$37="","",Baux!$A$37)</f>
        <v/>
      </c>
      <c r="B430" s="17">
        <f>IF(A430="","",Baux!$B$37)</f>
        <v/>
      </c>
      <c r="C430" s="17" t="n">
        <v>9</v>
      </c>
      <c r="D430" s="15">
        <f>IF(OR(A430="",Baux!$F$37="",Baux!$O$37=""),"",EDATE(Baux!$F$37,12*Baux!$O$37*C430))</f>
        <v/>
      </c>
      <c r="E430" s="17">
        <f>IF(AD430=0,"",Baux!$M$37)</f>
        <v/>
      </c>
      <c r="F430" s="17">
        <f>IF(AD430=0,"",IFERROR(TEXT(VALUE(LEFT(Baux!$N$37,4))+C430*Baux!$O$37,"0")&amp;RIGHT(Baux!$N$37,3),""))</f>
        <v/>
      </c>
      <c r="G430" s="25">
        <f>IF(AD430=0,"",IF(F430="","",IF(SUMIFS(Indices_long!$C:$C,Indices_long!$A:$A,E430,Indices_long!$B:$B,F430)=0,"",SUMIFS(Indices_long!$C:$C,Indices_long!$A:$A,E430,Indices_long!$B:$B,F430))))</f>
        <v/>
      </c>
      <c r="H430" s="17">
        <f>IF(AD430=0,"",IF(Baux!$P$37="Base fixe",Baux!$N$37,IF(K429="Geler – rattrapage possible",H429,F429)))</f>
        <v/>
      </c>
      <c r="I430" s="25">
        <f>IF(AD430=0,"",IF(H430="","",IF(SUMIFS(Indices_long!$C:$C,Indices_long!$A:$A,E430,Indices_long!$B:$B,H430)=0,"",SUMIFS(Indices_long!$C:$C,Indices_long!$A:$A,E430,Indices_long!$B:$B,H430))))</f>
        <v/>
      </c>
      <c r="J430" s="26">
        <f>IF(OR(G430="",I430=""),"",G430/I430)</f>
        <v/>
      </c>
      <c r="K430" s="13" t="n"/>
      <c r="L430" s="27">
        <f>IF(AD430=0,"",IF(Baux!$P$37="Base fixe",Baux!$I$37,N429))</f>
        <v/>
      </c>
      <c r="M430" s="27">
        <f>IF(OR(J430="",L430=""),"",ROUND(L430*J430,2))</f>
        <v/>
      </c>
      <c r="N430" s="27">
        <f>IF(AD430=0,"",IF(LEFT(K430,5)="Geler",O430,IF(M430="","",IF(Baux!$Q$37="",M430,MIN(M430,ROUND(L430*(1+Baux!$Q$37/100)^IF(Baux!$P$37="Base fixe",C430*Baux!$O$37,VALUE(LEFT(F430,4))-VALUE(LEFT(H430,4))),2))))))</f>
        <v/>
      </c>
      <c r="O430" s="27">
        <f>IF(AD430=0,"",N429)</f>
        <v/>
      </c>
      <c r="P430" s="28">
        <f>IF(OR(N430="",O430=""),"",N430/O430-1)</f>
        <v/>
      </c>
      <c r="Q430" s="27">
        <f>IF(N430="","",N430/12)</f>
        <v/>
      </c>
      <c r="R430" s="27">
        <f>IF(N430="","",N430/IF(Baux!$L$37="Mensuelle",12,IF(Baux!$L$37="Trimestrielle",4,IF(Baux!$L$37="Semestrielle",2,1))))</f>
        <v/>
      </c>
      <c r="S430" s="27">
        <f>IF(AD430=0,"",IF(Baux!$J$37="",0,Baux!$J$37)/IF(Baux!$L$37="Mensuelle",12,IF(Baux!$L$37="Trimestrielle",4,IF(Baux!$L$37="Semestrielle",2,1))))</f>
        <v/>
      </c>
      <c r="T430" s="27">
        <f>IF(R430="","",(R430+S430)*Baux!$K$37/100)</f>
        <v/>
      </c>
      <c r="U430" s="27">
        <f>IF(R430="","",R430+S430+T430)</f>
        <v/>
      </c>
      <c r="V430" s="17">
        <f>IF(AD430=0,"",IF(LEFT(K430,5)="Geler","❄ Gelée",IF(G430="",IF(D430&lt;=TODAY(),"⚠ Indice attendu","À venir"),IF(D430&lt;=TODAY(),"✔ Calculable","Indice connu – à venir"))))</f>
        <v/>
      </c>
      <c r="W430" s="29" t="n"/>
      <c r="X430" s="13" t="n"/>
      <c r="Y430" s="14" t="n"/>
      <c r="Z430" s="14" t="n"/>
      <c r="AA430" s="13" t="n"/>
      <c r="AB430" s="17">
        <f>IF(A430="","",A430&amp;"#"&amp;C430)</f>
        <v/>
      </c>
      <c r="AC430" s="17">
        <f>IF(AND(AD430=1,D430&lt;=TODAY(),N430&lt;&gt;""),1,0)</f>
        <v/>
      </c>
      <c r="AD430" s="17">
        <f>IF(OR(A430="",D430=""),0,IF(AND(ISNUMBER(Baux!$H$37),D430&gt;Baux!$H$37),0,1))</f>
        <v/>
      </c>
    </row>
    <row r="431">
      <c r="A431" s="17">
        <f>IF(Baux!$A$37="","",Baux!$A$37)</f>
        <v/>
      </c>
      <c r="B431" s="17">
        <f>IF(A431="","",Baux!$B$37)</f>
        <v/>
      </c>
      <c r="C431" s="17" t="n">
        <v>10</v>
      </c>
      <c r="D431" s="15">
        <f>IF(OR(A431="",Baux!$F$37="",Baux!$O$37=""),"",EDATE(Baux!$F$37,12*Baux!$O$37*C431))</f>
        <v/>
      </c>
      <c r="E431" s="17">
        <f>IF(AD431=0,"",Baux!$M$37)</f>
        <v/>
      </c>
      <c r="F431" s="17">
        <f>IF(AD431=0,"",IFERROR(TEXT(VALUE(LEFT(Baux!$N$37,4))+C431*Baux!$O$37,"0")&amp;RIGHT(Baux!$N$37,3),""))</f>
        <v/>
      </c>
      <c r="G431" s="25">
        <f>IF(AD431=0,"",IF(F431="","",IF(SUMIFS(Indices_long!$C:$C,Indices_long!$A:$A,E431,Indices_long!$B:$B,F431)=0,"",SUMIFS(Indices_long!$C:$C,Indices_long!$A:$A,E431,Indices_long!$B:$B,F431))))</f>
        <v/>
      </c>
      <c r="H431" s="17">
        <f>IF(AD431=0,"",IF(Baux!$P$37="Base fixe",Baux!$N$37,IF(K430="Geler – rattrapage possible",H430,F430)))</f>
        <v/>
      </c>
      <c r="I431" s="25">
        <f>IF(AD431=0,"",IF(H431="","",IF(SUMIFS(Indices_long!$C:$C,Indices_long!$A:$A,E431,Indices_long!$B:$B,H431)=0,"",SUMIFS(Indices_long!$C:$C,Indices_long!$A:$A,E431,Indices_long!$B:$B,H431))))</f>
        <v/>
      </c>
      <c r="J431" s="26">
        <f>IF(OR(G431="",I431=""),"",G431/I431)</f>
        <v/>
      </c>
      <c r="K431" s="13" t="n"/>
      <c r="L431" s="27">
        <f>IF(AD431=0,"",IF(Baux!$P$37="Base fixe",Baux!$I$37,N430))</f>
        <v/>
      </c>
      <c r="M431" s="27">
        <f>IF(OR(J431="",L431=""),"",ROUND(L431*J431,2))</f>
        <v/>
      </c>
      <c r="N431" s="27">
        <f>IF(AD431=0,"",IF(LEFT(K431,5)="Geler",O431,IF(M431="","",IF(Baux!$Q$37="",M431,MIN(M431,ROUND(L431*(1+Baux!$Q$37/100)^IF(Baux!$P$37="Base fixe",C431*Baux!$O$37,VALUE(LEFT(F431,4))-VALUE(LEFT(H431,4))),2))))))</f>
        <v/>
      </c>
      <c r="O431" s="27">
        <f>IF(AD431=0,"",N430)</f>
        <v/>
      </c>
      <c r="P431" s="28">
        <f>IF(OR(N431="",O431=""),"",N431/O431-1)</f>
        <v/>
      </c>
      <c r="Q431" s="27">
        <f>IF(N431="","",N431/12)</f>
        <v/>
      </c>
      <c r="R431" s="27">
        <f>IF(N431="","",N431/IF(Baux!$L$37="Mensuelle",12,IF(Baux!$L$37="Trimestrielle",4,IF(Baux!$L$37="Semestrielle",2,1))))</f>
        <v/>
      </c>
      <c r="S431" s="27">
        <f>IF(AD431=0,"",IF(Baux!$J$37="",0,Baux!$J$37)/IF(Baux!$L$37="Mensuelle",12,IF(Baux!$L$37="Trimestrielle",4,IF(Baux!$L$37="Semestrielle",2,1))))</f>
        <v/>
      </c>
      <c r="T431" s="27">
        <f>IF(R431="","",(R431+S431)*Baux!$K$37/100)</f>
        <v/>
      </c>
      <c r="U431" s="27">
        <f>IF(R431="","",R431+S431+T431)</f>
        <v/>
      </c>
      <c r="V431" s="17">
        <f>IF(AD431=0,"",IF(LEFT(K431,5)="Geler","❄ Gelée",IF(G431="",IF(D431&lt;=TODAY(),"⚠ Indice attendu","À venir"),IF(D431&lt;=TODAY(),"✔ Calculable","Indice connu – à venir"))))</f>
        <v/>
      </c>
      <c r="W431" s="29" t="n"/>
      <c r="X431" s="13" t="n"/>
      <c r="Y431" s="14" t="n"/>
      <c r="Z431" s="14" t="n"/>
      <c r="AA431" s="13" t="n"/>
      <c r="AB431" s="17">
        <f>IF(A431="","",A431&amp;"#"&amp;C431)</f>
        <v/>
      </c>
      <c r="AC431" s="17">
        <f>IF(AND(AD431=1,D431&lt;=TODAY(),N431&lt;&gt;""),1,0)</f>
        <v/>
      </c>
      <c r="AD431" s="17">
        <f>IF(OR(A431="",D431=""),0,IF(AND(ISNUMBER(Baux!$H$37),D431&gt;Baux!$H$37),0,1))</f>
        <v/>
      </c>
    </row>
    <row r="432">
      <c r="A432" s="17">
        <f>IF(Baux!$A$37="","",Baux!$A$37)</f>
        <v/>
      </c>
      <c r="B432" s="17">
        <f>IF(A432="","",Baux!$B$37)</f>
        <v/>
      </c>
      <c r="C432" s="17" t="n">
        <v>11</v>
      </c>
      <c r="D432" s="15">
        <f>IF(OR(A432="",Baux!$F$37="",Baux!$O$37=""),"",EDATE(Baux!$F$37,12*Baux!$O$37*C432))</f>
        <v/>
      </c>
      <c r="E432" s="17">
        <f>IF(AD432=0,"",Baux!$M$37)</f>
        <v/>
      </c>
      <c r="F432" s="17">
        <f>IF(AD432=0,"",IFERROR(TEXT(VALUE(LEFT(Baux!$N$37,4))+C432*Baux!$O$37,"0")&amp;RIGHT(Baux!$N$37,3),""))</f>
        <v/>
      </c>
      <c r="G432" s="25">
        <f>IF(AD432=0,"",IF(F432="","",IF(SUMIFS(Indices_long!$C:$C,Indices_long!$A:$A,E432,Indices_long!$B:$B,F432)=0,"",SUMIFS(Indices_long!$C:$C,Indices_long!$A:$A,E432,Indices_long!$B:$B,F432))))</f>
        <v/>
      </c>
      <c r="H432" s="17">
        <f>IF(AD432=0,"",IF(Baux!$P$37="Base fixe",Baux!$N$37,IF(K431="Geler – rattrapage possible",H431,F431)))</f>
        <v/>
      </c>
      <c r="I432" s="25">
        <f>IF(AD432=0,"",IF(H432="","",IF(SUMIFS(Indices_long!$C:$C,Indices_long!$A:$A,E432,Indices_long!$B:$B,H432)=0,"",SUMIFS(Indices_long!$C:$C,Indices_long!$A:$A,E432,Indices_long!$B:$B,H432))))</f>
        <v/>
      </c>
      <c r="J432" s="26">
        <f>IF(OR(G432="",I432=""),"",G432/I432)</f>
        <v/>
      </c>
      <c r="K432" s="13" t="n"/>
      <c r="L432" s="27">
        <f>IF(AD432=0,"",IF(Baux!$P$37="Base fixe",Baux!$I$37,N431))</f>
        <v/>
      </c>
      <c r="M432" s="27">
        <f>IF(OR(J432="",L432=""),"",ROUND(L432*J432,2))</f>
        <v/>
      </c>
      <c r="N432" s="27">
        <f>IF(AD432=0,"",IF(LEFT(K432,5)="Geler",O432,IF(M432="","",IF(Baux!$Q$37="",M432,MIN(M432,ROUND(L432*(1+Baux!$Q$37/100)^IF(Baux!$P$37="Base fixe",C432*Baux!$O$37,VALUE(LEFT(F432,4))-VALUE(LEFT(H432,4))),2))))))</f>
        <v/>
      </c>
      <c r="O432" s="27">
        <f>IF(AD432=0,"",N431)</f>
        <v/>
      </c>
      <c r="P432" s="28">
        <f>IF(OR(N432="",O432=""),"",N432/O432-1)</f>
        <v/>
      </c>
      <c r="Q432" s="27">
        <f>IF(N432="","",N432/12)</f>
        <v/>
      </c>
      <c r="R432" s="27">
        <f>IF(N432="","",N432/IF(Baux!$L$37="Mensuelle",12,IF(Baux!$L$37="Trimestrielle",4,IF(Baux!$L$37="Semestrielle",2,1))))</f>
        <v/>
      </c>
      <c r="S432" s="27">
        <f>IF(AD432=0,"",IF(Baux!$J$37="",0,Baux!$J$37)/IF(Baux!$L$37="Mensuelle",12,IF(Baux!$L$37="Trimestrielle",4,IF(Baux!$L$37="Semestrielle",2,1))))</f>
        <v/>
      </c>
      <c r="T432" s="27">
        <f>IF(R432="","",(R432+S432)*Baux!$K$37/100)</f>
        <v/>
      </c>
      <c r="U432" s="27">
        <f>IF(R432="","",R432+S432+T432)</f>
        <v/>
      </c>
      <c r="V432" s="17">
        <f>IF(AD432=0,"",IF(LEFT(K432,5)="Geler","❄ Gelée",IF(G432="",IF(D432&lt;=TODAY(),"⚠ Indice attendu","À venir"),IF(D432&lt;=TODAY(),"✔ Calculable","Indice connu – à venir"))))</f>
        <v/>
      </c>
      <c r="W432" s="29" t="n"/>
      <c r="X432" s="13" t="n"/>
      <c r="Y432" s="14" t="n"/>
      <c r="Z432" s="14" t="n"/>
      <c r="AA432" s="13" t="n"/>
      <c r="AB432" s="17">
        <f>IF(A432="","",A432&amp;"#"&amp;C432)</f>
        <v/>
      </c>
      <c r="AC432" s="17">
        <f>IF(AND(AD432=1,D432&lt;=TODAY(),N432&lt;&gt;""),1,0)</f>
        <v/>
      </c>
      <c r="AD432" s="17">
        <f>IF(OR(A432="",D432=""),0,IF(AND(ISNUMBER(Baux!$H$37),D432&gt;Baux!$H$37),0,1))</f>
        <v/>
      </c>
    </row>
    <row r="433">
      <c r="A433" s="17">
        <f>IF(Baux!$A$37="","",Baux!$A$37)</f>
        <v/>
      </c>
      <c r="B433" s="17">
        <f>IF(A433="","",Baux!$B$37)</f>
        <v/>
      </c>
      <c r="C433" s="17" t="n">
        <v>12</v>
      </c>
      <c r="D433" s="15">
        <f>IF(OR(A433="",Baux!$F$37="",Baux!$O$37=""),"",EDATE(Baux!$F$37,12*Baux!$O$37*C433))</f>
        <v/>
      </c>
      <c r="E433" s="17">
        <f>IF(AD433=0,"",Baux!$M$37)</f>
        <v/>
      </c>
      <c r="F433" s="17">
        <f>IF(AD433=0,"",IFERROR(TEXT(VALUE(LEFT(Baux!$N$37,4))+C433*Baux!$O$37,"0")&amp;RIGHT(Baux!$N$37,3),""))</f>
        <v/>
      </c>
      <c r="G433" s="25">
        <f>IF(AD433=0,"",IF(F433="","",IF(SUMIFS(Indices_long!$C:$C,Indices_long!$A:$A,E433,Indices_long!$B:$B,F433)=0,"",SUMIFS(Indices_long!$C:$C,Indices_long!$A:$A,E433,Indices_long!$B:$B,F433))))</f>
        <v/>
      </c>
      <c r="H433" s="17">
        <f>IF(AD433=0,"",IF(Baux!$P$37="Base fixe",Baux!$N$37,IF(K432="Geler – rattrapage possible",H432,F432)))</f>
        <v/>
      </c>
      <c r="I433" s="25">
        <f>IF(AD433=0,"",IF(H433="","",IF(SUMIFS(Indices_long!$C:$C,Indices_long!$A:$A,E433,Indices_long!$B:$B,H433)=0,"",SUMIFS(Indices_long!$C:$C,Indices_long!$A:$A,E433,Indices_long!$B:$B,H433))))</f>
        <v/>
      </c>
      <c r="J433" s="26">
        <f>IF(OR(G433="",I433=""),"",G433/I433)</f>
        <v/>
      </c>
      <c r="K433" s="13" t="n"/>
      <c r="L433" s="27">
        <f>IF(AD433=0,"",IF(Baux!$P$37="Base fixe",Baux!$I$37,N432))</f>
        <v/>
      </c>
      <c r="M433" s="27">
        <f>IF(OR(J433="",L433=""),"",ROUND(L433*J433,2))</f>
        <v/>
      </c>
      <c r="N433" s="27">
        <f>IF(AD433=0,"",IF(LEFT(K433,5)="Geler",O433,IF(M433="","",IF(Baux!$Q$37="",M433,MIN(M433,ROUND(L433*(1+Baux!$Q$37/100)^IF(Baux!$P$37="Base fixe",C433*Baux!$O$37,VALUE(LEFT(F433,4))-VALUE(LEFT(H433,4))),2))))))</f>
        <v/>
      </c>
      <c r="O433" s="27">
        <f>IF(AD433=0,"",N432)</f>
        <v/>
      </c>
      <c r="P433" s="28">
        <f>IF(OR(N433="",O433=""),"",N433/O433-1)</f>
        <v/>
      </c>
      <c r="Q433" s="27">
        <f>IF(N433="","",N433/12)</f>
        <v/>
      </c>
      <c r="R433" s="27">
        <f>IF(N433="","",N433/IF(Baux!$L$37="Mensuelle",12,IF(Baux!$L$37="Trimestrielle",4,IF(Baux!$L$37="Semestrielle",2,1))))</f>
        <v/>
      </c>
      <c r="S433" s="27">
        <f>IF(AD433=0,"",IF(Baux!$J$37="",0,Baux!$J$37)/IF(Baux!$L$37="Mensuelle",12,IF(Baux!$L$37="Trimestrielle",4,IF(Baux!$L$37="Semestrielle",2,1))))</f>
        <v/>
      </c>
      <c r="T433" s="27">
        <f>IF(R433="","",(R433+S433)*Baux!$K$37/100)</f>
        <v/>
      </c>
      <c r="U433" s="27">
        <f>IF(R433="","",R433+S433+T433)</f>
        <v/>
      </c>
      <c r="V433" s="17">
        <f>IF(AD433=0,"",IF(LEFT(K433,5)="Geler","❄ Gelée",IF(G433="",IF(D433&lt;=TODAY(),"⚠ Indice attendu","À venir"),IF(D433&lt;=TODAY(),"✔ Calculable","Indice connu – à venir"))))</f>
        <v/>
      </c>
      <c r="W433" s="29" t="n"/>
      <c r="X433" s="13" t="n"/>
      <c r="Y433" s="14" t="n"/>
      <c r="Z433" s="14" t="n"/>
      <c r="AA433" s="13" t="n"/>
      <c r="AB433" s="17">
        <f>IF(A433="","",A433&amp;"#"&amp;C433)</f>
        <v/>
      </c>
      <c r="AC433" s="17">
        <f>IF(AND(AD433=1,D433&lt;=TODAY(),N433&lt;&gt;""),1,0)</f>
        <v/>
      </c>
      <c r="AD433" s="17">
        <f>IF(OR(A433="",D433=""),0,IF(AND(ISNUMBER(Baux!$H$37),D433&gt;Baux!$H$37),0,1))</f>
        <v/>
      </c>
    </row>
    <row r="434">
      <c r="A434" s="17">
        <f>IF(Baux!$A$38="","",Baux!$A$38)</f>
        <v/>
      </c>
      <c r="B434" s="17">
        <f>IF(A434="","",Baux!$B$38)</f>
        <v/>
      </c>
      <c r="C434" s="17" t="n">
        <v>1</v>
      </c>
      <c r="D434" s="15">
        <f>IF(OR(A434="",Baux!$F$38="",Baux!$O$38=""),"",EDATE(Baux!$F$38,12*Baux!$O$38*C434))</f>
        <v/>
      </c>
      <c r="E434" s="17">
        <f>IF(AD434=0,"",Baux!$M$38)</f>
        <v/>
      </c>
      <c r="F434" s="17">
        <f>IF(AD434=0,"",IFERROR(TEXT(VALUE(LEFT(Baux!$N$38,4))+C434*Baux!$O$38,"0")&amp;RIGHT(Baux!$N$38,3),""))</f>
        <v/>
      </c>
      <c r="G434" s="25">
        <f>IF(AD434=0,"",IF(F434="","",IF(SUMIFS(Indices_long!$C:$C,Indices_long!$A:$A,E434,Indices_long!$B:$B,F434)=0,"",SUMIFS(Indices_long!$C:$C,Indices_long!$A:$A,E434,Indices_long!$B:$B,F434))))</f>
        <v/>
      </c>
      <c r="H434" s="17">
        <f>IF(AD434=0,"",Baux!$N$38)</f>
        <v/>
      </c>
      <c r="I434" s="25">
        <f>IF(AD434=0,"",IF(H434="","",IF(SUMIFS(Indices_long!$C:$C,Indices_long!$A:$A,E434,Indices_long!$B:$B,H434)=0,"",SUMIFS(Indices_long!$C:$C,Indices_long!$A:$A,E434,Indices_long!$B:$B,H434))))</f>
        <v/>
      </c>
      <c r="J434" s="26">
        <f>IF(OR(G434="",I434=""),"",G434/I434)</f>
        <v/>
      </c>
      <c r="K434" s="13" t="n"/>
      <c r="L434" s="27">
        <f>IF(AD434=0,"",Baux!$I$38)</f>
        <v/>
      </c>
      <c r="M434" s="27">
        <f>IF(OR(J434="",L434=""),"",ROUND(L434*J434,2))</f>
        <v/>
      </c>
      <c r="N434" s="27">
        <f>IF(AD434=0,"",IF(LEFT(K434,5)="Geler",O434,IF(M434="","",IF(Baux!$Q$38="",M434,MIN(M434,ROUND(L434*(1+Baux!$Q$38/100)^IF(Baux!$P$38="Base fixe",C434*Baux!$O$38,VALUE(LEFT(F434,4))-VALUE(LEFT(H434,4))),2))))))</f>
        <v/>
      </c>
      <c r="O434" s="27">
        <f>IF(AD434=0,"",Baux!$I$38)</f>
        <v/>
      </c>
      <c r="P434" s="28">
        <f>IF(OR(N434="",O434=""),"",N434/O434-1)</f>
        <v/>
      </c>
      <c r="Q434" s="27">
        <f>IF(N434="","",N434/12)</f>
        <v/>
      </c>
      <c r="R434" s="27">
        <f>IF(N434="","",N434/IF(Baux!$L$38="Mensuelle",12,IF(Baux!$L$38="Trimestrielle",4,IF(Baux!$L$38="Semestrielle",2,1))))</f>
        <v/>
      </c>
      <c r="S434" s="27">
        <f>IF(AD434=0,"",IF(Baux!$J$38="",0,Baux!$J$38)/IF(Baux!$L$38="Mensuelle",12,IF(Baux!$L$38="Trimestrielle",4,IF(Baux!$L$38="Semestrielle",2,1))))</f>
        <v/>
      </c>
      <c r="T434" s="27">
        <f>IF(R434="","",(R434+S434)*Baux!$K$38/100)</f>
        <v/>
      </c>
      <c r="U434" s="27">
        <f>IF(R434="","",R434+S434+T434)</f>
        <v/>
      </c>
      <c r="V434" s="17">
        <f>IF(AD434=0,"",IF(LEFT(K434,5)="Geler","❄ Gelée",IF(G434="",IF(D434&lt;=TODAY(),"⚠ Indice attendu","À venir"),IF(D434&lt;=TODAY(),"✔ Calculable","Indice connu – à venir"))))</f>
        <v/>
      </c>
      <c r="W434" s="29" t="n"/>
      <c r="X434" s="13" t="n"/>
      <c r="Y434" s="14" t="n"/>
      <c r="Z434" s="14" t="n"/>
      <c r="AA434" s="13" t="n"/>
      <c r="AB434" s="17">
        <f>IF(A434="","",A434&amp;"#"&amp;C434)</f>
        <v/>
      </c>
      <c r="AC434" s="17">
        <f>IF(AND(AD434=1,D434&lt;=TODAY(),N434&lt;&gt;""),1,0)</f>
        <v/>
      </c>
      <c r="AD434" s="17">
        <f>IF(OR(A434="",D434=""),0,IF(AND(ISNUMBER(Baux!$H$38),D434&gt;Baux!$H$38),0,1))</f>
        <v/>
      </c>
    </row>
    <row r="435">
      <c r="A435" s="17">
        <f>IF(Baux!$A$38="","",Baux!$A$38)</f>
        <v/>
      </c>
      <c r="B435" s="17">
        <f>IF(A435="","",Baux!$B$38)</f>
        <v/>
      </c>
      <c r="C435" s="17" t="n">
        <v>2</v>
      </c>
      <c r="D435" s="15">
        <f>IF(OR(A435="",Baux!$F$38="",Baux!$O$38=""),"",EDATE(Baux!$F$38,12*Baux!$O$38*C435))</f>
        <v/>
      </c>
      <c r="E435" s="17">
        <f>IF(AD435=0,"",Baux!$M$38)</f>
        <v/>
      </c>
      <c r="F435" s="17">
        <f>IF(AD435=0,"",IFERROR(TEXT(VALUE(LEFT(Baux!$N$38,4))+C435*Baux!$O$38,"0")&amp;RIGHT(Baux!$N$38,3),""))</f>
        <v/>
      </c>
      <c r="G435" s="25">
        <f>IF(AD435=0,"",IF(F435="","",IF(SUMIFS(Indices_long!$C:$C,Indices_long!$A:$A,E435,Indices_long!$B:$B,F435)=0,"",SUMIFS(Indices_long!$C:$C,Indices_long!$A:$A,E435,Indices_long!$B:$B,F435))))</f>
        <v/>
      </c>
      <c r="H435" s="17">
        <f>IF(AD435=0,"",IF(Baux!$P$38="Base fixe",Baux!$N$38,IF(K434="Geler – rattrapage possible",H434,F434)))</f>
        <v/>
      </c>
      <c r="I435" s="25">
        <f>IF(AD435=0,"",IF(H435="","",IF(SUMIFS(Indices_long!$C:$C,Indices_long!$A:$A,E435,Indices_long!$B:$B,H435)=0,"",SUMIFS(Indices_long!$C:$C,Indices_long!$A:$A,E435,Indices_long!$B:$B,H435))))</f>
        <v/>
      </c>
      <c r="J435" s="26">
        <f>IF(OR(G435="",I435=""),"",G435/I435)</f>
        <v/>
      </c>
      <c r="K435" s="13" t="n"/>
      <c r="L435" s="27">
        <f>IF(AD435=0,"",IF(Baux!$P$38="Base fixe",Baux!$I$38,N434))</f>
        <v/>
      </c>
      <c r="M435" s="27">
        <f>IF(OR(J435="",L435=""),"",ROUND(L435*J435,2))</f>
        <v/>
      </c>
      <c r="N435" s="27">
        <f>IF(AD435=0,"",IF(LEFT(K435,5)="Geler",O435,IF(M435="","",IF(Baux!$Q$38="",M435,MIN(M435,ROUND(L435*(1+Baux!$Q$38/100)^IF(Baux!$P$38="Base fixe",C435*Baux!$O$38,VALUE(LEFT(F435,4))-VALUE(LEFT(H435,4))),2))))))</f>
        <v/>
      </c>
      <c r="O435" s="27">
        <f>IF(AD435=0,"",N434)</f>
        <v/>
      </c>
      <c r="P435" s="28">
        <f>IF(OR(N435="",O435=""),"",N435/O435-1)</f>
        <v/>
      </c>
      <c r="Q435" s="27">
        <f>IF(N435="","",N435/12)</f>
        <v/>
      </c>
      <c r="R435" s="27">
        <f>IF(N435="","",N435/IF(Baux!$L$38="Mensuelle",12,IF(Baux!$L$38="Trimestrielle",4,IF(Baux!$L$38="Semestrielle",2,1))))</f>
        <v/>
      </c>
      <c r="S435" s="27">
        <f>IF(AD435=0,"",IF(Baux!$J$38="",0,Baux!$J$38)/IF(Baux!$L$38="Mensuelle",12,IF(Baux!$L$38="Trimestrielle",4,IF(Baux!$L$38="Semestrielle",2,1))))</f>
        <v/>
      </c>
      <c r="T435" s="27">
        <f>IF(R435="","",(R435+S435)*Baux!$K$38/100)</f>
        <v/>
      </c>
      <c r="U435" s="27">
        <f>IF(R435="","",R435+S435+T435)</f>
        <v/>
      </c>
      <c r="V435" s="17">
        <f>IF(AD435=0,"",IF(LEFT(K435,5)="Geler","❄ Gelée",IF(G435="",IF(D435&lt;=TODAY(),"⚠ Indice attendu","À venir"),IF(D435&lt;=TODAY(),"✔ Calculable","Indice connu – à venir"))))</f>
        <v/>
      </c>
      <c r="W435" s="29" t="n"/>
      <c r="X435" s="13" t="n"/>
      <c r="Y435" s="14" t="n"/>
      <c r="Z435" s="14" t="n"/>
      <c r="AA435" s="13" t="n"/>
      <c r="AB435" s="17">
        <f>IF(A435="","",A435&amp;"#"&amp;C435)</f>
        <v/>
      </c>
      <c r="AC435" s="17">
        <f>IF(AND(AD435=1,D435&lt;=TODAY(),N435&lt;&gt;""),1,0)</f>
        <v/>
      </c>
      <c r="AD435" s="17">
        <f>IF(OR(A435="",D435=""),0,IF(AND(ISNUMBER(Baux!$H$38),D435&gt;Baux!$H$38),0,1))</f>
        <v/>
      </c>
    </row>
    <row r="436">
      <c r="A436" s="17">
        <f>IF(Baux!$A$38="","",Baux!$A$38)</f>
        <v/>
      </c>
      <c r="B436" s="17">
        <f>IF(A436="","",Baux!$B$38)</f>
        <v/>
      </c>
      <c r="C436" s="17" t="n">
        <v>3</v>
      </c>
      <c r="D436" s="15">
        <f>IF(OR(A436="",Baux!$F$38="",Baux!$O$38=""),"",EDATE(Baux!$F$38,12*Baux!$O$38*C436))</f>
        <v/>
      </c>
      <c r="E436" s="17">
        <f>IF(AD436=0,"",Baux!$M$38)</f>
        <v/>
      </c>
      <c r="F436" s="17">
        <f>IF(AD436=0,"",IFERROR(TEXT(VALUE(LEFT(Baux!$N$38,4))+C436*Baux!$O$38,"0")&amp;RIGHT(Baux!$N$38,3),""))</f>
        <v/>
      </c>
      <c r="G436" s="25">
        <f>IF(AD436=0,"",IF(F436="","",IF(SUMIFS(Indices_long!$C:$C,Indices_long!$A:$A,E436,Indices_long!$B:$B,F436)=0,"",SUMIFS(Indices_long!$C:$C,Indices_long!$A:$A,E436,Indices_long!$B:$B,F436))))</f>
        <v/>
      </c>
      <c r="H436" s="17">
        <f>IF(AD436=0,"",IF(Baux!$P$38="Base fixe",Baux!$N$38,IF(K435="Geler – rattrapage possible",H435,F435)))</f>
        <v/>
      </c>
      <c r="I436" s="25">
        <f>IF(AD436=0,"",IF(H436="","",IF(SUMIFS(Indices_long!$C:$C,Indices_long!$A:$A,E436,Indices_long!$B:$B,H436)=0,"",SUMIFS(Indices_long!$C:$C,Indices_long!$A:$A,E436,Indices_long!$B:$B,H436))))</f>
        <v/>
      </c>
      <c r="J436" s="26">
        <f>IF(OR(G436="",I436=""),"",G436/I436)</f>
        <v/>
      </c>
      <c r="K436" s="13" t="n"/>
      <c r="L436" s="27">
        <f>IF(AD436=0,"",IF(Baux!$P$38="Base fixe",Baux!$I$38,N435))</f>
        <v/>
      </c>
      <c r="M436" s="27">
        <f>IF(OR(J436="",L436=""),"",ROUND(L436*J436,2))</f>
        <v/>
      </c>
      <c r="N436" s="27">
        <f>IF(AD436=0,"",IF(LEFT(K436,5)="Geler",O436,IF(M436="","",IF(Baux!$Q$38="",M436,MIN(M436,ROUND(L436*(1+Baux!$Q$38/100)^IF(Baux!$P$38="Base fixe",C436*Baux!$O$38,VALUE(LEFT(F436,4))-VALUE(LEFT(H436,4))),2))))))</f>
        <v/>
      </c>
      <c r="O436" s="27">
        <f>IF(AD436=0,"",N435)</f>
        <v/>
      </c>
      <c r="P436" s="28">
        <f>IF(OR(N436="",O436=""),"",N436/O436-1)</f>
        <v/>
      </c>
      <c r="Q436" s="27">
        <f>IF(N436="","",N436/12)</f>
        <v/>
      </c>
      <c r="R436" s="27">
        <f>IF(N436="","",N436/IF(Baux!$L$38="Mensuelle",12,IF(Baux!$L$38="Trimestrielle",4,IF(Baux!$L$38="Semestrielle",2,1))))</f>
        <v/>
      </c>
      <c r="S436" s="27">
        <f>IF(AD436=0,"",IF(Baux!$J$38="",0,Baux!$J$38)/IF(Baux!$L$38="Mensuelle",12,IF(Baux!$L$38="Trimestrielle",4,IF(Baux!$L$38="Semestrielle",2,1))))</f>
        <v/>
      </c>
      <c r="T436" s="27">
        <f>IF(R436="","",(R436+S436)*Baux!$K$38/100)</f>
        <v/>
      </c>
      <c r="U436" s="27">
        <f>IF(R436="","",R436+S436+T436)</f>
        <v/>
      </c>
      <c r="V436" s="17">
        <f>IF(AD436=0,"",IF(LEFT(K436,5)="Geler","❄ Gelée",IF(G436="",IF(D436&lt;=TODAY(),"⚠ Indice attendu","À venir"),IF(D436&lt;=TODAY(),"✔ Calculable","Indice connu – à venir"))))</f>
        <v/>
      </c>
      <c r="W436" s="29" t="n"/>
      <c r="X436" s="13" t="n"/>
      <c r="Y436" s="14" t="n"/>
      <c r="Z436" s="14" t="n"/>
      <c r="AA436" s="13" t="n"/>
      <c r="AB436" s="17">
        <f>IF(A436="","",A436&amp;"#"&amp;C436)</f>
        <v/>
      </c>
      <c r="AC436" s="17">
        <f>IF(AND(AD436=1,D436&lt;=TODAY(),N436&lt;&gt;""),1,0)</f>
        <v/>
      </c>
      <c r="AD436" s="17">
        <f>IF(OR(A436="",D436=""),0,IF(AND(ISNUMBER(Baux!$H$38),D436&gt;Baux!$H$38),0,1))</f>
        <v/>
      </c>
    </row>
    <row r="437">
      <c r="A437" s="17">
        <f>IF(Baux!$A$38="","",Baux!$A$38)</f>
        <v/>
      </c>
      <c r="B437" s="17">
        <f>IF(A437="","",Baux!$B$38)</f>
        <v/>
      </c>
      <c r="C437" s="17" t="n">
        <v>4</v>
      </c>
      <c r="D437" s="15">
        <f>IF(OR(A437="",Baux!$F$38="",Baux!$O$38=""),"",EDATE(Baux!$F$38,12*Baux!$O$38*C437))</f>
        <v/>
      </c>
      <c r="E437" s="17">
        <f>IF(AD437=0,"",Baux!$M$38)</f>
        <v/>
      </c>
      <c r="F437" s="17">
        <f>IF(AD437=0,"",IFERROR(TEXT(VALUE(LEFT(Baux!$N$38,4))+C437*Baux!$O$38,"0")&amp;RIGHT(Baux!$N$38,3),""))</f>
        <v/>
      </c>
      <c r="G437" s="25">
        <f>IF(AD437=0,"",IF(F437="","",IF(SUMIFS(Indices_long!$C:$C,Indices_long!$A:$A,E437,Indices_long!$B:$B,F437)=0,"",SUMIFS(Indices_long!$C:$C,Indices_long!$A:$A,E437,Indices_long!$B:$B,F437))))</f>
        <v/>
      </c>
      <c r="H437" s="17">
        <f>IF(AD437=0,"",IF(Baux!$P$38="Base fixe",Baux!$N$38,IF(K436="Geler – rattrapage possible",H436,F436)))</f>
        <v/>
      </c>
      <c r="I437" s="25">
        <f>IF(AD437=0,"",IF(H437="","",IF(SUMIFS(Indices_long!$C:$C,Indices_long!$A:$A,E437,Indices_long!$B:$B,H437)=0,"",SUMIFS(Indices_long!$C:$C,Indices_long!$A:$A,E437,Indices_long!$B:$B,H437))))</f>
        <v/>
      </c>
      <c r="J437" s="26">
        <f>IF(OR(G437="",I437=""),"",G437/I437)</f>
        <v/>
      </c>
      <c r="K437" s="13" t="n"/>
      <c r="L437" s="27">
        <f>IF(AD437=0,"",IF(Baux!$P$38="Base fixe",Baux!$I$38,N436))</f>
        <v/>
      </c>
      <c r="M437" s="27">
        <f>IF(OR(J437="",L437=""),"",ROUND(L437*J437,2))</f>
        <v/>
      </c>
      <c r="N437" s="27">
        <f>IF(AD437=0,"",IF(LEFT(K437,5)="Geler",O437,IF(M437="","",IF(Baux!$Q$38="",M437,MIN(M437,ROUND(L437*(1+Baux!$Q$38/100)^IF(Baux!$P$38="Base fixe",C437*Baux!$O$38,VALUE(LEFT(F437,4))-VALUE(LEFT(H437,4))),2))))))</f>
        <v/>
      </c>
      <c r="O437" s="27">
        <f>IF(AD437=0,"",N436)</f>
        <v/>
      </c>
      <c r="P437" s="28">
        <f>IF(OR(N437="",O437=""),"",N437/O437-1)</f>
        <v/>
      </c>
      <c r="Q437" s="27">
        <f>IF(N437="","",N437/12)</f>
        <v/>
      </c>
      <c r="R437" s="27">
        <f>IF(N437="","",N437/IF(Baux!$L$38="Mensuelle",12,IF(Baux!$L$38="Trimestrielle",4,IF(Baux!$L$38="Semestrielle",2,1))))</f>
        <v/>
      </c>
      <c r="S437" s="27">
        <f>IF(AD437=0,"",IF(Baux!$J$38="",0,Baux!$J$38)/IF(Baux!$L$38="Mensuelle",12,IF(Baux!$L$38="Trimestrielle",4,IF(Baux!$L$38="Semestrielle",2,1))))</f>
        <v/>
      </c>
      <c r="T437" s="27">
        <f>IF(R437="","",(R437+S437)*Baux!$K$38/100)</f>
        <v/>
      </c>
      <c r="U437" s="27">
        <f>IF(R437="","",R437+S437+T437)</f>
        <v/>
      </c>
      <c r="V437" s="17">
        <f>IF(AD437=0,"",IF(LEFT(K437,5)="Geler","❄ Gelée",IF(G437="",IF(D437&lt;=TODAY(),"⚠ Indice attendu","À venir"),IF(D437&lt;=TODAY(),"✔ Calculable","Indice connu – à venir"))))</f>
        <v/>
      </c>
      <c r="W437" s="29" t="n"/>
      <c r="X437" s="13" t="n"/>
      <c r="Y437" s="14" t="n"/>
      <c r="Z437" s="14" t="n"/>
      <c r="AA437" s="13" t="n"/>
      <c r="AB437" s="17">
        <f>IF(A437="","",A437&amp;"#"&amp;C437)</f>
        <v/>
      </c>
      <c r="AC437" s="17">
        <f>IF(AND(AD437=1,D437&lt;=TODAY(),N437&lt;&gt;""),1,0)</f>
        <v/>
      </c>
      <c r="AD437" s="17">
        <f>IF(OR(A437="",D437=""),0,IF(AND(ISNUMBER(Baux!$H$38),D437&gt;Baux!$H$38),0,1))</f>
        <v/>
      </c>
    </row>
    <row r="438">
      <c r="A438" s="17">
        <f>IF(Baux!$A$38="","",Baux!$A$38)</f>
        <v/>
      </c>
      <c r="B438" s="17">
        <f>IF(A438="","",Baux!$B$38)</f>
        <v/>
      </c>
      <c r="C438" s="17" t="n">
        <v>5</v>
      </c>
      <c r="D438" s="15">
        <f>IF(OR(A438="",Baux!$F$38="",Baux!$O$38=""),"",EDATE(Baux!$F$38,12*Baux!$O$38*C438))</f>
        <v/>
      </c>
      <c r="E438" s="17">
        <f>IF(AD438=0,"",Baux!$M$38)</f>
        <v/>
      </c>
      <c r="F438" s="17">
        <f>IF(AD438=0,"",IFERROR(TEXT(VALUE(LEFT(Baux!$N$38,4))+C438*Baux!$O$38,"0")&amp;RIGHT(Baux!$N$38,3),""))</f>
        <v/>
      </c>
      <c r="G438" s="25">
        <f>IF(AD438=0,"",IF(F438="","",IF(SUMIFS(Indices_long!$C:$C,Indices_long!$A:$A,E438,Indices_long!$B:$B,F438)=0,"",SUMIFS(Indices_long!$C:$C,Indices_long!$A:$A,E438,Indices_long!$B:$B,F438))))</f>
        <v/>
      </c>
      <c r="H438" s="17">
        <f>IF(AD438=0,"",IF(Baux!$P$38="Base fixe",Baux!$N$38,IF(K437="Geler – rattrapage possible",H437,F437)))</f>
        <v/>
      </c>
      <c r="I438" s="25">
        <f>IF(AD438=0,"",IF(H438="","",IF(SUMIFS(Indices_long!$C:$C,Indices_long!$A:$A,E438,Indices_long!$B:$B,H438)=0,"",SUMIFS(Indices_long!$C:$C,Indices_long!$A:$A,E438,Indices_long!$B:$B,H438))))</f>
        <v/>
      </c>
      <c r="J438" s="26">
        <f>IF(OR(G438="",I438=""),"",G438/I438)</f>
        <v/>
      </c>
      <c r="K438" s="13" t="n"/>
      <c r="L438" s="27">
        <f>IF(AD438=0,"",IF(Baux!$P$38="Base fixe",Baux!$I$38,N437))</f>
        <v/>
      </c>
      <c r="M438" s="27">
        <f>IF(OR(J438="",L438=""),"",ROUND(L438*J438,2))</f>
        <v/>
      </c>
      <c r="N438" s="27">
        <f>IF(AD438=0,"",IF(LEFT(K438,5)="Geler",O438,IF(M438="","",IF(Baux!$Q$38="",M438,MIN(M438,ROUND(L438*(1+Baux!$Q$38/100)^IF(Baux!$P$38="Base fixe",C438*Baux!$O$38,VALUE(LEFT(F438,4))-VALUE(LEFT(H438,4))),2))))))</f>
        <v/>
      </c>
      <c r="O438" s="27">
        <f>IF(AD438=0,"",N437)</f>
        <v/>
      </c>
      <c r="P438" s="28">
        <f>IF(OR(N438="",O438=""),"",N438/O438-1)</f>
        <v/>
      </c>
      <c r="Q438" s="27">
        <f>IF(N438="","",N438/12)</f>
        <v/>
      </c>
      <c r="R438" s="27">
        <f>IF(N438="","",N438/IF(Baux!$L$38="Mensuelle",12,IF(Baux!$L$38="Trimestrielle",4,IF(Baux!$L$38="Semestrielle",2,1))))</f>
        <v/>
      </c>
      <c r="S438" s="27">
        <f>IF(AD438=0,"",IF(Baux!$J$38="",0,Baux!$J$38)/IF(Baux!$L$38="Mensuelle",12,IF(Baux!$L$38="Trimestrielle",4,IF(Baux!$L$38="Semestrielle",2,1))))</f>
        <v/>
      </c>
      <c r="T438" s="27">
        <f>IF(R438="","",(R438+S438)*Baux!$K$38/100)</f>
        <v/>
      </c>
      <c r="U438" s="27">
        <f>IF(R438="","",R438+S438+T438)</f>
        <v/>
      </c>
      <c r="V438" s="17">
        <f>IF(AD438=0,"",IF(LEFT(K438,5)="Geler","❄ Gelée",IF(G438="",IF(D438&lt;=TODAY(),"⚠ Indice attendu","À venir"),IF(D438&lt;=TODAY(),"✔ Calculable","Indice connu – à venir"))))</f>
        <v/>
      </c>
      <c r="W438" s="29" t="n"/>
      <c r="X438" s="13" t="n"/>
      <c r="Y438" s="14" t="n"/>
      <c r="Z438" s="14" t="n"/>
      <c r="AA438" s="13" t="n"/>
      <c r="AB438" s="17">
        <f>IF(A438="","",A438&amp;"#"&amp;C438)</f>
        <v/>
      </c>
      <c r="AC438" s="17">
        <f>IF(AND(AD438=1,D438&lt;=TODAY(),N438&lt;&gt;""),1,0)</f>
        <v/>
      </c>
      <c r="AD438" s="17">
        <f>IF(OR(A438="",D438=""),0,IF(AND(ISNUMBER(Baux!$H$38),D438&gt;Baux!$H$38),0,1))</f>
        <v/>
      </c>
    </row>
    <row r="439">
      <c r="A439" s="17">
        <f>IF(Baux!$A$38="","",Baux!$A$38)</f>
        <v/>
      </c>
      <c r="B439" s="17">
        <f>IF(A439="","",Baux!$B$38)</f>
        <v/>
      </c>
      <c r="C439" s="17" t="n">
        <v>6</v>
      </c>
      <c r="D439" s="15">
        <f>IF(OR(A439="",Baux!$F$38="",Baux!$O$38=""),"",EDATE(Baux!$F$38,12*Baux!$O$38*C439))</f>
        <v/>
      </c>
      <c r="E439" s="17">
        <f>IF(AD439=0,"",Baux!$M$38)</f>
        <v/>
      </c>
      <c r="F439" s="17">
        <f>IF(AD439=0,"",IFERROR(TEXT(VALUE(LEFT(Baux!$N$38,4))+C439*Baux!$O$38,"0")&amp;RIGHT(Baux!$N$38,3),""))</f>
        <v/>
      </c>
      <c r="G439" s="25">
        <f>IF(AD439=0,"",IF(F439="","",IF(SUMIFS(Indices_long!$C:$C,Indices_long!$A:$A,E439,Indices_long!$B:$B,F439)=0,"",SUMIFS(Indices_long!$C:$C,Indices_long!$A:$A,E439,Indices_long!$B:$B,F439))))</f>
        <v/>
      </c>
      <c r="H439" s="17">
        <f>IF(AD439=0,"",IF(Baux!$P$38="Base fixe",Baux!$N$38,IF(K438="Geler – rattrapage possible",H438,F438)))</f>
        <v/>
      </c>
      <c r="I439" s="25">
        <f>IF(AD439=0,"",IF(H439="","",IF(SUMIFS(Indices_long!$C:$C,Indices_long!$A:$A,E439,Indices_long!$B:$B,H439)=0,"",SUMIFS(Indices_long!$C:$C,Indices_long!$A:$A,E439,Indices_long!$B:$B,H439))))</f>
        <v/>
      </c>
      <c r="J439" s="26">
        <f>IF(OR(G439="",I439=""),"",G439/I439)</f>
        <v/>
      </c>
      <c r="K439" s="13" t="n"/>
      <c r="L439" s="27">
        <f>IF(AD439=0,"",IF(Baux!$P$38="Base fixe",Baux!$I$38,N438))</f>
        <v/>
      </c>
      <c r="M439" s="27">
        <f>IF(OR(J439="",L439=""),"",ROUND(L439*J439,2))</f>
        <v/>
      </c>
      <c r="N439" s="27">
        <f>IF(AD439=0,"",IF(LEFT(K439,5)="Geler",O439,IF(M439="","",IF(Baux!$Q$38="",M439,MIN(M439,ROUND(L439*(1+Baux!$Q$38/100)^IF(Baux!$P$38="Base fixe",C439*Baux!$O$38,VALUE(LEFT(F439,4))-VALUE(LEFT(H439,4))),2))))))</f>
        <v/>
      </c>
      <c r="O439" s="27">
        <f>IF(AD439=0,"",N438)</f>
        <v/>
      </c>
      <c r="P439" s="28">
        <f>IF(OR(N439="",O439=""),"",N439/O439-1)</f>
        <v/>
      </c>
      <c r="Q439" s="27">
        <f>IF(N439="","",N439/12)</f>
        <v/>
      </c>
      <c r="R439" s="27">
        <f>IF(N439="","",N439/IF(Baux!$L$38="Mensuelle",12,IF(Baux!$L$38="Trimestrielle",4,IF(Baux!$L$38="Semestrielle",2,1))))</f>
        <v/>
      </c>
      <c r="S439" s="27">
        <f>IF(AD439=0,"",IF(Baux!$J$38="",0,Baux!$J$38)/IF(Baux!$L$38="Mensuelle",12,IF(Baux!$L$38="Trimestrielle",4,IF(Baux!$L$38="Semestrielle",2,1))))</f>
        <v/>
      </c>
      <c r="T439" s="27">
        <f>IF(R439="","",(R439+S439)*Baux!$K$38/100)</f>
        <v/>
      </c>
      <c r="U439" s="27">
        <f>IF(R439="","",R439+S439+T439)</f>
        <v/>
      </c>
      <c r="V439" s="17">
        <f>IF(AD439=0,"",IF(LEFT(K439,5)="Geler","❄ Gelée",IF(G439="",IF(D439&lt;=TODAY(),"⚠ Indice attendu","À venir"),IF(D439&lt;=TODAY(),"✔ Calculable","Indice connu – à venir"))))</f>
        <v/>
      </c>
      <c r="W439" s="29" t="n"/>
      <c r="X439" s="13" t="n"/>
      <c r="Y439" s="14" t="n"/>
      <c r="Z439" s="14" t="n"/>
      <c r="AA439" s="13" t="n"/>
      <c r="AB439" s="17">
        <f>IF(A439="","",A439&amp;"#"&amp;C439)</f>
        <v/>
      </c>
      <c r="AC439" s="17">
        <f>IF(AND(AD439=1,D439&lt;=TODAY(),N439&lt;&gt;""),1,0)</f>
        <v/>
      </c>
      <c r="AD439" s="17">
        <f>IF(OR(A439="",D439=""),0,IF(AND(ISNUMBER(Baux!$H$38),D439&gt;Baux!$H$38),0,1))</f>
        <v/>
      </c>
    </row>
    <row r="440">
      <c r="A440" s="17">
        <f>IF(Baux!$A$38="","",Baux!$A$38)</f>
        <v/>
      </c>
      <c r="B440" s="17">
        <f>IF(A440="","",Baux!$B$38)</f>
        <v/>
      </c>
      <c r="C440" s="17" t="n">
        <v>7</v>
      </c>
      <c r="D440" s="15">
        <f>IF(OR(A440="",Baux!$F$38="",Baux!$O$38=""),"",EDATE(Baux!$F$38,12*Baux!$O$38*C440))</f>
        <v/>
      </c>
      <c r="E440" s="17">
        <f>IF(AD440=0,"",Baux!$M$38)</f>
        <v/>
      </c>
      <c r="F440" s="17">
        <f>IF(AD440=0,"",IFERROR(TEXT(VALUE(LEFT(Baux!$N$38,4))+C440*Baux!$O$38,"0")&amp;RIGHT(Baux!$N$38,3),""))</f>
        <v/>
      </c>
      <c r="G440" s="25">
        <f>IF(AD440=0,"",IF(F440="","",IF(SUMIFS(Indices_long!$C:$C,Indices_long!$A:$A,E440,Indices_long!$B:$B,F440)=0,"",SUMIFS(Indices_long!$C:$C,Indices_long!$A:$A,E440,Indices_long!$B:$B,F440))))</f>
        <v/>
      </c>
      <c r="H440" s="17">
        <f>IF(AD440=0,"",IF(Baux!$P$38="Base fixe",Baux!$N$38,IF(K439="Geler – rattrapage possible",H439,F439)))</f>
        <v/>
      </c>
      <c r="I440" s="25">
        <f>IF(AD440=0,"",IF(H440="","",IF(SUMIFS(Indices_long!$C:$C,Indices_long!$A:$A,E440,Indices_long!$B:$B,H440)=0,"",SUMIFS(Indices_long!$C:$C,Indices_long!$A:$A,E440,Indices_long!$B:$B,H440))))</f>
        <v/>
      </c>
      <c r="J440" s="26">
        <f>IF(OR(G440="",I440=""),"",G440/I440)</f>
        <v/>
      </c>
      <c r="K440" s="13" t="n"/>
      <c r="L440" s="27">
        <f>IF(AD440=0,"",IF(Baux!$P$38="Base fixe",Baux!$I$38,N439))</f>
        <v/>
      </c>
      <c r="M440" s="27">
        <f>IF(OR(J440="",L440=""),"",ROUND(L440*J440,2))</f>
        <v/>
      </c>
      <c r="N440" s="27">
        <f>IF(AD440=0,"",IF(LEFT(K440,5)="Geler",O440,IF(M440="","",IF(Baux!$Q$38="",M440,MIN(M440,ROUND(L440*(1+Baux!$Q$38/100)^IF(Baux!$P$38="Base fixe",C440*Baux!$O$38,VALUE(LEFT(F440,4))-VALUE(LEFT(H440,4))),2))))))</f>
        <v/>
      </c>
      <c r="O440" s="27">
        <f>IF(AD440=0,"",N439)</f>
        <v/>
      </c>
      <c r="P440" s="28">
        <f>IF(OR(N440="",O440=""),"",N440/O440-1)</f>
        <v/>
      </c>
      <c r="Q440" s="27">
        <f>IF(N440="","",N440/12)</f>
        <v/>
      </c>
      <c r="R440" s="27">
        <f>IF(N440="","",N440/IF(Baux!$L$38="Mensuelle",12,IF(Baux!$L$38="Trimestrielle",4,IF(Baux!$L$38="Semestrielle",2,1))))</f>
        <v/>
      </c>
      <c r="S440" s="27">
        <f>IF(AD440=0,"",IF(Baux!$J$38="",0,Baux!$J$38)/IF(Baux!$L$38="Mensuelle",12,IF(Baux!$L$38="Trimestrielle",4,IF(Baux!$L$38="Semestrielle",2,1))))</f>
        <v/>
      </c>
      <c r="T440" s="27">
        <f>IF(R440="","",(R440+S440)*Baux!$K$38/100)</f>
        <v/>
      </c>
      <c r="U440" s="27">
        <f>IF(R440="","",R440+S440+T440)</f>
        <v/>
      </c>
      <c r="V440" s="17">
        <f>IF(AD440=0,"",IF(LEFT(K440,5)="Geler","❄ Gelée",IF(G440="",IF(D440&lt;=TODAY(),"⚠ Indice attendu","À venir"),IF(D440&lt;=TODAY(),"✔ Calculable","Indice connu – à venir"))))</f>
        <v/>
      </c>
      <c r="W440" s="29" t="n"/>
      <c r="X440" s="13" t="n"/>
      <c r="Y440" s="14" t="n"/>
      <c r="Z440" s="14" t="n"/>
      <c r="AA440" s="13" t="n"/>
      <c r="AB440" s="17">
        <f>IF(A440="","",A440&amp;"#"&amp;C440)</f>
        <v/>
      </c>
      <c r="AC440" s="17">
        <f>IF(AND(AD440=1,D440&lt;=TODAY(),N440&lt;&gt;""),1,0)</f>
        <v/>
      </c>
      <c r="AD440" s="17">
        <f>IF(OR(A440="",D440=""),0,IF(AND(ISNUMBER(Baux!$H$38),D440&gt;Baux!$H$38),0,1))</f>
        <v/>
      </c>
    </row>
    <row r="441">
      <c r="A441" s="17">
        <f>IF(Baux!$A$38="","",Baux!$A$38)</f>
        <v/>
      </c>
      <c r="B441" s="17">
        <f>IF(A441="","",Baux!$B$38)</f>
        <v/>
      </c>
      <c r="C441" s="17" t="n">
        <v>8</v>
      </c>
      <c r="D441" s="15">
        <f>IF(OR(A441="",Baux!$F$38="",Baux!$O$38=""),"",EDATE(Baux!$F$38,12*Baux!$O$38*C441))</f>
        <v/>
      </c>
      <c r="E441" s="17">
        <f>IF(AD441=0,"",Baux!$M$38)</f>
        <v/>
      </c>
      <c r="F441" s="17">
        <f>IF(AD441=0,"",IFERROR(TEXT(VALUE(LEFT(Baux!$N$38,4))+C441*Baux!$O$38,"0")&amp;RIGHT(Baux!$N$38,3),""))</f>
        <v/>
      </c>
      <c r="G441" s="25">
        <f>IF(AD441=0,"",IF(F441="","",IF(SUMIFS(Indices_long!$C:$C,Indices_long!$A:$A,E441,Indices_long!$B:$B,F441)=0,"",SUMIFS(Indices_long!$C:$C,Indices_long!$A:$A,E441,Indices_long!$B:$B,F441))))</f>
        <v/>
      </c>
      <c r="H441" s="17">
        <f>IF(AD441=0,"",IF(Baux!$P$38="Base fixe",Baux!$N$38,IF(K440="Geler – rattrapage possible",H440,F440)))</f>
        <v/>
      </c>
      <c r="I441" s="25">
        <f>IF(AD441=0,"",IF(H441="","",IF(SUMIFS(Indices_long!$C:$C,Indices_long!$A:$A,E441,Indices_long!$B:$B,H441)=0,"",SUMIFS(Indices_long!$C:$C,Indices_long!$A:$A,E441,Indices_long!$B:$B,H441))))</f>
        <v/>
      </c>
      <c r="J441" s="26">
        <f>IF(OR(G441="",I441=""),"",G441/I441)</f>
        <v/>
      </c>
      <c r="K441" s="13" t="n"/>
      <c r="L441" s="27">
        <f>IF(AD441=0,"",IF(Baux!$P$38="Base fixe",Baux!$I$38,N440))</f>
        <v/>
      </c>
      <c r="M441" s="27">
        <f>IF(OR(J441="",L441=""),"",ROUND(L441*J441,2))</f>
        <v/>
      </c>
      <c r="N441" s="27">
        <f>IF(AD441=0,"",IF(LEFT(K441,5)="Geler",O441,IF(M441="","",IF(Baux!$Q$38="",M441,MIN(M441,ROUND(L441*(1+Baux!$Q$38/100)^IF(Baux!$P$38="Base fixe",C441*Baux!$O$38,VALUE(LEFT(F441,4))-VALUE(LEFT(H441,4))),2))))))</f>
        <v/>
      </c>
      <c r="O441" s="27">
        <f>IF(AD441=0,"",N440)</f>
        <v/>
      </c>
      <c r="P441" s="28">
        <f>IF(OR(N441="",O441=""),"",N441/O441-1)</f>
        <v/>
      </c>
      <c r="Q441" s="27">
        <f>IF(N441="","",N441/12)</f>
        <v/>
      </c>
      <c r="R441" s="27">
        <f>IF(N441="","",N441/IF(Baux!$L$38="Mensuelle",12,IF(Baux!$L$38="Trimestrielle",4,IF(Baux!$L$38="Semestrielle",2,1))))</f>
        <v/>
      </c>
      <c r="S441" s="27">
        <f>IF(AD441=0,"",IF(Baux!$J$38="",0,Baux!$J$38)/IF(Baux!$L$38="Mensuelle",12,IF(Baux!$L$38="Trimestrielle",4,IF(Baux!$L$38="Semestrielle",2,1))))</f>
        <v/>
      </c>
      <c r="T441" s="27">
        <f>IF(R441="","",(R441+S441)*Baux!$K$38/100)</f>
        <v/>
      </c>
      <c r="U441" s="27">
        <f>IF(R441="","",R441+S441+T441)</f>
        <v/>
      </c>
      <c r="V441" s="17">
        <f>IF(AD441=0,"",IF(LEFT(K441,5)="Geler","❄ Gelée",IF(G441="",IF(D441&lt;=TODAY(),"⚠ Indice attendu","À venir"),IF(D441&lt;=TODAY(),"✔ Calculable","Indice connu – à venir"))))</f>
        <v/>
      </c>
      <c r="W441" s="29" t="n"/>
      <c r="X441" s="13" t="n"/>
      <c r="Y441" s="14" t="n"/>
      <c r="Z441" s="14" t="n"/>
      <c r="AA441" s="13" t="n"/>
      <c r="AB441" s="17">
        <f>IF(A441="","",A441&amp;"#"&amp;C441)</f>
        <v/>
      </c>
      <c r="AC441" s="17">
        <f>IF(AND(AD441=1,D441&lt;=TODAY(),N441&lt;&gt;""),1,0)</f>
        <v/>
      </c>
      <c r="AD441" s="17">
        <f>IF(OR(A441="",D441=""),0,IF(AND(ISNUMBER(Baux!$H$38),D441&gt;Baux!$H$38),0,1))</f>
        <v/>
      </c>
    </row>
    <row r="442">
      <c r="A442" s="17">
        <f>IF(Baux!$A$38="","",Baux!$A$38)</f>
        <v/>
      </c>
      <c r="B442" s="17">
        <f>IF(A442="","",Baux!$B$38)</f>
        <v/>
      </c>
      <c r="C442" s="17" t="n">
        <v>9</v>
      </c>
      <c r="D442" s="15">
        <f>IF(OR(A442="",Baux!$F$38="",Baux!$O$38=""),"",EDATE(Baux!$F$38,12*Baux!$O$38*C442))</f>
        <v/>
      </c>
      <c r="E442" s="17">
        <f>IF(AD442=0,"",Baux!$M$38)</f>
        <v/>
      </c>
      <c r="F442" s="17">
        <f>IF(AD442=0,"",IFERROR(TEXT(VALUE(LEFT(Baux!$N$38,4))+C442*Baux!$O$38,"0")&amp;RIGHT(Baux!$N$38,3),""))</f>
        <v/>
      </c>
      <c r="G442" s="25">
        <f>IF(AD442=0,"",IF(F442="","",IF(SUMIFS(Indices_long!$C:$C,Indices_long!$A:$A,E442,Indices_long!$B:$B,F442)=0,"",SUMIFS(Indices_long!$C:$C,Indices_long!$A:$A,E442,Indices_long!$B:$B,F442))))</f>
        <v/>
      </c>
      <c r="H442" s="17">
        <f>IF(AD442=0,"",IF(Baux!$P$38="Base fixe",Baux!$N$38,IF(K441="Geler – rattrapage possible",H441,F441)))</f>
        <v/>
      </c>
      <c r="I442" s="25">
        <f>IF(AD442=0,"",IF(H442="","",IF(SUMIFS(Indices_long!$C:$C,Indices_long!$A:$A,E442,Indices_long!$B:$B,H442)=0,"",SUMIFS(Indices_long!$C:$C,Indices_long!$A:$A,E442,Indices_long!$B:$B,H442))))</f>
        <v/>
      </c>
      <c r="J442" s="26">
        <f>IF(OR(G442="",I442=""),"",G442/I442)</f>
        <v/>
      </c>
      <c r="K442" s="13" t="n"/>
      <c r="L442" s="27">
        <f>IF(AD442=0,"",IF(Baux!$P$38="Base fixe",Baux!$I$38,N441))</f>
        <v/>
      </c>
      <c r="M442" s="27">
        <f>IF(OR(J442="",L442=""),"",ROUND(L442*J442,2))</f>
        <v/>
      </c>
      <c r="N442" s="27">
        <f>IF(AD442=0,"",IF(LEFT(K442,5)="Geler",O442,IF(M442="","",IF(Baux!$Q$38="",M442,MIN(M442,ROUND(L442*(1+Baux!$Q$38/100)^IF(Baux!$P$38="Base fixe",C442*Baux!$O$38,VALUE(LEFT(F442,4))-VALUE(LEFT(H442,4))),2))))))</f>
        <v/>
      </c>
      <c r="O442" s="27">
        <f>IF(AD442=0,"",N441)</f>
        <v/>
      </c>
      <c r="P442" s="28">
        <f>IF(OR(N442="",O442=""),"",N442/O442-1)</f>
        <v/>
      </c>
      <c r="Q442" s="27">
        <f>IF(N442="","",N442/12)</f>
        <v/>
      </c>
      <c r="R442" s="27">
        <f>IF(N442="","",N442/IF(Baux!$L$38="Mensuelle",12,IF(Baux!$L$38="Trimestrielle",4,IF(Baux!$L$38="Semestrielle",2,1))))</f>
        <v/>
      </c>
      <c r="S442" s="27">
        <f>IF(AD442=0,"",IF(Baux!$J$38="",0,Baux!$J$38)/IF(Baux!$L$38="Mensuelle",12,IF(Baux!$L$38="Trimestrielle",4,IF(Baux!$L$38="Semestrielle",2,1))))</f>
        <v/>
      </c>
      <c r="T442" s="27">
        <f>IF(R442="","",(R442+S442)*Baux!$K$38/100)</f>
        <v/>
      </c>
      <c r="U442" s="27">
        <f>IF(R442="","",R442+S442+T442)</f>
        <v/>
      </c>
      <c r="V442" s="17">
        <f>IF(AD442=0,"",IF(LEFT(K442,5)="Geler","❄ Gelée",IF(G442="",IF(D442&lt;=TODAY(),"⚠ Indice attendu","À venir"),IF(D442&lt;=TODAY(),"✔ Calculable","Indice connu – à venir"))))</f>
        <v/>
      </c>
      <c r="W442" s="29" t="n"/>
      <c r="X442" s="13" t="n"/>
      <c r="Y442" s="14" t="n"/>
      <c r="Z442" s="14" t="n"/>
      <c r="AA442" s="13" t="n"/>
      <c r="AB442" s="17">
        <f>IF(A442="","",A442&amp;"#"&amp;C442)</f>
        <v/>
      </c>
      <c r="AC442" s="17">
        <f>IF(AND(AD442=1,D442&lt;=TODAY(),N442&lt;&gt;""),1,0)</f>
        <v/>
      </c>
      <c r="AD442" s="17">
        <f>IF(OR(A442="",D442=""),0,IF(AND(ISNUMBER(Baux!$H$38),D442&gt;Baux!$H$38),0,1))</f>
        <v/>
      </c>
    </row>
    <row r="443">
      <c r="A443" s="17">
        <f>IF(Baux!$A$38="","",Baux!$A$38)</f>
        <v/>
      </c>
      <c r="B443" s="17">
        <f>IF(A443="","",Baux!$B$38)</f>
        <v/>
      </c>
      <c r="C443" s="17" t="n">
        <v>10</v>
      </c>
      <c r="D443" s="15">
        <f>IF(OR(A443="",Baux!$F$38="",Baux!$O$38=""),"",EDATE(Baux!$F$38,12*Baux!$O$38*C443))</f>
        <v/>
      </c>
      <c r="E443" s="17">
        <f>IF(AD443=0,"",Baux!$M$38)</f>
        <v/>
      </c>
      <c r="F443" s="17">
        <f>IF(AD443=0,"",IFERROR(TEXT(VALUE(LEFT(Baux!$N$38,4))+C443*Baux!$O$38,"0")&amp;RIGHT(Baux!$N$38,3),""))</f>
        <v/>
      </c>
      <c r="G443" s="25">
        <f>IF(AD443=0,"",IF(F443="","",IF(SUMIFS(Indices_long!$C:$C,Indices_long!$A:$A,E443,Indices_long!$B:$B,F443)=0,"",SUMIFS(Indices_long!$C:$C,Indices_long!$A:$A,E443,Indices_long!$B:$B,F443))))</f>
        <v/>
      </c>
      <c r="H443" s="17">
        <f>IF(AD443=0,"",IF(Baux!$P$38="Base fixe",Baux!$N$38,IF(K442="Geler – rattrapage possible",H442,F442)))</f>
        <v/>
      </c>
      <c r="I443" s="25">
        <f>IF(AD443=0,"",IF(H443="","",IF(SUMIFS(Indices_long!$C:$C,Indices_long!$A:$A,E443,Indices_long!$B:$B,H443)=0,"",SUMIFS(Indices_long!$C:$C,Indices_long!$A:$A,E443,Indices_long!$B:$B,H443))))</f>
        <v/>
      </c>
      <c r="J443" s="26">
        <f>IF(OR(G443="",I443=""),"",G443/I443)</f>
        <v/>
      </c>
      <c r="K443" s="13" t="n"/>
      <c r="L443" s="27">
        <f>IF(AD443=0,"",IF(Baux!$P$38="Base fixe",Baux!$I$38,N442))</f>
        <v/>
      </c>
      <c r="M443" s="27">
        <f>IF(OR(J443="",L443=""),"",ROUND(L443*J443,2))</f>
        <v/>
      </c>
      <c r="N443" s="27">
        <f>IF(AD443=0,"",IF(LEFT(K443,5)="Geler",O443,IF(M443="","",IF(Baux!$Q$38="",M443,MIN(M443,ROUND(L443*(1+Baux!$Q$38/100)^IF(Baux!$P$38="Base fixe",C443*Baux!$O$38,VALUE(LEFT(F443,4))-VALUE(LEFT(H443,4))),2))))))</f>
        <v/>
      </c>
      <c r="O443" s="27">
        <f>IF(AD443=0,"",N442)</f>
        <v/>
      </c>
      <c r="P443" s="28">
        <f>IF(OR(N443="",O443=""),"",N443/O443-1)</f>
        <v/>
      </c>
      <c r="Q443" s="27">
        <f>IF(N443="","",N443/12)</f>
        <v/>
      </c>
      <c r="R443" s="27">
        <f>IF(N443="","",N443/IF(Baux!$L$38="Mensuelle",12,IF(Baux!$L$38="Trimestrielle",4,IF(Baux!$L$38="Semestrielle",2,1))))</f>
        <v/>
      </c>
      <c r="S443" s="27">
        <f>IF(AD443=0,"",IF(Baux!$J$38="",0,Baux!$J$38)/IF(Baux!$L$38="Mensuelle",12,IF(Baux!$L$38="Trimestrielle",4,IF(Baux!$L$38="Semestrielle",2,1))))</f>
        <v/>
      </c>
      <c r="T443" s="27">
        <f>IF(R443="","",(R443+S443)*Baux!$K$38/100)</f>
        <v/>
      </c>
      <c r="U443" s="27">
        <f>IF(R443="","",R443+S443+T443)</f>
        <v/>
      </c>
      <c r="V443" s="17">
        <f>IF(AD443=0,"",IF(LEFT(K443,5)="Geler","❄ Gelée",IF(G443="",IF(D443&lt;=TODAY(),"⚠ Indice attendu","À venir"),IF(D443&lt;=TODAY(),"✔ Calculable","Indice connu – à venir"))))</f>
        <v/>
      </c>
      <c r="W443" s="29" t="n"/>
      <c r="X443" s="13" t="n"/>
      <c r="Y443" s="14" t="n"/>
      <c r="Z443" s="14" t="n"/>
      <c r="AA443" s="13" t="n"/>
      <c r="AB443" s="17">
        <f>IF(A443="","",A443&amp;"#"&amp;C443)</f>
        <v/>
      </c>
      <c r="AC443" s="17">
        <f>IF(AND(AD443=1,D443&lt;=TODAY(),N443&lt;&gt;""),1,0)</f>
        <v/>
      </c>
      <c r="AD443" s="17">
        <f>IF(OR(A443="",D443=""),0,IF(AND(ISNUMBER(Baux!$H$38),D443&gt;Baux!$H$38),0,1))</f>
        <v/>
      </c>
    </row>
    <row r="444">
      <c r="A444" s="17">
        <f>IF(Baux!$A$38="","",Baux!$A$38)</f>
        <v/>
      </c>
      <c r="B444" s="17">
        <f>IF(A444="","",Baux!$B$38)</f>
        <v/>
      </c>
      <c r="C444" s="17" t="n">
        <v>11</v>
      </c>
      <c r="D444" s="15">
        <f>IF(OR(A444="",Baux!$F$38="",Baux!$O$38=""),"",EDATE(Baux!$F$38,12*Baux!$O$38*C444))</f>
        <v/>
      </c>
      <c r="E444" s="17">
        <f>IF(AD444=0,"",Baux!$M$38)</f>
        <v/>
      </c>
      <c r="F444" s="17">
        <f>IF(AD444=0,"",IFERROR(TEXT(VALUE(LEFT(Baux!$N$38,4))+C444*Baux!$O$38,"0")&amp;RIGHT(Baux!$N$38,3),""))</f>
        <v/>
      </c>
      <c r="G444" s="25">
        <f>IF(AD444=0,"",IF(F444="","",IF(SUMIFS(Indices_long!$C:$C,Indices_long!$A:$A,E444,Indices_long!$B:$B,F444)=0,"",SUMIFS(Indices_long!$C:$C,Indices_long!$A:$A,E444,Indices_long!$B:$B,F444))))</f>
        <v/>
      </c>
      <c r="H444" s="17">
        <f>IF(AD444=0,"",IF(Baux!$P$38="Base fixe",Baux!$N$38,IF(K443="Geler – rattrapage possible",H443,F443)))</f>
        <v/>
      </c>
      <c r="I444" s="25">
        <f>IF(AD444=0,"",IF(H444="","",IF(SUMIFS(Indices_long!$C:$C,Indices_long!$A:$A,E444,Indices_long!$B:$B,H444)=0,"",SUMIFS(Indices_long!$C:$C,Indices_long!$A:$A,E444,Indices_long!$B:$B,H444))))</f>
        <v/>
      </c>
      <c r="J444" s="26">
        <f>IF(OR(G444="",I444=""),"",G444/I444)</f>
        <v/>
      </c>
      <c r="K444" s="13" t="n"/>
      <c r="L444" s="27">
        <f>IF(AD444=0,"",IF(Baux!$P$38="Base fixe",Baux!$I$38,N443))</f>
        <v/>
      </c>
      <c r="M444" s="27">
        <f>IF(OR(J444="",L444=""),"",ROUND(L444*J444,2))</f>
        <v/>
      </c>
      <c r="N444" s="27">
        <f>IF(AD444=0,"",IF(LEFT(K444,5)="Geler",O444,IF(M444="","",IF(Baux!$Q$38="",M444,MIN(M444,ROUND(L444*(1+Baux!$Q$38/100)^IF(Baux!$P$38="Base fixe",C444*Baux!$O$38,VALUE(LEFT(F444,4))-VALUE(LEFT(H444,4))),2))))))</f>
        <v/>
      </c>
      <c r="O444" s="27">
        <f>IF(AD444=0,"",N443)</f>
        <v/>
      </c>
      <c r="P444" s="28">
        <f>IF(OR(N444="",O444=""),"",N444/O444-1)</f>
        <v/>
      </c>
      <c r="Q444" s="27">
        <f>IF(N444="","",N444/12)</f>
        <v/>
      </c>
      <c r="R444" s="27">
        <f>IF(N444="","",N444/IF(Baux!$L$38="Mensuelle",12,IF(Baux!$L$38="Trimestrielle",4,IF(Baux!$L$38="Semestrielle",2,1))))</f>
        <v/>
      </c>
      <c r="S444" s="27">
        <f>IF(AD444=0,"",IF(Baux!$J$38="",0,Baux!$J$38)/IF(Baux!$L$38="Mensuelle",12,IF(Baux!$L$38="Trimestrielle",4,IF(Baux!$L$38="Semestrielle",2,1))))</f>
        <v/>
      </c>
      <c r="T444" s="27">
        <f>IF(R444="","",(R444+S444)*Baux!$K$38/100)</f>
        <v/>
      </c>
      <c r="U444" s="27">
        <f>IF(R444="","",R444+S444+T444)</f>
        <v/>
      </c>
      <c r="V444" s="17">
        <f>IF(AD444=0,"",IF(LEFT(K444,5)="Geler","❄ Gelée",IF(G444="",IF(D444&lt;=TODAY(),"⚠ Indice attendu","À venir"),IF(D444&lt;=TODAY(),"✔ Calculable","Indice connu – à venir"))))</f>
        <v/>
      </c>
      <c r="W444" s="29" t="n"/>
      <c r="X444" s="13" t="n"/>
      <c r="Y444" s="14" t="n"/>
      <c r="Z444" s="14" t="n"/>
      <c r="AA444" s="13" t="n"/>
      <c r="AB444" s="17">
        <f>IF(A444="","",A444&amp;"#"&amp;C444)</f>
        <v/>
      </c>
      <c r="AC444" s="17">
        <f>IF(AND(AD444=1,D444&lt;=TODAY(),N444&lt;&gt;""),1,0)</f>
        <v/>
      </c>
      <c r="AD444" s="17">
        <f>IF(OR(A444="",D444=""),0,IF(AND(ISNUMBER(Baux!$H$38),D444&gt;Baux!$H$38),0,1))</f>
        <v/>
      </c>
    </row>
    <row r="445">
      <c r="A445" s="17">
        <f>IF(Baux!$A$38="","",Baux!$A$38)</f>
        <v/>
      </c>
      <c r="B445" s="17">
        <f>IF(A445="","",Baux!$B$38)</f>
        <v/>
      </c>
      <c r="C445" s="17" t="n">
        <v>12</v>
      </c>
      <c r="D445" s="15">
        <f>IF(OR(A445="",Baux!$F$38="",Baux!$O$38=""),"",EDATE(Baux!$F$38,12*Baux!$O$38*C445))</f>
        <v/>
      </c>
      <c r="E445" s="17">
        <f>IF(AD445=0,"",Baux!$M$38)</f>
        <v/>
      </c>
      <c r="F445" s="17">
        <f>IF(AD445=0,"",IFERROR(TEXT(VALUE(LEFT(Baux!$N$38,4))+C445*Baux!$O$38,"0")&amp;RIGHT(Baux!$N$38,3),""))</f>
        <v/>
      </c>
      <c r="G445" s="25">
        <f>IF(AD445=0,"",IF(F445="","",IF(SUMIFS(Indices_long!$C:$C,Indices_long!$A:$A,E445,Indices_long!$B:$B,F445)=0,"",SUMIFS(Indices_long!$C:$C,Indices_long!$A:$A,E445,Indices_long!$B:$B,F445))))</f>
        <v/>
      </c>
      <c r="H445" s="17">
        <f>IF(AD445=0,"",IF(Baux!$P$38="Base fixe",Baux!$N$38,IF(K444="Geler – rattrapage possible",H444,F444)))</f>
        <v/>
      </c>
      <c r="I445" s="25">
        <f>IF(AD445=0,"",IF(H445="","",IF(SUMIFS(Indices_long!$C:$C,Indices_long!$A:$A,E445,Indices_long!$B:$B,H445)=0,"",SUMIFS(Indices_long!$C:$C,Indices_long!$A:$A,E445,Indices_long!$B:$B,H445))))</f>
        <v/>
      </c>
      <c r="J445" s="26">
        <f>IF(OR(G445="",I445=""),"",G445/I445)</f>
        <v/>
      </c>
      <c r="K445" s="13" t="n"/>
      <c r="L445" s="27">
        <f>IF(AD445=0,"",IF(Baux!$P$38="Base fixe",Baux!$I$38,N444))</f>
        <v/>
      </c>
      <c r="M445" s="27">
        <f>IF(OR(J445="",L445=""),"",ROUND(L445*J445,2))</f>
        <v/>
      </c>
      <c r="N445" s="27">
        <f>IF(AD445=0,"",IF(LEFT(K445,5)="Geler",O445,IF(M445="","",IF(Baux!$Q$38="",M445,MIN(M445,ROUND(L445*(1+Baux!$Q$38/100)^IF(Baux!$P$38="Base fixe",C445*Baux!$O$38,VALUE(LEFT(F445,4))-VALUE(LEFT(H445,4))),2))))))</f>
        <v/>
      </c>
      <c r="O445" s="27">
        <f>IF(AD445=0,"",N444)</f>
        <v/>
      </c>
      <c r="P445" s="28">
        <f>IF(OR(N445="",O445=""),"",N445/O445-1)</f>
        <v/>
      </c>
      <c r="Q445" s="27">
        <f>IF(N445="","",N445/12)</f>
        <v/>
      </c>
      <c r="R445" s="27">
        <f>IF(N445="","",N445/IF(Baux!$L$38="Mensuelle",12,IF(Baux!$L$38="Trimestrielle",4,IF(Baux!$L$38="Semestrielle",2,1))))</f>
        <v/>
      </c>
      <c r="S445" s="27">
        <f>IF(AD445=0,"",IF(Baux!$J$38="",0,Baux!$J$38)/IF(Baux!$L$38="Mensuelle",12,IF(Baux!$L$38="Trimestrielle",4,IF(Baux!$L$38="Semestrielle",2,1))))</f>
        <v/>
      </c>
      <c r="T445" s="27">
        <f>IF(R445="","",(R445+S445)*Baux!$K$38/100)</f>
        <v/>
      </c>
      <c r="U445" s="27">
        <f>IF(R445="","",R445+S445+T445)</f>
        <v/>
      </c>
      <c r="V445" s="17">
        <f>IF(AD445=0,"",IF(LEFT(K445,5)="Geler","❄ Gelée",IF(G445="",IF(D445&lt;=TODAY(),"⚠ Indice attendu","À venir"),IF(D445&lt;=TODAY(),"✔ Calculable","Indice connu – à venir"))))</f>
        <v/>
      </c>
      <c r="W445" s="29" t="n"/>
      <c r="X445" s="13" t="n"/>
      <c r="Y445" s="14" t="n"/>
      <c r="Z445" s="14" t="n"/>
      <c r="AA445" s="13" t="n"/>
      <c r="AB445" s="17">
        <f>IF(A445="","",A445&amp;"#"&amp;C445)</f>
        <v/>
      </c>
      <c r="AC445" s="17">
        <f>IF(AND(AD445=1,D445&lt;=TODAY(),N445&lt;&gt;""),1,0)</f>
        <v/>
      </c>
      <c r="AD445" s="17">
        <f>IF(OR(A445="",D445=""),0,IF(AND(ISNUMBER(Baux!$H$38),D445&gt;Baux!$H$38),0,1))</f>
        <v/>
      </c>
    </row>
    <row r="446">
      <c r="A446" s="17">
        <f>IF(Baux!$A$39="","",Baux!$A$39)</f>
        <v/>
      </c>
      <c r="B446" s="17">
        <f>IF(A446="","",Baux!$B$39)</f>
        <v/>
      </c>
      <c r="C446" s="17" t="n">
        <v>1</v>
      </c>
      <c r="D446" s="15">
        <f>IF(OR(A446="",Baux!$F$39="",Baux!$O$39=""),"",EDATE(Baux!$F$39,12*Baux!$O$39*C446))</f>
        <v/>
      </c>
      <c r="E446" s="17">
        <f>IF(AD446=0,"",Baux!$M$39)</f>
        <v/>
      </c>
      <c r="F446" s="17">
        <f>IF(AD446=0,"",IFERROR(TEXT(VALUE(LEFT(Baux!$N$39,4))+C446*Baux!$O$39,"0")&amp;RIGHT(Baux!$N$39,3),""))</f>
        <v/>
      </c>
      <c r="G446" s="25">
        <f>IF(AD446=0,"",IF(F446="","",IF(SUMIFS(Indices_long!$C:$C,Indices_long!$A:$A,E446,Indices_long!$B:$B,F446)=0,"",SUMIFS(Indices_long!$C:$C,Indices_long!$A:$A,E446,Indices_long!$B:$B,F446))))</f>
        <v/>
      </c>
      <c r="H446" s="17">
        <f>IF(AD446=0,"",Baux!$N$39)</f>
        <v/>
      </c>
      <c r="I446" s="25">
        <f>IF(AD446=0,"",IF(H446="","",IF(SUMIFS(Indices_long!$C:$C,Indices_long!$A:$A,E446,Indices_long!$B:$B,H446)=0,"",SUMIFS(Indices_long!$C:$C,Indices_long!$A:$A,E446,Indices_long!$B:$B,H446))))</f>
        <v/>
      </c>
      <c r="J446" s="26">
        <f>IF(OR(G446="",I446=""),"",G446/I446)</f>
        <v/>
      </c>
      <c r="K446" s="13" t="n"/>
      <c r="L446" s="27">
        <f>IF(AD446=0,"",Baux!$I$39)</f>
        <v/>
      </c>
      <c r="M446" s="27">
        <f>IF(OR(J446="",L446=""),"",ROUND(L446*J446,2))</f>
        <v/>
      </c>
      <c r="N446" s="27">
        <f>IF(AD446=0,"",IF(LEFT(K446,5)="Geler",O446,IF(M446="","",IF(Baux!$Q$39="",M446,MIN(M446,ROUND(L446*(1+Baux!$Q$39/100)^IF(Baux!$P$39="Base fixe",C446*Baux!$O$39,VALUE(LEFT(F446,4))-VALUE(LEFT(H446,4))),2))))))</f>
        <v/>
      </c>
      <c r="O446" s="27">
        <f>IF(AD446=0,"",Baux!$I$39)</f>
        <v/>
      </c>
      <c r="P446" s="28">
        <f>IF(OR(N446="",O446=""),"",N446/O446-1)</f>
        <v/>
      </c>
      <c r="Q446" s="27">
        <f>IF(N446="","",N446/12)</f>
        <v/>
      </c>
      <c r="R446" s="27">
        <f>IF(N446="","",N446/IF(Baux!$L$39="Mensuelle",12,IF(Baux!$L$39="Trimestrielle",4,IF(Baux!$L$39="Semestrielle",2,1))))</f>
        <v/>
      </c>
      <c r="S446" s="27">
        <f>IF(AD446=0,"",IF(Baux!$J$39="",0,Baux!$J$39)/IF(Baux!$L$39="Mensuelle",12,IF(Baux!$L$39="Trimestrielle",4,IF(Baux!$L$39="Semestrielle",2,1))))</f>
        <v/>
      </c>
      <c r="T446" s="27">
        <f>IF(R446="","",(R446+S446)*Baux!$K$39/100)</f>
        <v/>
      </c>
      <c r="U446" s="27">
        <f>IF(R446="","",R446+S446+T446)</f>
        <v/>
      </c>
      <c r="V446" s="17">
        <f>IF(AD446=0,"",IF(LEFT(K446,5)="Geler","❄ Gelée",IF(G446="",IF(D446&lt;=TODAY(),"⚠ Indice attendu","À venir"),IF(D446&lt;=TODAY(),"✔ Calculable","Indice connu – à venir"))))</f>
        <v/>
      </c>
      <c r="W446" s="29" t="n"/>
      <c r="X446" s="13" t="n"/>
      <c r="Y446" s="14" t="n"/>
      <c r="Z446" s="14" t="n"/>
      <c r="AA446" s="13" t="n"/>
      <c r="AB446" s="17">
        <f>IF(A446="","",A446&amp;"#"&amp;C446)</f>
        <v/>
      </c>
      <c r="AC446" s="17">
        <f>IF(AND(AD446=1,D446&lt;=TODAY(),N446&lt;&gt;""),1,0)</f>
        <v/>
      </c>
      <c r="AD446" s="17">
        <f>IF(OR(A446="",D446=""),0,IF(AND(ISNUMBER(Baux!$H$39),D446&gt;Baux!$H$39),0,1))</f>
        <v/>
      </c>
    </row>
    <row r="447">
      <c r="A447" s="17">
        <f>IF(Baux!$A$39="","",Baux!$A$39)</f>
        <v/>
      </c>
      <c r="B447" s="17">
        <f>IF(A447="","",Baux!$B$39)</f>
        <v/>
      </c>
      <c r="C447" s="17" t="n">
        <v>2</v>
      </c>
      <c r="D447" s="15">
        <f>IF(OR(A447="",Baux!$F$39="",Baux!$O$39=""),"",EDATE(Baux!$F$39,12*Baux!$O$39*C447))</f>
        <v/>
      </c>
      <c r="E447" s="17">
        <f>IF(AD447=0,"",Baux!$M$39)</f>
        <v/>
      </c>
      <c r="F447" s="17">
        <f>IF(AD447=0,"",IFERROR(TEXT(VALUE(LEFT(Baux!$N$39,4))+C447*Baux!$O$39,"0")&amp;RIGHT(Baux!$N$39,3),""))</f>
        <v/>
      </c>
      <c r="G447" s="25">
        <f>IF(AD447=0,"",IF(F447="","",IF(SUMIFS(Indices_long!$C:$C,Indices_long!$A:$A,E447,Indices_long!$B:$B,F447)=0,"",SUMIFS(Indices_long!$C:$C,Indices_long!$A:$A,E447,Indices_long!$B:$B,F447))))</f>
        <v/>
      </c>
      <c r="H447" s="17">
        <f>IF(AD447=0,"",IF(Baux!$P$39="Base fixe",Baux!$N$39,IF(K446="Geler – rattrapage possible",H446,F446)))</f>
        <v/>
      </c>
      <c r="I447" s="25">
        <f>IF(AD447=0,"",IF(H447="","",IF(SUMIFS(Indices_long!$C:$C,Indices_long!$A:$A,E447,Indices_long!$B:$B,H447)=0,"",SUMIFS(Indices_long!$C:$C,Indices_long!$A:$A,E447,Indices_long!$B:$B,H447))))</f>
        <v/>
      </c>
      <c r="J447" s="26">
        <f>IF(OR(G447="",I447=""),"",G447/I447)</f>
        <v/>
      </c>
      <c r="K447" s="13" t="n"/>
      <c r="L447" s="27">
        <f>IF(AD447=0,"",IF(Baux!$P$39="Base fixe",Baux!$I$39,N446))</f>
        <v/>
      </c>
      <c r="M447" s="27">
        <f>IF(OR(J447="",L447=""),"",ROUND(L447*J447,2))</f>
        <v/>
      </c>
      <c r="N447" s="27">
        <f>IF(AD447=0,"",IF(LEFT(K447,5)="Geler",O447,IF(M447="","",IF(Baux!$Q$39="",M447,MIN(M447,ROUND(L447*(1+Baux!$Q$39/100)^IF(Baux!$P$39="Base fixe",C447*Baux!$O$39,VALUE(LEFT(F447,4))-VALUE(LEFT(H447,4))),2))))))</f>
        <v/>
      </c>
      <c r="O447" s="27">
        <f>IF(AD447=0,"",N446)</f>
        <v/>
      </c>
      <c r="P447" s="28">
        <f>IF(OR(N447="",O447=""),"",N447/O447-1)</f>
        <v/>
      </c>
      <c r="Q447" s="27">
        <f>IF(N447="","",N447/12)</f>
        <v/>
      </c>
      <c r="R447" s="27">
        <f>IF(N447="","",N447/IF(Baux!$L$39="Mensuelle",12,IF(Baux!$L$39="Trimestrielle",4,IF(Baux!$L$39="Semestrielle",2,1))))</f>
        <v/>
      </c>
      <c r="S447" s="27">
        <f>IF(AD447=0,"",IF(Baux!$J$39="",0,Baux!$J$39)/IF(Baux!$L$39="Mensuelle",12,IF(Baux!$L$39="Trimestrielle",4,IF(Baux!$L$39="Semestrielle",2,1))))</f>
        <v/>
      </c>
      <c r="T447" s="27">
        <f>IF(R447="","",(R447+S447)*Baux!$K$39/100)</f>
        <v/>
      </c>
      <c r="U447" s="27">
        <f>IF(R447="","",R447+S447+T447)</f>
        <v/>
      </c>
      <c r="V447" s="17">
        <f>IF(AD447=0,"",IF(LEFT(K447,5)="Geler","❄ Gelée",IF(G447="",IF(D447&lt;=TODAY(),"⚠ Indice attendu","À venir"),IF(D447&lt;=TODAY(),"✔ Calculable","Indice connu – à venir"))))</f>
        <v/>
      </c>
      <c r="W447" s="29" t="n"/>
      <c r="X447" s="13" t="n"/>
      <c r="Y447" s="14" t="n"/>
      <c r="Z447" s="14" t="n"/>
      <c r="AA447" s="13" t="n"/>
      <c r="AB447" s="17">
        <f>IF(A447="","",A447&amp;"#"&amp;C447)</f>
        <v/>
      </c>
      <c r="AC447" s="17">
        <f>IF(AND(AD447=1,D447&lt;=TODAY(),N447&lt;&gt;""),1,0)</f>
        <v/>
      </c>
      <c r="AD447" s="17">
        <f>IF(OR(A447="",D447=""),0,IF(AND(ISNUMBER(Baux!$H$39),D447&gt;Baux!$H$39),0,1))</f>
        <v/>
      </c>
    </row>
    <row r="448">
      <c r="A448" s="17">
        <f>IF(Baux!$A$39="","",Baux!$A$39)</f>
        <v/>
      </c>
      <c r="B448" s="17">
        <f>IF(A448="","",Baux!$B$39)</f>
        <v/>
      </c>
      <c r="C448" s="17" t="n">
        <v>3</v>
      </c>
      <c r="D448" s="15">
        <f>IF(OR(A448="",Baux!$F$39="",Baux!$O$39=""),"",EDATE(Baux!$F$39,12*Baux!$O$39*C448))</f>
        <v/>
      </c>
      <c r="E448" s="17">
        <f>IF(AD448=0,"",Baux!$M$39)</f>
        <v/>
      </c>
      <c r="F448" s="17">
        <f>IF(AD448=0,"",IFERROR(TEXT(VALUE(LEFT(Baux!$N$39,4))+C448*Baux!$O$39,"0")&amp;RIGHT(Baux!$N$39,3),""))</f>
        <v/>
      </c>
      <c r="G448" s="25">
        <f>IF(AD448=0,"",IF(F448="","",IF(SUMIFS(Indices_long!$C:$C,Indices_long!$A:$A,E448,Indices_long!$B:$B,F448)=0,"",SUMIFS(Indices_long!$C:$C,Indices_long!$A:$A,E448,Indices_long!$B:$B,F448))))</f>
        <v/>
      </c>
      <c r="H448" s="17">
        <f>IF(AD448=0,"",IF(Baux!$P$39="Base fixe",Baux!$N$39,IF(K447="Geler – rattrapage possible",H447,F447)))</f>
        <v/>
      </c>
      <c r="I448" s="25">
        <f>IF(AD448=0,"",IF(H448="","",IF(SUMIFS(Indices_long!$C:$C,Indices_long!$A:$A,E448,Indices_long!$B:$B,H448)=0,"",SUMIFS(Indices_long!$C:$C,Indices_long!$A:$A,E448,Indices_long!$B:$B,H448))))</f>
        <v/>
      </c>
      <c r="J448" s="26">
        <f>IF(OR(G448="",I448=""),"",G448/I448)</f>
        <v/>
      </c>
      <c r="K448" s="13" t="n"/>
      <c r="L448" s="27">
        <f>IF(AD448=0,"",IF(Baux!$P$39="Base fixe",Baux!$I$39,N447))</f>
        <v/>
      </c>
      <c r="M448" s="27">
        <f>IF(OR(J448="",L448=""),"",ROUND(L448*J448,2))</f>
        <v/>
      </c>
      <c r="N448" s="27">
        <f>IF(AD448=0,"",IF(LEFT(K448,5)="Geler",O448,IF(M448="","",IF(Baux!$Q$39="",M448,MIN(M448,ROUND(L448*(1+Baux!$Q$39/100)^IF(Baux!$P$39="Base fixe",C448*Baux!$O$39,VALUE(LEFT(F448,4))-VALUE(LEFT(H448,4))),2))))))</f>
        <v/>
      </c>
      <c r="O448" s="27">
        <f>IF(AD448=0,"",N447)</f>
        <v/>
      </c>
      <c r="P448" s="28">
        <f>IF(OR(N448="",O448=""),"",N448/O448-1)</f>
        <v/>
      </c>
      <c r="Q448" s="27">
        <f>IF(N448="","",N448/12)</f>
        <v/>
      </c>
      <c r="R448" s="27">
        <f>IF(N448="","",N448/IF(Baux!$L$39="Mensuelle",12,IF(Baux!$L$39="Trimestrielle",4,IF(Baux!$L$39="Semestrielle",2,1))))</f>
        <v/>
      </c>
      <c r="S448" s="27">
        <f>IF(AD448=0,"",IF(Baux!$J$39="",0,Baux!$J$39)/IF(Baux!$L$39="Mensuelle",12,IF(Baux!$L$39="Trimestrielle",4,IF(Baux!$L$39="Semestrielle",2,1))))</f>
        <v/>
      </c>
      <c r="T448" s="27">
        <f>IF(R448="","",(R448+S448)*Baux!$K$39/100)</f>
        <v/>
      </c>
      <c r="U448" s="27">
        <f>IF(R448="","",R448+S448+T448)</f>
        <v/>
      </c>
      <c r="V448" s="17">
        <f>IF(AD448=0,"",IF(LEFT(K448,5)="Geler","❄ Gelée",IF(G448="",IF(D448&lt;=TODAY(),"⚠ Indice attendu","À venir"),IF(D448&lt;=TODAY(),"✔ Calculable","Indice connu – à venir"))))</f>
        <v/>
      </c>
      <c r="W448" s="29" t="n"/>
      <c r="X448" s="13" t="n"/>
      <c r="Y448" s="14" t="n"/>
      <c r="Z448" s="14" t="n"/>
      <c r="AA448" s="13" t="n"/>
      <c r="AB448" s="17">
        <f>IF(A448="","",A448&amp;"#"&amp;C448)</f>
        <v/>
      </c>
      <c r="AC448" s="17">
        <f>IF(AND(AD448=1,D448&lt;=TODAY(),N448&lt;&gt;""),1,0)</f>
        <v/>
      </c>
      <c r="AD448" s="17">
        <f>IF(OR(A448="",D448=""),0,IF(AND(ISNUMBER(Baux!$H$39),D448&gt;Baux!$H$39),0,1))</f>
        <v/>
      </c>
    </row>
    <row r="449">
      <c r="A449" s="17">
        <f>IF(Baux!$A$39="","",Baux!$A$39)</f>
        <v/>
      </c>
      <c r="B449" s="17">
        <f>IF(A449="","",Baux!$B$39)</f>
        <v/>
      </c>
      <c r="C449" s="17" t="n">
        <v>4</v>
      </c>
      <c r="D449" s="15">
        <f>IF(OR(A449="",Baux!$F$39="",Baux!$O$39=""),"",EDATE(Baux!$F$39,12*Baux!$O$39*C449))</f>
        <v/>
      </c>
      <c r="E449" s="17">
        <f>IF(AD449=0,"",Baux!$M$39)</f>
        <v/>
      </c>
      <c r="F449" s="17">
        <f>IF(AD449=0,"",IFERROR(TEXT(VALUE(LEFT(Baux!$N$39,4))+C449*Baux!$O$39,"0")&amp;RIGHT(Baux!$N$39,3),""))</f>
        <v/>
      </c>
      <c r="G449" s="25">
        <f>IF(AD449=0,"",IF(F449="","",IF(SUMIFS(Indices_long!$C:$C,Indices_long!$A:$A,E449,Indices_long!$B:$B,F449)=0,"",SUMIFS(Indices_long!$C:$C,Indices_long!$A:$A,E449,Indices_long!$B:$B,F449))))</f>
        <v/>
      </c>
      <c r="H449" s="17">
        <f>IF(AD449=0,"",IF(Baux!$P$39="Base fixe",Baux!$N$39,IF(K448="Geler – rattrapage possible",H448,F448)))</f>
        <v/>
      </c>
      <c r="I449" s="25">
        <f>IF(AD449=0,"",IF(H449="","",IF(SUMIFS(Indices_long!$C:$C,Indices_long!$A:$A,E449,Indices_long!$B:$B,H449)=0,"",SUMIFS(Indices_long!$C:$C,Indices_long!$A:$A,E449,Indices_long!$B:$B,H449))))</f>
        <v/>
      </c>
      <c r="J449" s="26">
        <f>IF(OR(G449="",I449=""),"",G449/I449)</f>
        <v/>
      </c>
      <c r="K449" s="13" t="n"/>
      <c r="L449" s="27">
        <f>IF(AD449=0,"",IF(Baux!$P$39="Base fixe",Baux!$I$39,N448))</f>
        <v/>
      </c>
      <c r="M449" s="27">
        <f>IF(OR(J449="",L449=""),"",ROUND(L449*J449,2))</f>
        <v/>
      </c>
      <c r="N449" s="27">
        <f>IF(AD449=0,"",IF(LEFT(K449,5)="Geler",O449,IF(M449="","",IF(Baux!$Q$39="",M449,MIN(M449,ROUND(L449*(1+Baux!$Q$39/100)^IF(Baux!$P$39="Base fixe",C449*Baux!$O$39,VALUE(LEFT(F449,4))-VALUE(LEFT(H449,4))),2))))))</f>
        <v/>
      </c>
      <c r="O449" s="27">
        <f>IF(AD449=0,"",N448)</f>
        <v/>
      </c>
      <c r="P449" s="28">
        <f>IF(OR(N449="",O449=""),"",N449/O449-1)</f>
        <v/>
      </c>
      <c r="Q449" s="27">
        <f>IF(N449="","",N449/12)</f>
        <v/>
      </c>
      <c r="R449" s="27">
        <f>IF(N449="","",N449/IF(Baux!$L$39="Mensuelle",12,IF(Baux!$L$39="Trimestrielle",4,IF(Baux!$L$39="Semestrielle",2,1))))</f>
        <v/>
      </c>
      <c r="S449" s="27">
        <f>IF(AD449=0,"",IF(Baux!$J$39="",0,Baux!$J$39)/IF(Baux!$L$39="Mensuelle",12,IF(Baux!$L$39="Trimestrielle",4,IF(Baux!$L$39="Semestrielle",2,1))))</f>
        <v/>
      </c>
      <c r="T449" s="27">
        <f>IF(R449="","",(R449+S449)*Baux!$K$39/100)</f>
        <v/>
      </c>
      <c r="U449" s="27">
        <f>IF(R449="","",R449+S449+T449)</f>
        <v/>
      </c>
      <c r="V449" s="17">
        <f>IF(AD449=0,"",IF(LEFT(K449,5)="Geler","❄ Gelée",IF(G449="",IF(D449&lt;=TODAY(),"⚠ Indice attendu","À venir"),IF(D449&lt;=TODAY(),"✔ Calculable","Indice connu – à venir"))))</f>
        <v/>
      </c>
      <c r="W449" s="29" t="n"/>
      <c r="X449" s="13" t="n"/>
      <c r="Y449" s="14" t="n"/>
      <c r="Z449" s="14" t="n"/>
      <c r="AA449" s="13" t="n"/>
      <c r="AB449" s="17">
        <f>IF(A449="","",A449&amp;"#"&amp;C449)</f>
        <v/>
      </c>
      <c r="AC449" s="17">
        <f>IF(AND(AD449=1,D449&lt;=TODAY(),N449&lt;&gt;""),1,0)</f>
        <v/>
      </c>
      <c r="AD449" s="17">
        <f>IF(OR(A449="",D449=""),0,IF(AND(ISNUMBER(Baux!$H$39),D449&gt;Baux!$H$39),0,1))</f>
        <v/>
      </c>
    </row>
    <row r="450">
      <c r="A450" s="17">
        <f>IF(Baux!$A$39="","",Baux!$A$39)</f>
        <v/>
      </c>
      <c r="B450" s="17">
        <f>IF(A450="","",Baux!$B$39)</f>
        <v/>
      </c>
      <c r="C450" s="17" t="n">
        <v>5</v>
      </c>
      <c r="D450" s="15">
        <f>IF(OR(A450="",Baux!$F$39="",Baux!$O$39=""),"",EDATE(Baux!$F$39,12*Baux!$O$39*C450))</f>
        <v/>
      </c>
      <c r="E450" s="17">
        <f>IF(AD450=0,"",Baux!$M$39)</f>
        <v/>
      </c>
      <c r="F450" s="17">
        <f>IF(AD450=0,"",IFERROR(TEXT(VALUE(LEFT(Baux!$N$39,4))+C450*Baux!$O$39,"0")&amp;RIGHT(Baux!$N$39,3),""))</f>
        <v/>
      </c>
      <c r="G450" s="25">
        <f>IF(AD450=0,"",IF(F450="","",IF(SUMIFS(Indices_long!$C:$C,Indices_long!$A:$A,E450,Indices_long!$B:$B,F450)=0,"",SUMIFS(Indices_long!$C:$C,Indices_long!$A:$A,E450,Indices_long!$B:$B,F450))))</f>
        <v/>
      </c>
      <c r="H450" s="17">
        <f>IF(AD450=0,"",IF(Baux!$P$39="Base fixe",Baux!$N$39,IF(K449="Geler – rattrapage possible",H449,F449)))</f>
        <v/>
      </c>
      <c r="I450" s="25">
        <f>IF(AD450=0,"",IF(H450="","",IF(SUMIFS(Indices_long!$C:$C,Indices_long!$A:$A,E450,Indices_long!$B:$B,H450)=0,"",SUMIFS(Indices_long!$C:$C,Indices_long!$A:$A,E450,Indices_long!$B:$B,H450))))</f>
        <v/>
      </c>
      <c r="J450" s="26">
        <f>IF(OR(G450="",I450=""),"",G450/I450)</f>
        <v/>
      </c>
      <c r="K450" s="13" t="n"/>
      <c r="L450" s="27">
        <f>IF(AD450=0,"",IF(Baux!$P$39="Base fixe",Baux!$I$39,N449))</f>
        <v/>
      </c>
      <c r="M450" s="27">
        <f>IF(OR(J450="",L450=""),"",ROUND(L450*J450,2))</f>
        <v/>
      </c>
      <c r="N450" s="27">
        <f>IF(AD450=0,"",IF(LEFT(K450,5)="Geler",O450,IF(M450="","",IF(Baux!$Q$39="",M450,MIN(M450,ROUND(L450*(1+Baux!$Q$39/100)^IF(Baux!$P$39="Base fixe",C450*Baux!$O$39,VALUE(LEFT(F450,4))-VALUE(LEFT(H450,4))),2))))))</f>
        <v/>
      </c>
      <c r="O450" s="27">
        <f>IF(AD450=0,"",N449)</f>
        <v/>
      </c>
      <c r="P450" s="28">
        <f>IF(OR(N450="",O450=""),"",N450/O450-1)</f>
        <v/>
      </c>
      <c r="Q450" s="27">
        <f>IF(N450="","",N450/12)</f>
        <v/>
      </c>
      <c r="R450" s="27">
        <f>IF(N450="","",N450/IF(Baux!$L$39="Mensuelle",12,IF(Baux!$L$39="Trimestrielle",4,IF(Baux!$L$39="Semestrielle",2,1))))</f>
        <v/>
      </c>
      <c r="S450" s="27">
        <f>IF(AD450=0,"",IF(Baux!$J$39="",0,Baux!$J$39)/IF(Baux!$L$39="Mensuelle",12,IF(Baux!$L$39="Trimestrielle",4,IF(Baux!$L$39="Semestrielle",2,1))))</f>
        <v/>
      </c>
      <c r="T450" s="27">
        <f>IF(R450="","",(R450+S450)*Baux!$K$39/100)</f>
        <v/>
      </c>
      <c r="U450" s="27">
        <f>IF(R450="","",R450+S450+T450)</f>
        <v/>
      </c>
      <c r="V450" s="17">
        <f>IF(AD450=0,"",IF(LEFT(K450,5)="Geler","❄ Gelée",IF(G450="",IF(D450&lt;=TODAY(),"⚠ Indice attendu","À venir"),IF(D450&lt;=TODAY(),"✔ Calculable","Indice connu – à venir"))))</f>
        <v/>
      </c>
      <c r="W450" s="29" t="n"/>
      <c r="X450" s="13" t="n"/>
      <c r="Y450" s="14" t="n"/>
      <c r="Z450" s="14" t="n"/>
      <c r="AA450" s="13" t="n"/>
      <c r="AB450" s="17">
        <f>IF(A450="","",A450&amp;"#"&amp;C450)</f>
        <v/>
      </c>
      <c r="AC450" s="17">
        <f>IF(AND(AD450=1,D450&lt;=TODAY(),N450&lt;&gt;""),1,0)</f>
        <v/>
      </c>
      <c r="AD450" s="17">
        <f>IF(OR(A450="",D450=""),0,IF(AND(ISNUMBER(Baux!$H$39),D450&gt;Baux!$H$39),0,1))</f>
        <v/>
      </c>
    </row>
    <row r="451">
      <c r="A451" s="17">
        <f>IF(Baux!$A$39="","",Baux!$A$39)</f>
        <v/>
      </c>
      <c r="B451" s="17">
        <f>IF(A451="","",Baux!$B$39)</f>
        <v/>
      </c>
      <c r="C451" s="17" t="n">
        <v>6</v>
      </c>
      <c r="D451" s="15">
        <f>IF(OR(A451="",Baux!$F$39="",Baux!$O$39=""),"",EDATE(Baux!$F$39,12*Baux!$O$39*C451))</f>
        <v/>
      </c>
      <c r="E451" s="17">
        <f>IF(AD451=0,"",Baux!$M$39)</f>
        <v/>
      </c>
      <c r="F451" s="17">
        <f>IF(AD451=0,"",IFERROR(TEXT(VALUE(LEFT(Baux!$N$39,4))+C451*Baux!$O$39,"0")&amp;RIGHT(Baux!$N$39,3),""))</f>
        <v/>
      </c>
      <c r="G451" s="25">
        <f>IF(AD451=0,"",IF(F451="","",IF(SUMIFS(Indices_long!$C:$C,Indices_long!$A:$A,E451,Indices_long!$B:$B,F451)=0,"",SUMIFS(Indices_long!$C:$C,Indices_long!$A:$A,E451,Indices_long!$B:$B,F451))))</f>
        <v/>
      </c>
      <c r="H451" s="17">
        <f>IF(AD451=0,"",IF(Baux!$P$39="Base fixe",Baux!$N$39,IF(K450="Geler – rattrapage possible",H450,F450)))</f>
        <v/>
      </c>
      <c r="I451" s="25">
        <f>IF(AD451=0,"",IF(H451="","",IF(SUMIFS(Indices_long!$C:$C,Indices_long!$A:$A,E451,Indices_long!$B:$B,H451)=0,"",SUMIFS(Indices_long!$C:$C,Indices_long!$A:$A,E451,Indices_long!$B:$B,H451))))</f>
        <v/>
      </c>
      <c r="J451" s="26">
        <f>IF(OR(G451="",I451=""),"",G451/I451)</f>
        <v/>
      </c>
      <c r="K451" s="13" t="n"/>
      <c r="L451" s="27">
        <f>IF(AD451=0,"",IF(Baux!$P$39="Base fixe",Baux!$I$39,N450))</f>
        <v/>
      </c>
      <c r="M451" s="27">
        <f>IF(OR(J451="",L451=""),"",ROUND(L451*J451,2))</f>
        <v/>
      </c>
      <c r="N451" s="27">
        <f>IF(AD451=0,"",IF(LEFT(K451,5)="Geler",O451,IF(M451="","",IF(Baux!$Q$39="",M451,MIN(M451,ROUND(L451*(1+Baux!$Q$39/100)^IF(Baux!$P$39="Base fixe",C451*Baux!$O$39,VALUE(LEFT(F451,4))-VALUE(LEFT(H451,4))),2))))))</f>
        <v/>
      </c>
      <c r="O451" s="27">
        <f>IF(AD451=0,"",N450)</f>
        <v/>
      </c>
      <c r="P451" s="28">
        <f>IF(OR(N451="",O451=""),"",N451/O451-1)</f>
        <v/>
      </c>
      <c r="Q451" s="27">
        <f>IF(N451="","",N451/12)</f>
        <v/>
      </c>
      <c r="R451" s="27">
        <f>IF(N451="","",N451/IF(Baux!$L$39="Mensuelle",12,IF(Baux!$L$39="Trimestrielle",4,IF(Baux!$L$39="Semestrielle",2,1))))</f>
        <v/>
      </c>
      <c r="S451" s="27">
        <f>IF(AD451=0,"",IF(Baux!$J$39="",0,Baux!$J$39)/IF(Baux!$L$39="Mensuelle",12,IF(Baux!$L$39="Trimestrielle",4,IF(Baux!$L$39="Semestrielle",2,1))))</f>
        <v/>
      </c>
      <c r="T451" s="27">
        <f>IF(R451="","",(R451+S451)*Baux!$K$39/100)</f>
        <v/>
      </c>
      <c r="U451" s="27">
        <f>IF(R451="","",R451+S451+T451)</f>
        <v/>
      </c>
      <c r="V451" s="17">
        <f>IF(AD451=0,"",IF(LEFT(K451,5)="Geler","❄ Gelée",IF(G451="",IF(D451&lt;=TODAY(),"⚠ Indice attendu","À venir"),IF(D451&lt;=TODAY(),"✔ Calculable","Indice connu – à venir"))))</f>
        <v/>
      </c>
      <c r="W451" s="29" t="n"/>
      <c r="X451" s="13" t="n"/>
      <c r="Y451" s="14" t="n"/>
      <c r="Z451" s="14" t="n"/>
      <c r="AA451" s="13" t="n"/>
      <c r="AB451" s="17">
        <f>IF(A451="","",A451&amp;"#"&amp;C451)</f>
        <v/>
      </c>
      <c r="AC451" s="17">
        <f>IF(AND(AD451=1,D451&lt;=TODAY(),N451&lt;&gt;""),1,0)</f>
        <v/>
      </c>
      <c r="AD451" s="17">
        <f>IF(OR(A451="",D451=""),0,IF(AND(ISNUMBER(Baux!$H$39),D451&gt;Baux!$H$39),0,1))</f>
        <v/>
      </c>
    </row>
    <row r="452">
      <c r="A452" s="17">
        <f>IF(Baux!$A$39="","",Baux!$A$39)</f>
        <v/>
      </c>
      <c r="B452" s="17">
        <f>IF(A452="","",Baux!$B$39)</f>
        <v/>
      </c>
      <c r="C452" s="17" t="n">
        <v>7</v>
      </c>
      <c r="D452" s="15">
        <f>IF(OR(A452="",Baux!$F$39="",Baux!$O$39=""),"",EDATE(Baux!$F$39,12*Baux!$O$39*C452))</f>
        <v/>
      </c>
      <c r="E452" s="17">
        <f>IF(AD452=0,"",Baux!$M$39)</f>
        <v/>
      </c>
      <c r="F452" s="17">
        <f>IF(AD452=0,"",IFERROR(TEXT(VALUE(LEFT(Baux!$N$39,4))+C452*Baux!$O$39,"0")&amp;RIGHT(Baux!$N$39,3),""))</f>
        <v/>
      </c>
      <c r="G452" s="25">
        <f>IF(AD452=0,"",IF(F452="","",IF(SUMIFS(Indices_long!$C:$C,Indices_long!$A:$A,E452,Indices_long!$B:$B,F452)=0,"",SUMIFS(Indices_long!$C:$C,Indices_long!$A:$A,E452,Indices_long!$B:$B,F452))))</f>
        <v/>
      </c>
      <c r="H452" s="17">
        <f>IF(AD452=0,"",IF(Baux!$P$39="Base fixe",Baux!$N$39,IF(K451="Geler – rattrapage possible",H451,F451)))</f>
        <v/>
      </c>
      <c r="I452" s="25">
        <f>IF(AD452=0,"",IF(H452="","",IF(SUMIFS(Indices_long!$C:$C,Indices_long!$A:$A,E452,Indices_long!$B:$B,H452)=0,"",SUMIFS(Indices_long!$C:$C,Indices_long!$A:$A,E452,Indices_long!$B:$B,H452))))</f>
        <v/>
      </c>
      <c r="J452" s="26">
        <f>IF(OR(G452="",I452=""),"",G452/I452)</f>
        <v/>
      </c>
      <c r="K452" s="13" t="n"/>
      <c r="L452" s="27">
        <f>IF(AD452=0,"",IF(Baux!$P$39="Base fixe",Baux!$I$39,N451))</f>
        <v/>
      </c>
      <c r="M452" s="27">
        <f>IF(OR(J452="",L452=""),"",ROUND(L452*J452,2))</f>
        <v/>
      </c>
      <c r="N452" s="27">
        <f>IF(AD452=0,"",IF(LEFT(K452,5)="Geler",O452,IF(M452="","",IF(Baux!$Q$39="",M452,MIN(M452,ROUND(L452*(1+Baux!$Q$39/100)^IF(Baux!$P$39="Base fixe",C452*Baux!$O$39,VALUE(LEFT(F452,4))-VALUE(LEFT(H452,4))),2))))))</f>
        <v/>
      </c>
      <c r="O452" s="27">
        <f>IF(AD452=0,"",N451)</f>
        <v/>
      </c>
      <c r="P452" s="28">
        <f>IF(OR(N452="",O452=""),"",N452/O452-1)</f>
        <v/>
      </c>
      <c r="Q452" s="27">
        <f>IF(N452="","",N452/12)</f>
        <v/>
      </c>
      <c r="R452" s="27">
        <f>IF(N452="","",N452/IF(Baux!$L$39="Mensuelle",12,IF(Baux!$L$39="Trimestrielle",4,IF(Baux!$L$39="Semestrielle",2,1))))</f>
        <v/>
      </c>
      <c r="S452" s="27">
        <f>IF(AD452=0,"",IF(Baux!$J$39="",0,Baux!$J$39)/IF(Baux!$L$39="Mensuelle",12,IF(Baux!$L$39="Trimestrielle",4,IF(Baux!$L$39="Semestrielle",2,1))))</f>
        <v/>
      </c>
      <c r="T452" s="27">
        <f>IF(R452="","",(R452+S452)*Baux!$K$39/100)</f>
        <v/>
      </c>
      <c r="U452" s="27">
        <f>IF(R452="","",R452+S452+T452)</f>
        <v/>
      </c>
      <c r="V452" s="17">
        <f>IF(AD452=0,"",IF(LEFT(K452,5)="Geler","❄ Gelée",IF(G452="",IF(D452&lt;=TODAY(),"⚠ Indice attendu","À venir"),IF(D452&lt;=TODAY(),"✔ Calculable","Indice connu – à venir"))))</f>
        <v/>
      </c>
      <c r="W452" s="29" t="n"/>
      <c r="X452" s="13" t="n"/>
      <c r="Y452" s="14" t="n"/>
      <c r="Z452" s="14" t="n"/>
      <c r="AA452" s="13" t="n"/>
      <c r="AB452" s="17">
        <f>IF(A452="","",A452&amp;"#"&amp;C452)</f>
        <v/>
      </c>
      <c r="AC452" s="17">
        <f>IF(AND(AD452=1,D452&lt;=TODAY(),N452&lt;&gt;""),1,0)</f>
        <v/>
      </c>
      <c r="AD452" s="17">
        <f>IF(OR(A452="",D452=""),0,IF(AND(ISNUMBER(Baux!$H$39),D452&gt;Baux!$H$39),0,1))</f>
        <v/>
      </c>
    </row>
    <row r="453">
      <c r="A453" s="17">
        <f>IF(Baux!$A$39="","",Baux!$A$39)</f>
        <v/>
      </c>
      <c r="B453" s="17">
        <f>IF(A453="","",Baux!$B$39)</f>
        <v/>
      </c>
      <c r="C453" s="17" t="n">
        <v>8</v>
      </c>
      <c r="D453" s="15">
        <f>IF(OR(A453="",Baux!$F$39="",Baux!$O$39=""),"",EDATE(Baux!$F$39,12*Baux!$O$39*C453))</f>
        <v/>
      </c>
      <c r="E453" s="17">
        <f>IF(AD453=0,"",Baux!$M$39)</f>
        <v/>
      </c>
      <c r="F453" s="17">
        <f>IF(AD453=0,"",IFERROR(TEXT(VALUE(LEFT(Baux!$N$39,4))+C453*Baux!$O$39,"0")&amp;RIGHT(Baux!$N$39,3),""))</f>
        <v/>
      </c>
      <c r="G453" s="25">
        <f>IF(AD453=0,"",IF(F453="","",IF(SUMIFS(Indices_long!$C:$C,Indices_long!$A:$A,E453,Indices_long!$B:$B,F453)=0,"",SUMIFS(Indices_long!$C:$C,Indices_long!$A:$A,E453,Indices_long!$B:$B,F453))))</f>
        <v/>
      </c>
      <c r="H453" s="17">
        <f>IF(AD453=0,"",IF(Baux!$P$39="Base fixe",Baux!$N$39,IF(K452="Geler – rattrapage possible",H452,F452)))</f>
        <v/>
      </c>
      <c r="I453" s="25">
        <f>IF(AD453=0,"",IF(H453="","",IF(SUMIFS(Indices_long!$C:$C,Indices_long!$A:$A,E453,Indices_long!$B:$B,H453)=0,"",SUMIFS(Indices_long!$C:$C,Indices_long!$A:$A,E453,Indices_long!$B:$B,H453))))</f>
        <v/>
      </c>
      <c r="J453" s="26">
        <f>IF(OR(G453="",I453=""),"",G453/I453)</f>
        <v/>
      </c>
      <c r="K453" s="13" t="n"/>
      <c r="L453" s="27">
        <f>IF(AD453=0,"",IF(Baux!$P$39="Base fixe",Baux!$I$39,N452))</f>
        <v/>
      </c>
      <c r="M453" s="27">
        <f>IF(OR(J453="",L453=""),"",ROUND(L453*J453,2))</f>
        <v/>
      </c>
      <c r="N453" s="27">
        <f>IF(AD453=0,"",IF(LEFT(K453,5)="Geler",O453,IF(M453="","",IF(Baux!$Q$39="",M453,MIN(M453,ROUND(L453*(1+Baux!$Q$39/100)^IF(Baux!$P$39="Base fixe",C453*Baux!$O$39,VALUE(LEFT(F453,4))-VALUE(LEFT(H453,4))),2))))))</f>
        <v/>
      </c>
      <c r="O453" s="27">
        <f>IF(AD453=0,"",N452)</f>
        <v/>
      </c>
      <c r="P453" s="28">
        <f>IF(OR(N453="",O453=""),"",N453/O453-1)</f>
        <v/>
      </c>
      <c r="Q453" s="27">
        <f>IF(N453="","",N453/12)</f>
        <v/>
      </c>
      <c r="R453" s="27">
        <f>IF(N453="","",N453/IF(Baux!$L$39="Mensuelle",12,IF(Baux!$L$39="Trimestrielle",4,IF(Baux!$L$39="Semestrielle",2,1))))</f>
        <v/>
      </c>
      <c r="S453" s="27">
        <f>IF(AD453=0,"",IF(Baux!$J$39="",0,Baux!$J$39)/IF(Baux!$L$39="Mensuelle",12,IF(Baux!$L$39="Trimestrielle",4,IF(Baux!$L$39="Semestrielle",2,1))))</f>
        <v/>
      </c>
      <c r="T453" s="27">
        <f>IF(R453="","",(R453+S453)*Baux!$K$39/100)</f>
        <v/>
      </c>
      <c r="U453" s="27">
        <f>IF(R453="","",R453+S453+T453)</f>
        <v/>
      </c>
      <c r="V453" s="17">
        <f>IF(AD453=0,"",IF(LEFT(K453,5)="Geler","❄ Gelée",IF(G453="",IF(D453&lt;=TODAY(),"⚠ Indice attendu","À venir"),IF(D453&lt;=TODAY(),"✔ Calculable","Indice connu – à venir"))))</f>
        <v/>
      </c>
      <c r="W453" s="29" t="n"/>
      <c r="X453" s="13" t="n"/>
      <c r="Y453" s="14" t="n"/>
      <c r="Z453" s="14" t="n"/>
      <c r="AA453" s="13" t="n"/>
      <c r="AB453" s="17">
        <f>IF(A453="","",A453&amp;"#"&amp;C453)</f>
        <v/>
      </c>
      <c r="AC453" s="17">
        <f>IF(AND(AD453=1,D453&lt;=TODAY(),N453&lt;&gt;""),1,0)</f>
        <v/>
      </c>
      <c r="AD453" s="17">
        <f>IF(OR(A453="",D453=""),0,IF(AND(ISNUMBER(Baux!$H$39),D453&gt;Baux!$H$39),0,1))</f>
        <v/>
      </c>
    </row>
    <row r="454">
      <c r="A454" s="17">
        <f>IF(Baux!$A$39="","",Baux!$A$39)</f>
        <v/>
      </c>
      <c r="B454" s="17">
        <f>IF(A454="","",Baux!$B$39)</f>
        <v/>
      </c>
      <c r="C454" s="17" t="n">
        <v>9</v>
      </c>
      <c r="D454" s="15">
        <f>IF(OR(A454="",Baux!$F$39="",Baux!$O$39=""),"",EDATE(Baux!$F$39,12*Baux!$O$39*C454))</f>
        <v/>
      </c>
      <c r="E454" s="17">
        <f>IF(AD454=0,"",Baux!$M$39)</f>
        <v/>
      </c>
      <c r="F454" s="17">
        <f>IF(AD454=0,"",IFERROR(TEXT(VALUE(LEFT(Baux!$N$39,4))+C454*Baux!$O$39,"0")&amp;RIGHT(Baux!$N$39,3),""))</f>
        <v/>
      </c>
      <c r="G454" s="25">
        <f>IF(AD454=0,"",IF(F454="","",IF(SUMIFS(Indices_long!$C:$C,Indices_long!$A:$A,E454,Indices_long!$B:$B,F454)=0,"",SUMIFS(Indices_long!$C:$C,Indices_long!$A:$A,E454,Indices_long!$B:$B,F454))))</f>
        <v/>
      </c>
      <c r="H454" s="17">
        <f>IF(AD454=0,"",IF(Baux!$P$39="Base fixe",Baux!$N$39,IF(K453="Geler – rattrapage possible",H453,F453)))</f>
        <v/>
      </c>
      <c r="I454" s="25">
        <f>IF(AD454=0,"",IF(H454="","",IF(SUMIFS(Indices_long!$C:$C,Indices_long!$A:$A,E454,Indices_long!$B:$B,H454)=0,"",SUMIFS(Indices_long!$C:$C,Indices_long!$A:$A,E454,Indices_long!$B:$B,H454))))</f>
        <v/>
      </c>
      <c r="J454" s="26">
        <f>IF(OR(G454="",I454=""),"",G454/I454)</f>
        <v/>
      </c>
      <c r="K454" s="13" t="n"/>
      <c r="L454" s="27">
        <f>IF(AD454=0,"",IF(Baux!$P$39="Base fixe",Baux!$I$39,N453))</f>
        <v/>
      </c>
      <c r="M454" s="27">
        <f>IF(OR(J454="",L454=""),"",ROUND(L454*J454,2))</f>
        <v/>
      </c>
      <c r="N454" s="27">
        <f>IF(AD454=0,"",IF(LEFT(K454,5)="Geler",O454,IF(M454="","",IF(Baux!$Q$39="",M454,MIN(M454,ROUND(L454*(1+Baux!$Q$39/100)^IF(Baux!$P$39="Base fixe",C454*Baux!$O$39,VALUE(LEFT(F454,4))-VALUE(LEFT(H454,4))),2))))))</f>
        <v/>
      </c>
      <c r="O454" s="27">
        <f>IF(AD454=0,"",N453)</f>
        <v/>
      </c>
      <c r="P454" s="28">
        <f>IF(OR(N454="",O454=""),"",N454/O454-1)</f>
        <v/>
      </c>
      <c r="Q454" s="27">
        <f>IF(N454="","",N454/12)</f>
        <v/>
      </c>
      <c r="R454" s="27">
        <f>IF(N454="","",N454/IF(Baux!$L$39="Mensuelle",12,IF(Baux!$L$39="Trimestrielle",4,IF(Baux!$L$39="Semestrielle",2,1))))</f>
        <v/>
      </c>
      <c r="S454" s="27">
        <f>IF(AD454=0,"",IF(Baux!$J$39="",0,Baux!$J$39)/IF(Baux!$L$39="Mensuelle",12,IF(Baux!$L$39="Trimestrielle",4,IF(Baux!$L$39="Semestrielle",2,1))))</f>
        <v/>
      </c>
      <c r="T454" s="27">
        <f>IF(R454="","",(R454+S454)*Baux!$K$39/100)</f>
        <v/>
      </c>
      <c r="U454" s="27">
        <f>IF(R454="","",R454+S454+T454)</f>
        <v/>
      </c>
      <c r="V454" s="17">
        <f>IF(AD454=0,"",IF(LEFT(K454,5)="Geler","❄ Gelée",IF(G454="",IF(D454&lt;=TODAY(),"⚠ Indice attendu","À venir"),IF(D454&lt;=TODAY(),"✔ Calculable","Indice connu – à venir"))))</f>
        <v/>
      </c>
      <c r="W454" s="29" t="n"/>
      <c r="X454" s="13" t="n"/>
      <c r="Y454" s="14" t="n"/>
      <c r="Z454" s="14" t="n"/>
      <c r="AA454" s="13" t="n"/>
      <c r="AB454" s="17">
        <f>IF(A454="","",A454&amp;"#"&amp;C454)</f>
        <v/>
      </c>
      <c r="AC454" s="17">
        <f>IF(AND(AD454=1,D454&lt;=TODAY(),N454&lt;&gt;""),1,0)</f>
        <v/>
      </c>
      <c r="AD454" s="17">
        <f>IF(OR(A454="",D454=""),0,IF(AND(ISNUMBER(Baux!$H$39),D454&gt;Baux!$H$39),0,1))</f>
        <v/>
      </c>
    </row>
    <row r="455">
      <c r="A455" s="17">
        <f>IF(Baux!$A$39="","",Baux!$A$39)</f>
        <v/>
      </c>
      <c r="B455" s="17">
        <f>IF(A455="","",Baux!$B$39)</f>
        <v/>
      </c>
      <c r="C455" s="17" t="n">
        <v>10</v>
      </c>
      <c r="D455" s="15">
        <f>IF(OR(A455="",Baux!$F$39="",Baux!$O$39=""),"",EDATE(Baux!$F$39,12*Baux!$O$39*C455))</f>
        <v/>
      </c>
      <c r="E455" s="17">
        <f>IF(AD455=0,"",Baux!$M$39)</f>
        <v/>
      </c>
      <c r="F455" s="17">
        <f>IF(AD455=0,"",IFERROR(TEXT(VALUE(LEFT(Baux!$N$39,4))+C455*Baux!$O$39,"0")&amp;RIGHT(Baux!$N$39,3),""))</f>
        <v/>
      </c>
      <c r="G455" s="25">
        <f>IF(AD455=0,"",IF(F455="","",IF(SUMIFS(Indices_long!$C:$C,Indices_long!$A:$A,E455,Indices_long!$B:$B,F455)=0,"",SUMIFS(Indices_long!$C:$C,Indices_long!$A:$A,E455,Indices_long!$B:$B,F455))))</f>
        <v/>
      </c>
      <c r="H455" s="17">
        <f>IF(AD455=0,"",IF(Baux!$P$39="Base fixe",Baux!$N$39,IF(K454="Geler – rattrapage possible",H454,F454)))</f>
        <v/>
      </c>
      <c r="I455" s="25">
        <f>IF(AD455=0,"",IF(H455="","",IF(SUMIFS(Indices_long!$C:$C,Indices_long!$A:$A,E455,Indices_long!$B:$B,H455)=0,"",SUMIFS(Indices_long!$C:$C,Indices_long!$A:$A,E455,Indices_long!$B:$B,H455))))</f>
        <v/>
      </c>
      <c r="J455" s="26">
        <f>IF(OR(G455="",I455=""),"",G455/I455)</f>
        <v/>
      </c>
      <c r="K455" s="13" t="n"/>
      <c r="L455" s="27">
        <f>IF(AD455=0,"",IF(Baux!$P$39="Base fixe",Baux!$I$39,N454))</f>
        <v/>
      </c>
      <c r="M455" s="27">
        <f>IF(OR(J455="",L455=""),"",ROUND(L455*J455,2))</f>
        <v/>
      </c>
      <c r="N455" s="27">
        <f>IF(AD455=0,"",IF(LEFT(K455,5)="Geler",O455,IF(M455="","",IF(Baux!$Q$39="",M455,MIN(M455,ROUND(L455*(1+Baux!$Q$39/100)^IF(Baux!$P$39="Base fixe",C455*Baux!$O$39,VALUE(LEFT(F455,4))-VALUE(LEFT(H455,4))),2))))))</f>
        <v/>
      </c>
      <c r="O455" s="27">
        <f>IF(AD455=0,"",N454)</f>
        <v/>
      </c>
      <c r="P455" s="28">
        <f>IF(OR(N455="",O455=""),"",N455/O455-1)</f>
        <v/>
      </c>
      <c r="Q455" s="27">
        <f>IF(N455="","",N455/12)</f>
        <v/>
      </c>
      <c r="R455" s="27">
        <f>IF(N455="","",N455/IF(Baux!$L$39="Mensuelle",12,IF(Baux!$L$39="Trimestrielle",4,IF(Baux!$L$39="Semestrielle",2,1))))</f>
        <v/>
      </c>
      <c r="S455" s="27">
        <f>IF(AD455=0,"",IF(Baux!$J$39="",0,Baux!$J$39)/IF(Baux!$L$39="Mensuelle",12,IF(Baux!$L$39="Trimestrielle",4,IF(Baux!$L$39="Semestrielle",2,1))))</f>
        <v/>
      </c>
      <c r="T455" s="27">
        <f>IF(R455="","",(R455+S455)*Baux!$K$39/100)</f>
        <v/>
      </c>
      <c r="U455" s="27">
        <f>IF(R455="","",R455+S455+T455)</f>
        <v/>
      </c>
      <c r="V455" s="17">
        <f>IF(AD455=0,"",IF(LEFT(K455,5)="Geler","❄ Gelée",IF(G455="",IF(D455&lt;=TODAY(),"⚠ Indice attendu","À venir"),IF(D455&lt;=TODAY(),"✔ Calculable","Indice connu – à venir"))))</f>
        <v/>
      </c>
      <c r="W455" s="29" t="n"/>
      <c r="X455" s="13" t="n"/>
      <c r="Y455" s="14" t="n"/>
      <c r="Z455" s="14" t="n"/>
      <c r="AA455" s="13" t="n"/>
      <c r="AB455" s="17">
        <f>IF(A455="","",A455&amp;"#"&amp;C455)</f>
        <v/>
      </c>
      <c r="AC455" s="17">
        <f>IF(AND(AD455=1,D455&lt;=TODAY(),N455&lt;&gt;""),1,0)</f>
        <v/>
      </c>
      <c r="AD455" s="17">
        <f>IF(OR(A455="",D455=""),0,IF(AND(ISNUMBER(Baux!$H$39),D455&gt;Baux!$H$39),0,1))</f>
        <v/>
      </c>
    </row>
    <row r="456">
      <c r="A456" s="17">
        <f>IF(Baux!$A$39="","",Baux!$A$39)</f>
        <v/>
      </c>
      <c r="B456" s="17">
        <f>IF(A456="","",Baux!$B$39)</f>
        <v/>
      </c>
      <c r="C456" s="17" t="n">
        <v>11</v>
      </c>
      <c r="D456" s="15">
        <f>IF(OR(A456="",Baux!$F$39="",Baux!$O$39=""),"",EDATE(Baux!$F$39,12*Baux!$O$39*C456))</f>
        <v/>
      </c>
      <c r="E456" s="17">
        <f>IF(AD456=0,"",Baux!$M$39)</f>
        <v/>
      </c>
      <c r="F456" s="17">
        <f>IF(AD456=0,"",IFERROR(TEXT(VALUE(LEFT(Baux!$N$39,4))+C456*Baux!$O$39,"0")&amp;RIGHT(Baux!$N$39,3),""))</f>
        <v/>
      </c>
      <c r="G456" s="25">
        <f>IF(AD456=0,"",IF(F456="","",IF(SUMIFS(Indices_long!$C:$C,Indices_long!$A:$A,E456,Indices_long!$B:$B,F456)=0,"",SUMIFS(Indices_long!$C:$C,Indices_long!$A:$A,E456,Indices_long!$B:$B,F456))))</f>
        <v/>
      </c>
      <c r="H456" s="17">
        <f>IF(AD456=0,"",IF(Baux!$P$39="Base fixe",Baux!$N$39,IF(K455="Geler – rattrapage possible",H455,F455)))</f>
        <v/>
      </c>
      <c r="I456" s="25">
        <f>IF(AD456=0,"",IF(H456="","",IF(SUMIFS(Indices_long!$C:$C,Indices_long!$A:$A,E456,Indices_long!$B:$B,H456)=0,"",SUMIFS(Indices_long!$C:$C,Indices_long!$A:$A,E456,Indices_long!$B:$B,H456))))</f>
        <v/>
      </c>
      <c r="J456" s="26">
        <f>IF(OR(G456="",I456=""),"",G456/I456)</f>
        <v/>
      </c>
      <c r="K456" s="13" t="n"/>
      <c r="L456" s="27">
        <f>IF(AD456=0,"",IF(Baux!$P$39="Base fixe",Baux!$I$39,N455))</f>
        <v/>
      </c>
      <c r="M456" s="27">
        <f>IF(OR(J456="",L456=""),"",ROUND(L456*J456,2))</f>
        <v/>
      </c>
      <c r="N456" s="27">
        <f>IF(AD456=0,"",IF(LEFT(K456,5)="Geler",O456,IF(M456="","",IF(Baux!$Q$39="",M456,MIN(M456,ROUND(L456*(1+Baux!$Q$39/100)^IF(Baux!$P$39="Base fixe",C456*Baux!$O$39,VALUE(LEFT(F456,4))-VALUE(LEFT(H456,4))),2))))))</f>
        <v/>
      </c>
      <c r="O456" s="27">
        <f>IF(AD456=0,"",N455)</f>
        <v/>
      </c>
      <c r="P456" s="28">
        <f>IF(OR(N456="",O456=""),"",N456/O456-1)</f>
        <v/>
      </c>
      <c r="Q456" s="27">
        <f>IF(N456="","",N456/12)</f>
        <v/>
      </c>
      <c r="R456" s="27">
        <f>IF(N456="","",N456/IF(Baux!$L$39="Mensuelle",12,IF(Baux!$L$39="Trimestrielle",4,IF(Baux!$L$39="Semestrielle",2,1))))</f>
        <v/>
      </c>
      <c r="S456" s="27">
        <f>IF(AD456=0,"",IF(Baux!$J$39="",0,Baux!$J$39)/IF(Baux!$L$39="Mensuelle",12,IF(Baux!$L$39="Trimestrielle",4,IF(Baux!$L$39="Semestrielle",2,1))))</f>
        <v/>
      </c>
      <c r="T456" s="27">
        <f>IF(R456="","",(R456+S456)*Baux!$K$39/100)</f>
        <v/>
      </c>
      <c r="U456" s="27">
        <f>IF(R456="","",R456+S456+T456)</f>
        <v/>
      </c>
      <c r="V456" s="17">
        <f>IF(AD456=0,"",IF(LEFT(K456,5)="Geler","❄ Gelée",IF(G456="",IF(D456&lt;=TODAY(),"⚠ Indice attendu","À venir"),IF(D456&lt;=TODAY(),"✔ Calculable","Indice connu – à venir"))))</f>
        <v/>
      </c>
      <c r="W456" s="29" t="n"/>
      <c r="X456" s="13" t="n"/>
      <c r="Y456" s="14" t="n"/>
      <c r="Z456" s="14" t="n"/>
      <c r="AA456" s="13" t="n"/>
      <c r="AB456" s="17">
        <f>IF(A456="","",A456&amp;"#"&amp;C456)</f>
        <v/>
      </c>
      <c r="AC456" s="17">
        <f>IF(AND(AD456=1,D456&lt;=TODAY(),N456&lt;&gt;""),1,0)</f>
        <v/>
      </c>
      <c r="AD456" s="17">
        <f>IF(OR(A456="",D456=""),0,IF(AND(ISNUMBER(Baux!$H$39),D456&gt;Baux!$H$39),0,1))</f>
        <v/>
      </c>
    </row>
    <row r="457">
      <c r="A457" s="17">
        <f>IF(Baux!$A$39="","",Baux!$A$39)</f>
        <v/>
      </c>
      <c r="B457" s="17">
        <f>IF(A457="","",Baux!$B$39)</f>
        <v/>
      </c>
      <c r="C457" s="17" t="n">
        <v>12</v>
      </c>
      <c r="D457" s="15">
        <f>IF(OR(A457="",Baux!$F$39="",Baux!$O$39=""),"",EDATE(Baux!$F$39,12*Baux!$O$39*C457))</f>
        <v/>
      </c>
      <c r="E457" s="17">
        <f>IF(AD457=0,"",Baux!$M$39)</f>
        <v/>
      </c>
      <c r="F457" s="17">
        <f>IF(AD457=0,"",IFERROR(TEXT(VALUE(LEFT(Baux!$N$39,4))+C457*Baux!$O$39,"0")&amp;RIGHT(Baux!$N$39,3),""))</f>
        <v/>
      </c>
      <c r="G457" s="25">
        <f>IF(AD457=0,"",IF(F457="","",IF(SUMIFS(Indices_long!$C:$C,Indices_long!$A:$A,E457,Indices_long!$B:$B,F457)=0,"",SUMIFS(Indices_long!$C:$C,Indices_long!$A:$A,E457,Indices_long!$B:$B,F457))))</f>
        <v/>
      </c>
      <c r="H457" s="17">
        <f>IF(AD457=0,"",IF(Baux!$P$39="Base fixe",Baux!$N$39,IF(K456="Geler – rattrapage possible",H456,F456)))</f>
        <v/>
      </c>
      <c r="I457" s="25">
        <f>IF(AD457=0,"",IF(H457="","",IF(SUMIFS(Indices_long!$C:$C,Indices_long!$A:$A,E457,Indices_long!$B:$B,H457)=0,"",SUMIFS(Indices_long!$C:$C,Indices_long!$A:$A,E457,Indices_long!$B:$B,H457))))</f>
        <v/>
      </c>
      <c r="J457" s="26">
        <f>IF(OR(G457="",I457=""),"",G457/I457)</f>
        <v/>
      </c>
      <c r="K457" s="13" t="n"/>
      <c r="L457" s="27">
        <f>IF(AD457=0,"",IF(Baux!$P$39="Base fixe",Baux!$I$39,N456))</f>
        <v/>
      </c>
      <c r="M457" s="27">
        <f>IF(OR(J457="",L457=""),"",ROUND(L457*J457,2))</f>
        <v/>
      </c>
      <c r="N457" s="27">
        <f>IF(AD457=0,"",IF(LEFT(K457,5)="Geler",O457,IF(M457="","",IF(Baux!$Q$39="",M457,MIN(M457,ROUND(L457*(1+Baux!$Q$39/100)^IF(Baux!$P$39="Base fixe",C457*Baux!$O$39,VALUE(LEFT(F457,4))-VALUE(LEFT(H457,4))),2))))))</f>
        <v/>
      </c>
      <c r="O457" s="27">
        <f>IF(AD457=0,"",N456)</f>
        <v/>
      </c>
      <c r="P457" s="28">
        <f>IF(OR(N457="",O457=""),"",N457/O457-1)</f>
        <v/>
      </c>
      <c r="Q457" s="27">
        <f>IF(N457="","",N457/12)</f>
        <v/>
      </c>
      <c r="R457" s="27">
        <f>IF(N457="","",N457/IF(Baux!$L$39="Mensuelle",12,IF(Baux!$L$39="Trimestrielle",4,IF(Baux!$L$39="Semestrielle",2,1))))</f>
        <v/>
      </c>
      <c r="S457" s="27">
        <f>IF(AD457=0,"",IF(Baux!$J$39="",0,Baux!$J$39)/IF(Baux!$L$39="Mensuelle",12,IF(Baux!$L$39="Trimestrielle",4,IF(Baux!$L$39="Semestrielle",2,1))))</f>
        <v/>
      </c>
      <c r="T457" s="27">
        <f>IF(R457="","",(R457+S457)*Baux!$K$39/100)</f>
        <v/>
      </c>
      <c r="U457" s="27">
        <f>IF(R457="","",R457+S457+T457)</f>
        <v/>
      </c>
      <c r="V457" s="17">
        <f>IF(AD457=0,"",IF(LEFT(K457,5)="Geler","❄ Gelée",IF(G457="",IF(D457&lt;=TODAY(),"⚠ Indice attendu","À venir"),IF(D457&lt;=TODAY(),"✔ Calculable","Indice connu – à venir"))))</f>
        <v/>
      </c>
      <c r="W457" s="29" t="n"/>
      <c r="X457" s="13" t="n"/>
      <c r="Y457" s="14" t="n"/>
      <c r="Z457" s="14" t="n"/>
      <c r="AA457" s="13" t="n"/>
      <c r="AB457" s="17">
        <f>IF(A457="","",A457&amp;"#"&amp;C457)</f>
        <v/>
      </c>
      <c r="AC457" s="17">
        <f>IF(AND(AD457=1,D457&lt;=TODAY(),N457&lt;&gt;""),1,0)</f>
        <v/>
      </c>
      <c r="AD457" s="17">
        <f>IF(OR(A457="",D457=""),0,IF(AND(ISNUMBER(Baux!$H$39),D457&gt;Baux!$H$39),0,1))</f>
        <v/>
      </c>
    </row>
    <row r="458">
      <c r="A458" s="17">
        <f>IF(Baux!$A$40="","",Baux!$A$40)</f>
        <v/>
      </c>
      <c r="B458" s="17">
        <f>IF(A458="","",Baux!$B$40)</f>
        <v/>
      </c>
      <c r="C458" s="17" t="n">
        <v>1</v>
      </c>
      <c r="D458" s="15">
        <f>IF(OR(A458="",Baux!$F$40="",Baux!$O$40=""),"",EDATE(Baux!$F$40,12*Baux!$O$40*C458))</f>
        <v/>
      </c>
      <c r="E458" s="17">
        <f>IF(AD458=0,"",Baux!$M$40)</f>
        <v/>
      </c>
      <c r="F458" s="17">
        <f>IF(AD458=0,"",IFERROR(TEXT(VALUE(LEFT(Baux!$N$40,4))+C458*Baux!$O$40,"0")&amp;RIGHT(Baux!$N$40,3),""))</f>
        <v/>
      </c>
      <c r="G458" s="25">
        <f>IF(AD458=0,"",IF(F458="","",IF(SUMIFS(Indices_long!$C:$C,Indices_long!$A:$A,E458,Indices_long!$B:$B,F458)=0,"",SUMIFS(Indices_long!$C:$C,Indices_long!$A:$A,E458,Indices_long!$B:$B,F458))))</f>
        <v/>
      </c>
      <c r="H458" s="17">
        <f>IF(AD458=0,"",Baux!$N$40)</f>
        <v/>
      </c>
      <c r="I458" s="25">
        <f>IF(AD458=0,"",IF(H458="","",IF(SUMIFS(Indices_long!$C:$C,Indices_long!$A:$A,E458,Indices_long!$B:$B,H458)=0,"",SUMIFS(Indices_long!$C:$C,Indices_long!$A:$A,E458,Indices_long!$B:$B,H458))))</f>
        <v/>
      </c>
      <c r="J458" s="26">
        <f>IF(OR(G458="",I458=""),"",G458/I458)</f>
        <v/>
      </c>
      <c r="K458" s="13" t="n"/>
      <c r="L458" s="27">
        <f>IF(AD458=0,"",Baux!$I$40)</f>
        <v/>
      </c>
      <c r="M458" s="27">
        <f>IF(OR(J458="",L458=""),"",ROUND(L458*J458,2))</f>
        <v/>
      </c>
      <c r="N458" s="27">
        <f>IF(AD458=0,"",IF(LEFT(K458,5)="Geler",O458,IF(M458="","",IF(Baux!$Q$40="",M458,MIN(M458,ROUND(L458*(1+Baux!$Q$40/100)^IF(Baux!$P$40="Base fixe",C458*Baux!$O$40,VALUE(LEFT(F458,4))-VALUE(LEFT(H458,4))),2))))))</f>
        <v/>
      </c>
      <c r="O458" s="27">
        <f>IF(AD458=0,"",Baux!$I$40)</f>
        <v/>
      </c>
      <c r="P458" s="28">
        <f>IF(OR(N458="",O458=""),"",N458/O458-1)</f>
        <v/>
      </c>
      <c r="Q458" s="27">
        <f>IF(N458="","",N458/12)</f>
        <v/>
      </c>
      <c r="R458" s="27">
        <f>IF(N458="","",N458/IF(Baux!$L$40="Mensuelle",12,IF(Baux!$L$40="Trimestrielle",4,IF(Baux!$L$40="Semestrielle",2,1))))</f>
        <v/>
      </c>
      <c r="S458" s="27">
        <f>IF(AD458=0,"",IF(Baux!$J$40="",0,Baux!$J$40)/IF(Baux!$L$40="Mensuelle",12,IF(Baux!$L$40="Trimestrielle",4,IF(Baux!$L$40="Semestrielle",2,1))))</f>
        <v/>
      </c>
      <c r="T458" s="27">
        <f>IF(R458="","",(R458+S458)*Baux!$K$40/100)</f>
        <v/>
      </c>
      <c r="U458" s="27">
        <f>IF(R458="","",R458+S458+T458)</f>
        <v/>
      </c>
      <c r="V458" s="17">
        <f>IF(AD458=0,"",IF(LEFT(K458,5)="Geler","❄ Gelée",IF(G458="",IF(D458&lt;=TODAY(),"⚠ Indice attendu","À venir"),IF(D458&lt;=TODAY(),"✔ Calculable","Indice connu – à venir"))))</f>
        <v/>
      </c>
      <c r="W458" s="29" t="n"/>
      <c r="X458" s="13" t="n"/>
      <c r="Y458" s="14" t="n"/>
      <c r="Z458" s="14" t="n"/>
      <c r="AA458" s="13" t="n"/>
      <c r="AB458" s="17">
        <f>IF(A458="","",A458&amp;"#"&amp;C458)</f>
        <v/>
      </c>
      <c r="AC458" s="17">
        <f>IF(AND(AD458=1,D458&lt;=TODAY(),N458&lt;&gt;""),1,0)</f>
        <v/>
      </c>
      <c r="AD458" s="17">
        <f>IF(OR(A458="",D458=""),0,IF(AND(ISNUMBER(Baux!$H$40),D458&gt;Baux!$H$40),0,1))</f>
        <v/>
      </c>
    </row>
    <row r="459">
      <c r="A459" s="17">
        <f>IF(Baux!$A$40="","",Baux!$A$40)</f>
        <v/>
      </c>
      <c r="B459" s="17">
        <f>IF(A459="","",Baux!$B$40)</f>
        <v/>
      </c>
      <c r="C459" s="17" t="n">
        <v>2</v>
      </c>
      <c r="D459" s="15">
        <f>IF(OR(A459="",Baux!$F$40="",Baux!$O$40=""),"",EDATE(Baux!$F$40,12*Baux!$O$40*C459))</f>
        <v/>
      </c>
      <c r="E459" s="17">
        <f>IF(AD459=0,"",Baux!$M$40)</f>
        <v/>
      </c>
      <c r="F459" s="17">
        <f>IF(AD459=0,"",IFERROR(TEXT(VALUE(LEFT(Baux!$N$40,4))+C459*Baux!$O$40,"0")&amp;RIGHT(Baux!$N$40,3),""))</f>
        <v/>
      </c>
      <c r="G459" s="25">
        <f>IF(AD459=0,"",IF(F459="","",IF(SUMIFS(Indices_long!$C:$C,Indices_long!$A:$A,E459,Indices_long!$B:$B,F459)=0,"",SUMIFS(Indices_long!$C:$C,Indices_long!$A:$A,E459,Indices_long!$B:$B,F459))))</f>
        <v/>
      </c>
      <c r="H459" s="17">
        <f>IF(AD459=0,"",IF(Baux!$P$40="Base fixe",Baux!$N$40,IF(K458="Geler – rattrapage possible",H458,F458)))</f>
        <v/>
      </c>
      <c r="I459" s="25">
        <f>IF(AD459=0,"",IF(H459="","",IF(SUMIFS(Indices_long!$C:$C,Indices_long!$A:$A,E459,Indices_long!$B:$B,H459)=0,"",SUMIFS(Indices_long!$C:$C,Indices_long!$A:$A,E459,Indices_long!$B:$B,H459))))</f>
        <v/>
      </c>
      <c r="J459" s="26">
        <f>IF(OR(G459="",I459=""),"",G459/I459)</f>
        <v/>
      </c>
      <c r="K459" s="13" t="n"/>
      <c r="L459" s="27">
        <f>IF(AD459=0,"",IF(Baux!$P$40="Base fixe",Baux!$I$40,N458))</f>
        <v/>
      </c>
      <c r="M459" s="27">
        <f>IF(OR(J459="",L459=""),"",ROUND(L459*J459,2))</f>
        <v/>
      </c>
      <c r="N459" s="27">
        <f>IF(AD459=0,"",IF(LEFT(K459,5)="Geler",O459,IF(M459="","",IF(Baux!$Q$40="",M459,MIN(M459,ROUND(L459*(1+Baux!$Q$40/100)^IF(Baux!$P$40="Base fixe",C459*Baux!$O$40,VALUE(LEFT(F459,4))-VALUE(LEFT(H459,4))),2))))))</f>
        <v/>
      </c>
      <c r="O459" s="27">
        <f>IF(AD459=0,"",N458)</f>
        <v/>
      </c>
      <c r="P459" s="28">
        <f>IF(OR(N459="",O459=""),"",N459/O459-1)</f>
        <v/>
      </c>
      <c r="Q459" s="27">
        <f>IF(N459="","",N459/12)</f>
        <v/>
      </c>
      <c r="R459" s="27">
        <f>IF(N459="","",N459/IF(Baux!$L$40="Mensuelle",12,IF(Baux!$L$40="Trimestrielle",4,IF(Baux!$L$40="Semestrielle",2,1))))</f>
        <v/>
      </c>
      <c r="S459" s="27">
        <f>IF(AD459=0,"",IF(Baux!$J$40="",0,Baux!$J$40)/IF(Baux!$L$40="Mensuelle",12,IF(Baux!$L$40="Trimestrielle",4,IF(Baux!$L$40="Semestrielle",2,1))))</f>
        <v/>
      </c>
      <c r="T459" s="27">
        <f>IF(R459="","",(R459+S459)*Baux!$K$40/100)</f>
        <v/>
      </c>
      <c r="U459" s="27">
        <f>IF(R459="","",R459+S459+T459)</f>
        <v/>
      </c>
      <c r="V459" s="17">
        <f>IF(AD459=0,"",IF(LEFT(K459,5)="Geler","❄ Gelée",IF(G459="",IF(D459&lt;=TODAY(),"⚠ Indice attendu","À venir"),IF(D459&lt;=TODAY(),"✔ Calculable","Indice connu – à venir"))))</f>
        <v/>
      </c>
      <c r="W459" s="29" t="n"/>
      <c r="X459" s="13" t="n"/>
      <c r="Y459" s="14" t="n"/>
      <c r="Z459" s="14" t="n"/>
      <c r="AA459" s="13" t="n"/>
      <c r="AB459" s="17">
        <f>IF(A459="","",A459&amp;"#"&amp;C459)</f>
        <v/>
      </c>
      <c r="AC459" s="17">
        <f>IF(AND(AD459=1,D459&lt;=TODAY(),N459&lt;&gt;""),1,0)</f>
        <v/>
      </c>
      <c r="AD459" s="17">
        <f>IF(OR(A459="",D459=""),0,IF(AND(ISNUMBER(Baux!$H$40),D459&gt;Baux!$H$40),0,1))</f>
        <v/>
      </c>
    </row>
    <row r="460">
      <c r="A460" s="17">
        <f>IF(Baux!$A$40="","",Baux!$A$40)</f>
        <v/>
      </c>
      <c r="B460" s="17">
        <f>IF(A460="","",Baux!$B$40)</f>
        <v/>
      </c>
      <c r="C460" s="17" t="n">
        <v>3</v>
      </c>
      <c r="D460" s="15">
        <f>IF(OR(A460="",Baux!$F$40="",Baux!$O$40=""),"",EDATE(Baux!$F$40,12*Baux!$O$40*C460))</f>
        <v/>
      </c>
      <c r="E460" s="17">
        <f>IF(AD460=0,"",Baux!$M$40)</f>
        <v/>
      </c>
      <c r="F460" s="17">
        <f>IF(AD460=0,"",IFERROR(TEXT(VALUE(LEFT(Baux!$N$40,4))+C460*Baux!$O$40,"0")&amp;RIGHT(Baux!$N$40,3),""))</f>
        <v/>
      </c>
      <c r="G460" s="25">
        <f>IF(AD460=0,"",IF(F460="","",IF(SUMIFS(Indices_long!$C:$C,Indices_long!$A:$A,E460,Indices_long!$B:$B,F460)=0,"",SUMIFS(Indices_long!$C:$C,Indices_long!$A:$A,E460,Indices_long!$B:$B,F460))))</f>
        <v/>
      </c>
      <c r="H460" s="17">
        <f>IF(AD460=0,"",IF(Baux!$P$40="Base fixe",Baux!$N$40,IF(K459="Geler – rattrapage possible",H459,F459)))</f>
        <v/>
      </c>
      <c r="I460" s="25">
        <f>IF(AD460=0,"",IF(H460="","",IF(SUMIFS(Indices_long!$C:$C,Indices_long!$A:$A,E460,Indices_long!$B:$B,H460)=0,"",SUMIFS(Indices_long!$C:$C,Indices_long!$A:$A,E460,Indices_long!$B:$B,H460))))</f>
        <v/>
      </c>
      <c r="J460" s="26">
        <f>IF(OR(G460="",I460=""),"",G460/I460)</f>
        <v/>
      </c>
      <c r="K460" s="13" t="n"/>
      <c r="L460" s="27">
        <f>IF(AD460=0,"",IF(Baux!$P$40="Base fixe",Baux!$I$40,N459))</f>
        <v/>
      </c>
      <c r="M460" s="27">
        <f>IF(OR(J460="",L460=""),"",ROUND(L460*J460,2))</f>
        <v/>
      </c>
      <c r="N460" s="27">
        <f>IF(AD460=0,"",IF(LEFT(K460,5)="Geler",O460,IF(M460="","",IF(Baux!$Q$40="",M460,MIN(M460,ROUND(L460*(1+Baux!$Q$40/100)^IF(Baux!$P$40="Base fixe",C460*Baux!$O$40,VALUE(LEFT(F460,4))-VALUE(LEFT(H460,4))),2))))))</f>
        <v/>
      </c>
      <c r="O460" s="27">
        <f>IF(AD460=0,"",N459)</f>
        <v/>
      </c>
      <c r="P460" s="28">
        <f>IF(OR(N460="",O460=""),"",N460/O460-1)</f>
        <v/>
      </c>
      <c r="Q460" s="27">
        <f>IF(N460="","",N460/12)</f>
        <v/>
      </c>
      <c r="R460" s="27">
        <f>IF(N460="","",N460/IF(Baux!$L$40="Mensuelle",12,IF(Baux!$L$40="Trimestrielle",4,IF(Baux!$L$40="Semestrielle",2,1))))</f>
        <v/>
      </c>
      <c r="S460" s="27">
        <f>IF(AD460=0,"",IF(Baux!$J$40="",0,Baux!$J$40)/IF(Baux!$L$40="Mensuelle",12,IF(Baux!$L$40="Trimestrielle",4,IF(Baux!$L$40="Semestrielle",2,1))))</f>
        <v/>
      </c>
      <c r="T460" s="27">
        <f>IF(R460="","",(R460+S460)*Baux!$K$40/100)</f>
        <v/>
      </c>
      <c r="U460" s="27">
        <f>IF(R460="","",R460+S460+T460)</f>
        <v/>
      </c>
      <c r="V460" s="17">
        <f>IF(AD460=0,"",IF(LEFT(K460,5)="Geler","❄ Gelée",IF(G460="",IF(D460&lt;=TODAY(),"⚠ Indice attendu","À venir"),IF(D460&lt;=TODAY(),"✔ Calculable","Indice connu – à venir"))))</f>
        <v/>
      </c>
      <c r="W460" s="29" t="n"/>
      <c r="X460" s="13" t="n"/>
      <c r="Y460" s="14" t="n"/>
      <c r="Z460" s="14" t="n"/>
      <c r="AA460" s="13" t="n"/>
      <c r="AB460" s="17">
        <f>IF(A460="","",A460&amp;"#"&amp;C460)</f>
        <v/>
      </c>
      <c r="AC460" s="17">
        <f>IF(AND(AD460=1,D460&lt;=TODAY(),N460&lt;&gt;""),1,0)</f>
        <v/>
      </c>
      <c r="AD460" s="17">
        <f>IF(OR(A460="",D460=""),0,IF(AND(ISNUMBER(Baux!$H$40),D460&gt;Baux!$H$40),0,1))</f>
        <v/>
      </c>
    </row>
    <row r="461">
      <c r="A461" s="17">
        <f>IF(Baux!$A$40="","",Baux!$A$40)</f>
        <v/>
      </c>
      <c r="B461" s="17">
        <f>IF(A461="","",Baux!$B$40)</f>
        <v/>
      </c>
      <c r="C461" s="17" t="n">
        <v>4</v>
      </c>
      <c r="D461" s="15">
        <f>IF(OR(A461="",Baux!$F$40="",Baux!$O$40=""),"",EDATE(Baux!$F$40,12*Baux!$O$40*C461))</f>
        <v/>
      </c>
      <c r="E461" s="17">
        <f>IF(AD461=0,"",Baux!$M$40)</f>
        <v/>
      </c>
      <c r="F461" s="17">
        <f>IF(AD461=0,"",IFERROR(TEXT(VALUE(LEFT(Baux!$N$40,4))+C461*Baux!$O$40,"0")&amp;RIGHT(Baux!$N$40,3),""))</f>
        <v/>
      </c>
      <c r="G461" s="25">
        <f>IF(AD461=0,"",IF(F461="","",IF(SUMIFS(Indices_long!$C:$C,Indices_long!$A:$A,E461,Indices_long!$B:$B,F461)=0,"",SUMIFS(Indices_long!$C:$C,Indices_long!$A:$A,E461,Indices_long!$B:$B,F461))))</f>
        <v/>
      </c>
      <c r="H461" s="17">
        <f>IF(AD461=0,"",IF(Baux!$P$40="Base fixe",Baux!$N$40,IF(K460="Geler – rattrapage possible",H460,F460)))</f>
        <v/>
      </c>
      <c r="I461" s="25">
        <f>IF(AD461=0,"",IF(H461="","",IF(SUMIFS(Indices_long!$C:$C,Indices_long!$A:$A,E461,Indices_long!$B:$B,H461)=0,"",SUMIFS(Indices_long!$C:$C,Indices_long!$A:$A,E461,Indices_long!$B:$B,H461))))</f>
        <v/>
      </c>
      <c r="J461" s="26">
        <f>IF(OR(G461="",I461=""),"",G461/I461)</f>
        <v/>
      </c>
      <c r="K461" s="13" t="n"/>
      <c r="L461" s="27">
        <f>IF(AD461=0,"",IF(Baux!$P$40="Base fixe",Baux!$I$40,N460))</f>
        <v/>
      </c>
      <c r="M461" s="27">
        <f>IF(OR(J461="",L461=""),"",ROUND(L461*J461,2))</f>
        <v/>
      </c>
      <c r="N461" s="27">
        <f>IF(AD461=0,"",IF(LEFT(K461,5)="Geler",O461,IF(M461="","",IF(Baux!$Q$40="",M461,MIN(M461,ROUND(L461*(1+Baux!$Q$40/100)^IF(Baux!$P$40="Base fixe",C461*Baux!$O$40,VALUE(LEFT(F461,4))-VALUE(LEFT(H461,4))),2))))))</f>
        <v/>
      </c>
      <c r="O461" s="27">
        <f>IF(AD461=0,"",N460)</f>
        <v/>
      </c>
      <c r="P461" s="28">
        <f>IF(OR(N461="",O461=""),"",N461/O461-1)</f>
        <v/>
      </c>
      <c r="Q461" s="27">
        <f>IF(N461="","",N461/12)</f>
        <v/>
      </c>
      <c r="R461" s="27">
        <f>IF(N461="","",N461/IF(Baux!$L$40="Mensuelle",12,IF(Baux!$L$40="Trimestrielle",4,IF(Baux!$L$40="Semestrielle",2,1))))</f>
        <v/>
      </c>
      <c r="S461" s="27">
        <f>IF(AD461=0,"",IF(Baux!$J$40="",0,Baux!$J$40)/IF(Baux!$L$40="Mensuelle",12,IF(Baux!$L$40="Trimestrielle",4,IF(Baux!$L$40="Semestrielle",2,1))))</f>
        <v/>
      </c>
      <c r="T461" s="27">
        <f>IF(R461="","",(R461+S461)*Baux!$K$40/100)</f>
        <v/>
      </c>
      <c r="U461" s="27">
        <f>IF(R461="","",R461+S461+T461)</f>
        <v/>
      </c>
      <c r="V461" s="17">
        <f>IF(AD461=0,"",IF(LEFT(K461,5)="Geler","❄ Gelée",IF(G461="",IF(D461&lt;=TODAY(),"⚠ Indice attendu","À venir"),IF(D461&lt;=TODAY(),"✔ Calculable","Indice connu – à venir"))))</f>
        <v/>
      </c>
      <c r="W461" s="29" t="n"/>
      <c r="X461" s="13" t="n"/>
      <c r="Y461" s="14" t="n"/>
      <c r="Z461" s="14" t="n"/>
      <c r="AA461" s="13" t="n"/>
      <c r="AB461" s="17">
        <f>IF(A461="","",A461&amp;"#"&amp;C461)</f>
        <v/>
      </c>
      <c r="AC461" s="17">
        <f>IF(AND(AD461=1,D461&lt;=TODAY(),N461&lt;&gt;""),1,0)</f>
        <v/>
      </c>
      <c r="AD461" s="17">
        <f>IF(OR(A461="",D461=""),0,IF(AND(ISNUMBER(Baux!$H$40),D461&gt;Baux!$H$40),0,1))</f>
        <v/>
      </c>
    </row>
    <row r="462">
      <c r="A462" s="17">
        <f>IF(Baux!$A$40="","",Baux!$A$40)</f>
        <v/>
      </c>
      <c r="B462" s="17">
        <f>IF(A462="","",Baux!$B$40)</f>
        <v/>
      </c>
      <c r="C462" s="17" t="n">
        <v>5</v>
      </c>
      <c r="D462" s="15">
        <f>IF(OR(A462="",Baux!$F$40="",Baux!$O$40=""),"",EDATE(Baux!$F$40,12*Baux!$O$40*C462))</f>
        <v/>
      </c>
      <c r="E462" s="17">
        <f>IF(AD462=0,"",Baux!$M$40)</f>
        <v/>
      </c>
      <c r="F462" s="17">
        <f>IF(AD462=0,"",IFERROR(TEXT(VALUE(LEFT(Baux!$N$40,4))+C462*Baux!$O$40,"0")&amp;RIGHT(Baux!$N$40,3),""))</f>
        <v/>
      </c>
      <c r="G462" s="25">
        <f>IF(AD462=0,"",IF(F462="","",IF(SUMIFS(Indices_long!$C:$C,Indices_long!$A:$A,E462,Indices_long!$B:$B,F462)=0,"",SUMIFS(Indices_long!$C:$C,Indices_long!$A:$A,E462,Indices_long!$B:$B,F462))))</f>
        <v/>
      </c>
      <c r="H462" s="17">
        <f>IF(AD462=0,"",IF(Baux!$P$40="Base fixe",Baux!$N$40,IF(K461="Geler – rattrapage possible",H461,F461)))</f>
        <v/>
      </c>
      <c r="I462" s="25">
        <f>IF(AD462=0,"",IF(H462="","",IF(SUMIFS(Indices_long!$C:$C,Indices_long!$A:$A,E462,Indices_long!$B:$B,H462)=0,"",SUMIFS(Indices_long!$C:$C,Indices_long!$A:$A,E462,Indices_long!$B:$B,H462))))</f>
        <v/>
      </c>
      <c r="J462" s="26">
        <f>IF(OR(G462="",I462=""),"",G462/I462)</f>
        <v/>
      </c>
      <c r="K462" s="13" t="n"/>
      <c r="L462" s="27">
        <f>IF(AD462=0,"",IF(Baux!$P$40="Base fixe",Baux!$I$40,N461))</f>
        <v/>
      </c>
      <c r="M462" s="27">
        <f>IF(OR(J462="",L462=""),"",ROUND(L462*J462,2))</f>
        <v/>
      </c>
      <c r="N462" s="27">
        <f>IF(AD462=0,"",IF(LEFT(K462,5)="Geler",O462,IF(M462="","",IF(Baux!$Q$40="",M462,MIN(M462,ROUND(L462*(1+Baux!$Q$40/100)^IF(Baux!$P$40="Base fixe",C462*Baux!$O$40,VALUE(LEFT(F462,4))-VALUE(LEFT(H462,4))),2))))))</f>
        <v/>
      </c>
      <c r="O462" s="27">
        <f>IF(AD462=0,"",N461)</f>
        <v/>
      </c>
      <c r="P462" s="28">
        <f>IF(OR(N462="",O462=""),"",N462/O462-1)</f>
        <v/>
      </c>
      <c r="Q462" s="27">
        <f>IF(N462="","",N462/12)</f>
        <v/>
      </c>
      <c r="R462" s="27">
        <f>IF(N462="","",N462/IF(Baux!$L$40="Mensuelle",12,IF(Baux!$L$40="Trimestrielle",4,IF(Baux!$L$40="Semestrielle",2,1))))</f>
        <v/>
      </c>
      <c r="S462" s="27">
        <f>IF(AD462=0,"",IF(Baux!$J$40="",0,Baux!$J$40)/IF(Baux!$L$40="Mensuelle",12,IF(Baux!$L$40="Trimestrielle",4,IF(Baux!$L$40="Semestrielle",2,1))))</f>
        <v/>
      </c>
      <c r="T462" s="27">
        <f>IF(R462="","",(R462+S462)*Baux!$K$40/100)</f>
        <v/>
      </c>
      <c r="U462" s="27">
        <f>IF(R462="","",R462+S462+T462)</f>
        <v/>
      </c>
      <c r="V462" s="17">
        <f>IF(AD462=0,"",IF(LEFT(K462,5)="Geler","❄ Gelée",IF(G462="",IF(D462&lt;=TODAY(),"⚠ Indice attendu","À venir"),IF(D462&lt;=TODAY(),"✔ Calculable","Indice connu – à venir"))))</f>
        <v/>
      </c>
      <c r="W462" s="29" t="n"/>
      <c r="X462" s="13" t="n"/>
      <c r="Y462" s="14" t="n"/>
      <c r="Z462" s="14" t="n"/>
      <c r="AA462" s="13" t="n"/>
      <c r="AB462" s="17">
        <f>IF(A462="","",A462&amp;"#"&amp;C462)</f>
        <v/>
      </c>
      <c r="AC462" s="17">
        <f>IF(AND(AD462=1,D462&lt;=TODAY(),N462&lt;&gt;""),1,0)</f>
        <v/>
      </c>
      <c r="AD462" s="17">
        <f>IF(OR(A462="",D462=""),0,IF(AND(ISNUMBER(Baux!$H$40),D462&gt;Baux!$H$40),0,1))</f>
        <v/>
      </c>
    </row>
    <row r="463">
      <c r="A463" s="17">
        <f>IF(Baux!$A$40="","",Baux!$A$40)</f>
        <v/>
      </c>
      <c r="B463" s="17">
        <f>IF(A463="","",Baux!$B$40)</f>
        <v/>
      </c>
      <c r="C463" s="17" t="n">
        <v>6</v>
      </c>
      <c r="D463" s="15">
        <f>IF(OR(A463="",Baux!$F$40="",Baux!$O$40=""),"",EDATE(Baux!$F$40,12*Baux!$O$40*C463))</f>
        <v/>
      </c>
      <c r="E463" s="17">
        <f>IF(AD463=0,"",Baux!$M$40)</f>
        <v/>
      </c>
      <c r="F463" s="17">
        <f>IF(AD463=0,"",IFERROR(TEXT(VALUE(LEFT(Baux!$N$40,4))+C463*Baux!$O$40,"0")&amp;RIGHT(Baux!$N$40,3),""))</f>
        <v/>
      </c>
      <c r="G463" s="25">
        <f>IF(AD463=0,"",IF(F463="","",IF(SUMIFS(Indices_long!$C:$C,Indices_long!$A:$A,E463,Indices_long!$B:$B,F463)=0,"",SUMIFS(Indices_long!$C:$C,Indices_long!$A:$A,E463,Indices_long!$B:$B,F463))))</f>
        <v/>
      </c>
      <c r="H463" s="17">
        <f>IF(AD463=0,"",IF(Baux!$P$40="Base fixe",Baux!$N$40,IF(K462="Geler – rattrapage possible",H462,F462)))</f>
        <v/>
      </c>
      <c r="I463" s="25">
        <f>IF(AD463=0,"",IF(H463="","",IF(SUMIFS(Indices_long!$C:$C,Indices_long!$A:$A,E463,Indices_long!$B:$B,H463)=0,"",SUMIFS(Indices_long!$C:$C,Indices_long!$A:$A,E463,Indices_long!$B:$B,H463))))</f>
        <v/>
      </c>
      <c r="J463" s="26">
        <f>IF(OR(G463="",I463=""),"",G463/I463)</f>
        <v/>
      </c>
      <c r="K463" s="13" t="n"/>
      <c r="L463" s="27">
        <f>IF(AD463=0,"",IF(Baux!$P$40="Base fixe",Baux!$I$40,N462))</f>
        <v/>
      </c>
      <c r="M463" s="27">
        <f>IF(OR(J463="",L463=""),"",ROUND(L463*J463,2))</f>
        <v/>
      </c>
      <c r="N463" s="27">
        <f>IF(AD463=0,"",IF(LEFT(K463,5)="Geler",O463,IF(M463="","",IF(Baux!$Q$40="",M463,MIN(M463,ROUND(L463*(1+Baux!$Q$40/100)^IF(Baux!$P$40="Base fixe",C463*Baux!$O$40,VALUE(LEFT(F463,4))-VALUE(LEFT(H463,4))),2))))))</f>
        <v/>
      </c>
      <c r="O463" s="27">
        <f>IF(AD463=0,"",N462)</f>
        <v/>
      </c>
      <c r="P463" s="28">
        <f>IF(OR(N463="",O463=""),"",N463/O463-1)</f>
        <v/>
      </c>
      <c r="Q463" s="27">
        <f>IF(N463="","",N463/12)</f>
        <v/>
      </c>
      <c r="R463" s="27">
        <f>IF(N463="","",N463/IF(Baux!$L$40="Mensuelle",12,IF(Baux!$L$40="Trimestrielle",4,IF(Baux!$L$40="Semestrielle",2,1))))</f>
        <v/>
      </c>
      <c r="S463" s="27">
        <f>IF(AD463=0,"",IF(Baux!$J$40="",0,Baux!$J$40)/IF(Baux!$L$40="Mensuelle",12,IF(Baux!$L$40="Trimestrielle",4,IF(Baux!$L$40="Semestrielle",2,1))))</f>
        <v/>
      </c>
      <c r="T463" s="27">
        <f>IF(R463="","",(R463+S463)*Baux!$K$40/100)</f>
        <v/>
      </c>
      <c r="U463" s="27">
        <f>IF(R463="","",R463+S463+T463)</f>
        <v/>
      </c>
      <c r="V463" s="17">
        <f>IF(AD463=0,"",IF(LEFT(K463,5)="Geler","❄ Gelée",IF(G463="",IF(D463&lt;=TODAY(),"⚠ Indice attendu","À venir"),IF(D463&lt;=TODAY(),"✔ Calculable","Indice connu – à venir"))))</f>
        <v/>
      </c>
      <c r="W463" s="29" t="n"/>
      <c r="X463" s="13" t="n"/>
      <c r="Y463" s="14" t="n"/>
      <c r="Z463" s="14" t="n"/>
      <c r="AA463" s="13" t="n"/>
      <c r="AB463" s="17">
        <f>IF(A463="","",A463&amp;"#"&amp;C463)</f>
        <v/>
      </c>
      <c r="AC463" s="17">
        <f>IF(AND(AD463=1,D463&lt;=TODAY(),N463&lt;&gt;""),1,0)</f>
        <v/>
      </c>
      <c r="AD463" s="17">
        <f>IF(OR(A463="",D463=""),0,IF(AND(ISNUMBER(Baux!$H$40),D463&gt;Baux!$H$40),0,1))</f>
        <v/>
      </c>
    </row>
    <row r="464">
      <c r="A464" s="17">
        <f>IF(Baux!$A$40="","",Baux!$A$40)</f>
        <v/>
      </c>
      <c r="B464" s="17">
        <f>IF(A464="","",Baux!$B$40)</f>
        <v/>
      </c>
      <c r="C464" s="17" t="n">
        <v>7</v>
      </c>
      <c r="D464" s="15">
        <f>IF(OR(A464="",Baux!$F$40="",Baux!$O$40=""),"",EDATE(Baux!$F$40,12*Baux!$O$40*C464))</f>
        <v/>
      </c>
      <c r="E464" s="17">
        <f>IF(AD464=0,"",Baux!$M$40)</f>
        <v/>
      </c>
      <c r="F464" s="17">
        <f>IF(AD464=0,"",IFERROR(TEXT(VALUE(LEFT(Baux!$N$40,4))+C464*Baux!$O$40,"0")&amp;RIGHT(Baux!$N$40,3),""))</f>
        <v/>
      </c>
      <c r="G464" s="25">
        <f>IF(AD464=0,"",IF(F464="","",IF(SUMIFS(Indices_long!$C:$C,Indices_long!$A:$A,E464,Indices_long!$B:$B,F464)=0,"",SUMIFS(Indices_long!$C:$C,Indices_long!$A:$A,E464,Indices_long!$B:$B,F464))))</f>
        <v/>
      </c>
      <c r="H464" s="17">
        <f>IF(AD464=0,"",IF(Baux!$P$40="Base fixe",Baux!$N$40,IF(K463="Geler – rattrapage possible",H463,F463)))</f>
        <v/>
      </c>
      <c r="I464" s="25">
        <f>IF(AD464=0,"",IF(H464="","",IF(SUMIFS(Indices_long!$C:$C,Indices_long!$A:$A,E464,Indices_long!$B:$B,H464)=0,"",SUMIFS(Indices_long!$C:$C,Indices_long!$A:$A,E464,Indices_long!$B:$B,H464))))</f>
        <v/>
      </c>
      <c r="J464" s="26">
        <f>IF(OR(G464="",I464=""),"",G464/I464)</f>
        <v/>
      </c>
      <c r="K464" s="13" t="n"/>
      <c r="L464" s="27">
        <f>IF(AD464=0,"",IF(Baux!$P$40="Base fixe",Baux!$I$40,N463))</f>
        <v/>
      </c>
      <c r="M464" s="27">
        <f>IF(OR(J464="",L464=""),"",ROUND(L464*J464,2))</f>
        <v/>
      </c>
      <c r="N464" s="27">
        <f>IF(AD464=0,"",IF(LEFT(K464,5)="Geler",O464,IF(M464="","",IF(Baux!$Q$40="",M464,MIN(M464,ROUND(L464*(1+Baux!$Q$40/100)^IF(Baux!$P$40="Base fixe",C464*Baux!$O$40,VALUE(LEFT(F464,4))-VALUE(LEFT(H464,4))),2))))))</f>
        <v/>
      </c>
      <c r="O464" s="27">
        <f>IF(AD464=0,"",N463)</f>
        <v/>
      </c>
      <c r="P464" s="28">
        <f>IF(OR(N464="",O464=""),"",N464/O464-1)</f>
        <v/>
      </c>
      <c r="Q464" s="27">
        <f>IF(N464="","",N464/12)</f>
        <v/>
      </c>
      <c r="R464" s="27">
        <f>IF(N464="","",N464/IF(Baux!$L$40="Mensuelle",12,IF(Baux!$L$40="Trimestrielle",4,IF(Baux!$L$40="Semestrielle",2,1))))</f>
        <v/>
      </c>
      <c r="S464" s="27">
        <f>IF(AD464=0,"",IF(Baux!$J$40="",0,Baux!$J$40)/IF(Baux!$L$40="Mensuelle",12,IF(Baux!$L$40="Trimestrielle",4,IF(Baux!$L$40="Semestrielle",2,1))))</f>
        <v/>
      </c>
      <c r="T464" s="27">
        <f>IF(R464="","",(R464+S464)*Baux!$K$40/100)</f>
        <v/>
      </c>
      <c r="U464" s="27">
        <f>IF(R464="","",R464+S464+T464)</f>
        <v/>
      </c>
      <c r="V464" s="17">
        <f>IF(AD464=0,"",IF(LEFT(K464,5)="Geler","❄ Gelée",IF(G464="",IF(D464&lt;=TODAY(),"⚠ Indice attendu","À venir"),IF(D464&lt;=TODAY(),"✔ Calculable","Indice connu – à venir"))))</f>
        <v/>
      </c>
      <c r="W464" s="29" t="n"/>
      <c r="X464" s="13" t="n"/>
      <c r="Y464" s="14" t="n"/>
      <c r="Z464" s="14" t="n"/>
      <c r="AA464" s="13" t="n"/>
      <c r="AB464" s="17">
        <f>IF(A464="","",A464&amp;"#"&amp;C464)</f>
        <v/>
      </c>
      <c r="AC464" s="17">
        <f>IF(AND(AD464=1,D464&lt;=TODAY(),N464&lt;&gt;""),1,0)</f>
        <v/>
      </c>
      <c r="AD464" s="17">
        <f>IF(OR(A464="",D464=""),0,IF(AND(ISNUMBER(Baux!$H$40),D464&gt;Baux!$H$40),0,1))</f>
        <v/>
      </c>
    </row>
    <row r="465">
      <c r="A465" s="17">
        <f>IF(Baux!$A$40="","",Baux!$A$40)</f>
        <v/>
      </c>
      <c r="B465" s="17">
        <f>IF(A465="","",Baux!$B$40)</f>
        <v/>
      </c>
      <c r="C465" s="17" t="n">
        <v>8</v>
      </c>
      <c r="D465" s="15">
        <f>IF(OR(A465="",Baux!$F$40="",Baux!$O$40=""),"",EDATE(Baux!$F$40,12*Baux!$O$40*C465))</f>
        <v/>
      </c>
      <c r="E465" s="17">
        <f>IF(AD465=0,"",Baux!$M$40)</f>
        <v/>
      </c>
      <c r="F465" s="17">
        <f>IF(AD465=0,"",IFERROR(TEXT(VALUE(LEFT(Baux!$N$40,4))+C465*Baux!$O$40,"0")&amp;RIGHT(Baux!$N$40,3),""))</f>
        <v/>
      </c>
      <c r="G465" s="25">
        <f>IF(AD465=0,"",IF(F465="","",IF(SUMIFS(Indices_long!$C:$C,Indices_long!$A:$A,E465,Indices_long!$B:$B,F465)=0,"",SUMIFS(Indices_long!$C:$C,Indices_long!$A:$A,E465,Indices_long!$B:$B,F465))))</f>
        <v/>
      </c>
      <c r="H465" s="17">
        <f>IF(AD465=0,"",IF(Baux!$P$40="Base fixe",Baux!$N$40,IF(K464="Geler – rattrapage possible",H464,F464)))</f>
        <v/>
      </c>
      <c r="I465" s="25">
        <f>IF(AD465=0,"",IF(H465="","",IF(SUMIFS(Indices_long!$C:$C,Indices_long!$A:$A,E465,Indices_long!$B:$B,H465)=0,"",SUMIFS(Indices_long!$C:$C,Indices_long!$A:$A,E465,Indices_long!$B:$B,H465))))</f>
        <v/>
      </c>
      <c r="J465" s="26">
        <f>IF(OR(G465="",I465=""),"",G465/I465)</f>
        <v/>
      </c>
      <c r="K465" s="13" t="n"/>
      <c r="L465" s="27">
        <f>IF(AD465=0,"",IF(Baux!$P$40="Base fixe",Baux!$I$40,N464))</f>
        <v/>
      </c>
      <c r="M465" s="27">
        <f>IF(OR(J465="",L465=""),"",ROUND(L465*J465,2))</f>
        <v/>
      </c>
      <c r="N465" s="27">
        <f>IF(AD465=0,"",IF(LEFT(K465,5)="Geler",O465,IF(M465="","",IF(Baux!$Q$40="",M465,MIN(M465,ROUND(L465*(1+Baux!$Q$40/100)^IF(Baux!$P$40="Base fixe",C465*Baux!$O$40,VALUE(LEFT(F465,4))-VALUE(LEFT(H465,4))),2))))))</f>
        <v/>
      </c>
      <c r="O465" s="27">
        <f>IF(AD465=0,"",N464)</f>
        <v/>
      </c>
      <c r="P465" s="28">
        <f>IF(OR(N465="",O465=""),"",N465/O465-1)</f>
        <v/>
      </c>
      <c r="Q465" s="27">
        <f>IF(N465="","",N465/12)</f>
        <v/>
      </c>
      <c r="R465" s="27">
        <f>IF(N465="","",N465/IF(Baux!$L$40="Mensuelle",12,IF(Baux!$L$40="Trimestrielle",4,IF(Baux!$L$40="Semestrielle",2,1))))</f>
        <v/>
      </c>
      <c r="S465" s="27">
        <f>IF(AD465=0,"",IF(Baux!$J$40="",0,Baux!$J$40)/IF(Baux!$L$40="Mensuelle",12,IF(Baux!$L$40="Trimestrielle",4,IF(Baux!$L$40="Semestrielle",2,1))))</f>
        <v/>
      </c>
      <c r="T465" s="27">
        <f>IF(R465="","",(R465+S465)*Baux!$K$40/100)</f>
        <v/>
      </c>
      <c r="U465" s="27">
        <f>IF(R465="","",R465+S465+T465)</f>
        <v/>
      </c>
      <c r="V465" s="17">
        <f>IF(AD465=0,"",IF(LEFT(K465,5)="Geler","❄ Gelée",IF(G465="",IF(D465&lt;=TODAY(),"⚠ Indice attendu","À venir"),IF(D465&lt;=TODAY(),"✔ Calculable","Indice connu – à venir"))))</f>
        <v/>
      </c>
      <c r="W465" s="29" t="n"/>
      <c r="X465" s="13" t="n"/>
      <c r="Y465" s="14" t="n"/>
      <c r="Z465" s="14" t="n"/>
      <c r="AA465" s="13" t="n"/>
      <c r="AB465" s="17">
        <f>IF(A465="","",A465&amp;"#"&amp;C465)</f>
        <v/>
      </c>
      <c r="AC465" s="17">
        <f>IF(AND(AD465=1,D465&lt;=TODAY(),N465&lt;&gt;""),1,0)</f>
        <v/>
      </c>
      <c r="AD465" s="17">
        <f>IF(OR(A465="",D465=""),0,IF(AND(ISNUMBER(Baux!$H$40),D465&gt;Baux!$H$40),0,1))</f>
        <v/>
      </c>
    </row>
    <row r="466">
      <c r="A466" s="17">
        <f>IF(Baux!$A$40="","",Baux!$A$40)</f>
        <v/>
      </c>
      <c r="B466" s="17">
        <f>IF(A466="","",Baux!$B$40)</f>
        <v/>
      </c>
      <c r="C466" s="17" t="n">
        <v>9</v>
      </c>
      <c r="D466" s="15">
        <f>IF(OR(A466="",Baux!$F$40="",Baux!$O$40=""),"",EDATE(Baux!$F$40,12*Baux!$O$40*C466))</f>
        <v/>
      </c>
      <c r="E466" s="17">
        <f>IF(AD466=0,"",Baux!$M$40)</f>
        <v/>
      </c>
      <c r="F466" s="17">
        <f>IF(AD466=0,"",IFERROR(TEXT(VALUE(LEFT(Baux!$N$40,4))+C466*Baux!$O$40,"0")&amp;RIGHT(Baux!$N$40,3),""))</f>
        <v/>
      </c>
      <c r="G466" s="25">
        <f>IF(AD466=0,"",IF(F466="","",IF(SUMIFS(Indices_long!$C:$C,Indices_long!$A:$A,E466,Indices_long!$B:$B,F466)=0,"",SUMIFS(Indices_long!$C:$C,Indices_long!$A:$A,E466,Indices_long!$B:$B,F466))))</f>
        <v/>
      </c>
      <c r="H466" s="17">
        <f>IF(AD466=0,"",IF(Baux!$P$40="Base fixe",Baux!$N$40,IF(K465="Geler – rattrapage possible",H465,F465)))</f>
        <v/>
      </c>
      <c r="I466" s="25">
        <f>IF(AD466=0,"",IF(H466="","",IF(SUMIFS(Indices_long!$C:$C,Indices_long!$A:$A,E466,Indices_long!$B:$B,H466)=0,"",SUMIFS(Indices_long!$C:$C,Indices_long!$A:$A,E466,Indices_long!$B:$B,H466))))</f>
        <v/>
      </c>
      <c r="J466" s="26">
        <f>IF(OR(G466="",I466=""),"",G466/I466)</f>
        <v/>
      </c>
      <c r="K466" s="13" t="n"/>
      <c r="L466" s="27">
        <f>IF(AD466=0,"",IF(Baux!$P$40="Base fixe",Baux!$I$40,N465))</f>
        <v/>
      </c>
      <c r="M466" s="27">
        <f>IF(OR(J466="",L466=""),"",ROUND(L466*J466,2))</f>
        <v/>
      </c>
      <c r="N466" s="27">
        <f>IF(AD466=0,"",IF(LEFT(K466,5)="Geler",O466,IF(M466="","",IF(Baux!$Q$40="",M466,MIN(M466,ROUND(L466*(1+Baux!$Q$40/100)^IF(Baux!$P$40="Base fixe",C466*Baux!$O$40,VALUE(LEFT(F466,4))-VALUE(LEFT(H466,4))),2))))))</f>
        <v/>
      </c>
      <c r="O466" s="27">
        <f>IF(AD466=0,"",N465)</f>
        <v/>
      </c>
      <c r="P466" s="28">
        <f>IF(OR(N466="",O466=""),"",N466/O466-1)</f>
        <v/>
      </c>
      <c r="Q466" s="27">
        <f>IF(N466="","",N466/12)</f>
        <v/>
      </c>
      <c r="R466" s="27">
        <f>IF(N466="","",N466/IF(Baux!$L$40="Mensuelle",12,IF(Baux!$L$40="Trimestrielle",4,IF(Baux!$L$40="Semestrielle",2,1))))</f>
        <v/>
      </c>
      <c r="S466" s="27">
        <f>IF(AD466=0,"",IF(Baux!$J$40="",0,Baux!$J$40)/IF(Baux!$L$40="Mensuelle",12,IF(Baux!$L$40="Trimestrielle",4,IF(Baux!$L$40="Semestrielle",2,1))))</f>
        <v/>
      </c>
      <c r="T466" s="27">
        <f>IF(R466="","",(R466+S466)*Baux!$K$40/100)</f>
        <v/>
      </c>
      <c r="U466" s="27">
        <f>IF(R466="","",R466+S466+T466)</f>
        <v/>
      </c>
      <c r="V466" s="17">
        <f>IF(AD466=0,"",IF(LEFT(K466,5)="Geler","❄ Gelée",IF(G466="",IF(D466&lt;=TODAY(),"⚠ Indice attendu","À venir"),IF(D466&lt;=TODAY(),"✔ Calculable","Indice connu – à venir"))))</f>
        <v/>
      </c>
      <c r="W466" s="29" t="n"/>
      <c r="X466" s="13" t="n"/>
      <c r="Y466" s="14" t="n"/>
      <c r="Z466" s="14" t="n"/>
      <c r="AA466" s="13" t="n"/>
      <c r="AB466" s="17">
        <f>IF(A466="","",A466&amp;"#"&amp;C466)</f>
        <v/>
      </c>
      <c r="AC466" s="17">
        <f>IF(AND(AD466=1,D466&lt;=TODAY(),N466&lt;&gt;""),1,0)</f>
        <v/>
      </c>
      <c r="AD466" s="17">
        <f>IF(OR(A466="",D466=""),0,IF(AND(ISNUMBER(Baux!$H$40),D466&gt;Baux!$H$40),0,1))</f>
        <v/>
      </c>
    </row>
    <row r="467">
      <c r="A467" s="17">
        <f>IF(Baux!$A$40="","",Baux!$A$40)</f>
        <v/>
      </c>
      <c r="B467" s="17">
        <f>IF(A467="","",Baux!$B$40)</f>
        <v/>
      </c>
      <c r="C467" s="17" t="n">
        <v>10</v>
      </c>
      <c r="D467" s="15">
        <f>IF(OR(A467="",Baux!$F$40="",Baux!$O$40=""),"",EDATE(Baux!$F$40,12*Baux!$O$40*C467))</f>
        <v/>
      </c>
      <c r="E467" s="17">
        <f>IF(AD467=0,"",Baux!$M$40)</f>
        <v/>
      </c>
      <c r="F467" s="17">
        <f>IF(AD467=0,"",IFERROR(TEXT(VALUE(LEFT(Baux!$N$40,4))+C467*Baux!$O$40,"0")&amp;RIGHT(Baux!$N$40,3),""))</f>
        <v/>
      </c>
      <c r="G467" s="25">
        <f>IF(AD467=0,"",IF(F467="","",IF(SUMIFS(Indices_long!$C:$C,Indices_long!$A:$A,E467,Indices_long!$B:$B,F467)=0,"",SUMIFS(Indices_long!$C:$C,Indices_long!$A:$A,E467,Indices_long!$B:$B,F467))))</f>
        <v/>
      </c>
      <c r="H467" s="17">
        <f>IF(AD467=0,"",IF(Baux!$P$40="Base fixe",Baux!$N$40,IF(K466="Geler – rattrapage possible",H466,F466)))</f>
        <v/>
      </c>
      <c r="I467" s="25">
        <f>IF(AD467=0,"",IF(H467="","",IF(SUMIFS(Indices_long!$C:$C,Indices_long!$A:$A,E467,Indices_long!$B:$B,H467)=0,"",SUMIFS(Indices_long!$C:$C,Indices_long!$A:$A,E467,Indices_long!$B:$B,H467))))</f>
        <v/>
      </c>
      <c r="J467" s="26">
        <f>IF(OR(G467="",I467=""),"",G467/I467)</f>
        <v/>
      </c>
      <c r="K467" s="13" t="n"/>
      <c r="L467" s="27">
        <f>IF(AD467=0,"",IF(Baux!$P$40="Base fixe",Baux!$I$40,N466))</f>
        <v/>
      </c>
      <c r="M467" s="27">
        <f>IF(OR(J467="",L467=""),"",ROUND(L467*J467,2))</f>
        <v/>
      </c>
      <c r="N467" s="27">
        <f>IF(AD467=0,"",IF(LEFT(K467,5)="Geler",O467,IF(M467="","",IF(Baux!$Q$40="",M467,MIN(M467,ROUND(L467*(1+Baux!$Q$40/100)^IF(Baux!$P$40="Base fixe",C467*Baux!$O$40,VALUE(LEFT(F467,4))-VALUE(LEFT(H467,4))),2))))))</f>
        <v/>
      </c>
      <c r="O467" s="27">
        <f>IF(AD467=0,"",N466)</f>
        <v/>
      </c>
      <c r="P467" s="28">
        <f>IF(OR(N467="",O467=""),"",N467/O467-1)</f>
        <v/>
      </c>
      <c r="Q467" s="27">
        <f>IF(N467="","",N467/12)</f>
        <v/>
      </c>
      <c r="R467" s="27">
        <f>IF(N467="","",N467/IF(Baux!$L$40="Mensuelle",12,IF(Baux!$L$40="Trimestrielle",4,IF(Baux!$L$40="Semestrielle",2,1))))</f>
        <v/>
      </c>
      <c r="S467" s="27">
        <f>IF(AD467=0,"",IF(Baux!$J$40="",0,Baux!$J$40)/IF(Baux!$L$40="Mensuelle",12,IF(Baux!$L$40="Trimestrielle",4,IF(Baux!$L$40="Semestrielle",2,1))))</f>
        <v/>
      </c>
      <c r="T467" s="27">
        <f>IF(R467="","",(R467+S467)*Baux!$K$40/100)</f>
        <v/>
      </c>
      <c r="U467" s="27">
        <f>IF(R467="","",R467+S467+T467)</f>
        <v/>
      </c>
      <c r="V467" s="17">
        <f>IF(AD467=0,"",IF(LEFT(K467,5)="Geler","❄ Gelée",IF(G467="",IF(D467&lt;=TODAY(),"⚠ Indice attendu","À venir"),IF(D467&lt;=TODAY(),"✔ Calculable","Indice connu – à venir"))))</f>
        <v/>
      </c>
      <c r="W467" s="29" t="n"/>
      <c r="X467" s="13" t="n"/>
      <c r="Y467" s="14" t="n"/>
      <c r="Z467" s="14" t="n"/>
      <c r="AA467" s="13" t="n"/>
      <c r="AB467" s="17">
        <f>IF(A467="","",A467&amp;"#"&amp;C467)</f>
        <v/>
      </c>
      <c r="AC467" s="17">
        <f>IF(AND(AD467=1,D467&lt;=TODAY(),N467&lt;&gt;""),1,0)</f>
        <v/>
      </c>
      <c r="AD467" s="17">
        <f>IF(OR(A467="",D467=""),0,IF(AND(ISNUMBER(Baux!$H$40),D467&gt;Baux!$H$40),0,1))</f>
        <v/>
      </c>
    </row>
    <row r="468">
      <c r="A468" s="17">
        <f>IF(Baux!$A$40="","",Baux!$A$40)</f>
        <v/>
      </c>
      <c r="B468" s="17">
        <f>IF(A468="","",Baux!$B$40)</f>
        <v/>
      </c>
      <c r="C468" s="17" t="n">
        <v>11</v>
      </c>
      <c r="D468" s="15">
        <f>IF(OR(A468="",Baux!$F$40="",Baux!$O$40=""),"",EDATE(Baux!$F$40,12*Baux!$O$40*C468))</f>
        <v/>
      </c>
      <c r="E468" s="17">
        <f>IF(AD468=0,"",Baux!$M$40)</f>
        <v/>
      </c>
      <c r="F468" s="17">
        <f>IF(AD468=0,"",IFERROR(TEXT(VALUE(LEFT(Baux!$N$40,4))+C468*Baux!$O$40,"0")&amp;RIGHT(Baux!$N$40,3),""))</f>
        <v/>
      </c>
      <c r="G468" s="25">
        <f>IF(AD468=0,"",IF(F468="","",IF(SUMIFS(Indices_long!$C:$C,Indices_long!$A:$A,E468,Indices_long!$B:$B,F468)=0,"",SUMIFS(Indices_long!$C:$C,Indices_long!$A:$A,E468,Indices_long!$B:$B,F468))))</f>
        <v/>
      </c>
      <c r="H468" s="17">
        <f>IF(AD468=0,"",IF(Baux!$P$40="Base fixe",Baux!$N$40,IF(K467="Geler – rattrapage possible",H467,F467)))</f>
        <v/>
      </c>
      <c r="I468" s="25">
        <f>IF(AD468=0,"",IF(H468="","",IF(SUMIFS(Indices_long!$C:$C,Indices_long!$A:$A,E468,Indices_long!$B:$B,H468)=0,"",SUMIFS(Indices_long!$C:$C,Indices_long!$A:$A,E468,Indices_long!$B:$B,H468))))</f>
        <v/>
      </c>
      <c r="J468" s="26">
        <f>IF(OR(G468="",I468=""),"",G468/I468)</f>
        <v/>
      </c>
      <c r="K468" s="13" t="n"/>
      <c r="L468" s="27">
        <f>IF(AD468=0,"",IF(Baux!$P$40="Base fixe",Baux!$I$40,N467))</f>
        <v/>
      </c>
      <c r="M468" s="27">
        <f>IF(OR(J468="",L468=""),"",ROUND(L468*J468,2))</f>
        <v/>
      </c>
      <c r="N468" s="27">
        <f>IF(AD468=0,"",IF(LEFT(K468,5)="Geler",O468,IF(M468="","",IF(Baux!$Q$40="",M468,MIN(M468,ROUND(L468*(1+Baux!$Q$40/100)^IF(Baux!$P$40="Base fixe",C468*Baux!$O$40,VALUE(LEFT(F468,4))-VALUE(LEFT(H468,4))),2))))))</f>
        <v/>
      </c>
      <c r="O468" s="27">
        <f>IF(AD468=0,"",N467)</f>
        <v/>
      </c>
      <c r="P468" s="28">
        <f>IF(OR(N468="",O468=""),"",N468/O468-1)</f>
        <v/>
      </c>
      <c r="Q468" s="27">
        <f>IF(N468="","",N468/12)</f>
        <v/>
      </c>
      <c r="R468" s="27">
        <f>IF(N468="","",N468/IF(Baux!$L$40="Mensuelle",12,IF(Baux!$L$40="Trimestrielle",4,IF(Baux!$L$40="Semestrielle",2,1))))</f>
        <v/>
      </c>
      <c r="S468" s="27">
        <f>IF(AD468=0,"",IF(Baux!$J$40="",0,Baux!$J$40)/IF(Baux!$L$40="Mensuelle",12,IF(Baux!$L$40="Trimestrielle",4,IF(Baux!$L$40="Semestrielle",2,1))))</f>
        <v/>
      </c>
      <c r="T468" s="27">
        <f>IF(R468="","",(R468+S468)*Baux!$K$40/100)</f>
        <v/>
      </c>
      <c r="U468" s="27">
        <f>IF(R468="","",R468+S468+T468)</f>
        <v/>
      </c>
      <c r="V468" s="17">
        <f>IF(AD468=0,"",IF(LEFT(K468,5)="Geler","❄ Gelée",IF(G468="",IF(D468&lt;=TODAY(),"⚠ Indice attendu","À venir"),IF(D468&lt;=TODAY(),"✔ Calculable","Indice connu – à venir"))))</f>
        <v/>
      </c>
      <c r="W468" s="29" t="n"/>
      <c r="X468" s="13" t="n"/>
      <c r="Y468" s="14" t="n"/>
      <c r="Z468" s="14" t="n"/>
      <c r="AA468" s="13" t="n"/>
      <c r="AB468" s="17">
        <f>IF(A468="","",A468&amp;"#"&amp;C468)</f>
        <v/>
      </c>
      <c r="AC468" s="17">
        <f>IF(AND(AD468=1,D468&lt;=TODAY(),N468&lt;&gt;""),1,0)</f>
        <v/>
      </c>
      <c r="AD468" s="17">
        <f>IF(OR(A468="",D468=""),0,IF(AND(ISNUMBER(Baux!$H$40),D468&gt;Baux!$H$40),0,1))</f>
        <v/>
      </c>
    </row>
    <row r="469">
      <c r="A469" s="17">
        <f>IF(Baux!$A$40="","",Baux!$A$40)</f>
        <v/>
      </c>
      <c r="B469" s="17">
        <f>IF(A469="","",Baux!$B$40)</f>
        <v/>
      </c>
      <c r="C469" s="17" t="n">
        <v>12</v>
      </c>
      <c r="D469" s="15">
        <f>IF(OR(A469="",Baux!$F$40="",Baux!$O$40=""),"",EDATE(Baux!$F$40,12*Baux!$O$40*C469))</f>
        <v/>
      </c>
      <c r="E469" s="17">
        <f>IF(AD469=0,"",Baux!$M$40)</f>
        <v/>
      </c>
      <c r="F469" s="17">
        <f>IF(AD469=0,"",IFERROR(TEXT(VALUE(LEFT(Baux!$N$40,4))+C469*Baux!$O$40,"0")&amp;RIGHT(Baux!$N$40,3),""))</f>
        <v/>
      </c>
      <c r="G469" s="25">
        <f>IF(AD469=0,"",IF(F469="","",IF(SUMIFS(Indices_long!$C:$C,Indices_long!$A:$A,E469,Indices_long!$B:$B,F469)=0,"",SUMIFS(Indices_long!$C:$C,Indices_long!$A:$A,E469,Indices_long!$B:$B,F469))))</f>
        <v/>
      </c>
      <c r="H469" s="17">
        <f>IF(AD469=0,"",IF(Baux!$P$40="Base fixe",Baux!$N$40,IF(K468="Geler – rattrapage possible",H468,F468)))</f>
        <v/>
      </c>
      <c r="I469" s="25">
        <f>IF(AD469=0,"",IF(H469="","",IF(SUMIFS(Indices_long!$C:$C,Indices_long!$A:$A,E469,Indices_long!$B:$B,H469)=0,"",SUMIFS(Indices_long!$C:$C,Indices_long!$A:$A,E469,Indices_long!$B:$B,H469))))</f>
        <v/>
      </c>
      <c r="J469" s="26">
        <f>IF(OR(G469="",I469=""),"",G469/I469)</f>
        <v/>
      </c>
      <c r="K469" s="13" t="n"/>
      <c r="L469" s="27">
        <f>IF(AD469=0,"",IF(Baux!$P$40="Base fixe",Baux!$I$40,N468))</f>
        <v/>
      </c>
      <c r="M469" s="27">
        <f>IF(OR(J469="",L469=""),"",ROUND(L469*J469,2))</f>
        <v/>
      </c>
      <c r="N469" s="27">
        <f>IF(AD469=0,"",IF(LEFT(K469,5)="Geler",O469,IF(M469="","",IF(Baux!$Q$40="",M469,MIN(M469,ROUND(L469*(1+Baux!$Q$40/100)^IF(Baux!$P$40="Base fixe",C469*Baux!$O$40,VALUE(LEFT(F469,4))-VALUE(LEFT(H469,4))),2))))))</f>
        <v/>
      </c>
      <c r="O469" s="27">
        <f>IF(AD469=0,"",N468)</f>
        <v/>
      </c>
      <c r="P469" s="28">
        <f>IF(OR(N469="",O469=""),"",N469/O469-1)</f>
        <v/>
      </c>
      <c r="Q469" s="27">
        <f>IF(N469="","",N469/12)</f>
        <v/>
      </c>
      <c r="R469" s="27">
        <f>IF(N469="","",N469/IF(Baux!$L$40="Mensuelle",12,IF(Baux!$L$40="Trimestrielle",4,IF(Baux!$L$40="Semestrielle",2,1))))</f>
        <v/>
      </c>
      <c r="S469" s="27">
        <f>IF(AD469=0,"",IF(Baux!$J$40="",0,Baux!$J$40)/IF(Baux!$L$40="Mensuelle",12,IF(Baux!$L$40="Trimestrielle",4,IF(Baux!$L$40="Semestrielle",2,1))))</f>
        <v/>
      </c>
      <c r="T469" s="27">
        <f>IF(R469="","",(R469+S469)*Baux!$K$40/100)</f>
        <v/>
      </c>
      <c r="U469" s="27">
        <f>IF(R469="","",R469+S469+T469)</f>
        <v/>
      </c>
      <c r="V469" s="17">
        <f>IF(AD469=0,"",IF(LEFT(K469,5)="Geler","❄ Gelée",IF(G469="",IF(D469&lt;=TODAY(),"⚠ Indice attendu","À venir"),IF(D469&lt;=TODAY(),"✔ Calculable","Indice connu – à venir"))))</f>
        <v/>
      </c>
      <c r="W469" s="29" t="n"/>
      <c r="X469" s="13" t="n"/>
      <c r="Y469" s="14" t="n"/>
      <c r="Z469" s="14" t="n"/>
      <c r="AA469" s="13" t="n"/>
      <c r="AB469" s="17">
        <f>IF(A469="","",A469&amp;"#"&amp;C469)</f>
        <v/>
      </c>
      <c r="AC469" s="17">
        <f>IF(AND(AD469=1,D469&lt;=TODAY(),N469&lt;&gt;""),1,0)</f>
        <v/>
      </c>
      <c r="AD469" s="17">
        <f>IF(OR(A469="",D469=""),0,IF(AND(ISNUMBER(Baux!$H$40),D469&gt;Baux!$H$40),0,1))</f>
        <v/>
      </c>
    </row>
    <row r="470">
      <c r="A470" s="17">
        <f>IF(Baux!$A$41="","",Baux!$A$41)</f>
        <v/>
      </c>
      <c r="B470" s="17">
        <f>IF(A470="","",Baux!$B$41)</f>
        <v/>
      </c>
      <c r="C470" s="17" t="n">
        <v>1</v>
      </c>
      <c r="D470" s="15">
        <f>IF(OR(A470="",Baux!$F$41="",Baux!$O$41=""),"",EDATE(Baux!$F$41,12*Baux!$O$41*C470))</f>
        <v/>
      </c>
      <c r="E470" s="17">
        <f>IF(AD470=0,"",Baux!$M$41)</f>
        <v/>
      </c>
      <c r="F470" s="17">
        <f>IF(AD470=0,"",IFERROR(TEXT(VALUE(LEFT(Baux!$N$41,4))+C470*Baux!$O$41,"0")&amp;RIGHT(Baux!$N$41,3),""))</f>
        <v/>
      </c>
      <c r="G470" s="25">
        <f>IF(AD470=0,"",IF(F470="","",IF(SUMIFS(Indices_long!$C:$C,Indices_long!$A:$A,E470,Indices_long!$B:$B,F470)=0,"",SUMIFS(Indices_long!$C:$C,Indices_long!$A:$A,E470,Indices_long!$B:$B,F470))))</f>
        <v/>
      </c>
      <c r="H470" s="17">
        <f>IF(AD470=0,"",Baux!$N$41)</f>
        <v/>
      </c>
      <c r="I470" s="25">
        <f>IF(AD470=0,"",IF(H470="","",IF(SUMIFS(Indices_long!$C:$C,Indices_long!$A:$A,E470,Indices_long!$B:$B,H470)=0,"",SUMIFS(Indices_long!$C:$C,Indices_long!$A:$A,E470,Indices_long!$B:$B,H470))))</f>
        <v/>
      </c>
      <c r="J470" s="26">
        <f>IF(OR(G470="",I470=""),"",G470/I470)</f>
        <v/>
      </c>
      <c r="K470" s="13" t="n"/>
      <c r="L470" s="27">
        <f>IF(AD470=0,"",Baux!$I$41)</f>
        <v/>
      </c>
      <c r="M470" s="27">
        <f>IF(OR(J470="",L470=""),"",ROUND(L470*J470,2))</f>
        <v/>
      </c>
      <c r="N470" s="27">
        <f>IF(AD470=0,"",IF(LEFT(K470,5)="Geler",O470,IF(M470="","",IF(Baux!$Q$41="",M470,MIN(M470,ROUND(L470*(1+Baux!$Q$41/100)^IF(Baux!$P$41="Base fixe",C470*Baux!$O$41,VALUE(LEFT(F470,4))-VALUE(LEFT(H470,4))),2))))))</f>
        <v/>
      </c>
      <c r="O470" s="27">
        <f>IF(AD470=0,"",Baux!$I$41)</f>
        <v/>
      </c>
      <c r="P470" s="28">
        <f>IF(OR(N470="",O470=""),"",N470/O470-1)</f>
        <v/>
      </c>
      <c r="Q470" s="27">
        <f>IF(N470="","",N470/12)</f>
        <v/>
      </c>
      <c r="R470" s="27">
        <f>IF(N470="","",N470/IF(Baux!$L$41="Mensuelle",12,IF(Baux!$L$41="Trimestrielle",4,IF(Baux!$L$41="Semestrielle",2,1))))</f>
        <v/>
      </c>
      <c r="S470" s="27">
        <f>IF(AD470=0,"",IF(Baux!$J$41="",0,Baux!$J$41)/IF(Baux!$L$41="Mensuelle",12,IF(Baux!$L$41="Trimestrielle",4,IF(Baux!$L$41="Semestrielle",2,1))))</f>
        <v/>
      </c>
      <c r="T470" s="27">
        <f>IF(R470="","",(R470+S470)*Baux!$K$41/100)</f>
        <v/>
      </c>
      <c r="U470" s="27">
        <f>IF(R470="","",R470+S470+T470)</f>
        <v/>
      </c>
      <c r="V470" s="17">
        <f>IF(AD470=0,"",IF(LEFT(K470,5)="Geler","❄ Gelée",IF(G470="",IF(D470&lt;=TODAY(),"⚠ Indice attendu","À venir"),IF(D470&lt;=TODAY(),"✔ Calculable","Indice connu – à venir"))))</f>
        <v/>
      </c>
      <c r="W470" s="29" t="n"/>
      <c r="X470" s="13" t="n"/>
      <c r="Y470" s="14" t="n"/>
      <c r="Z470" s="14" t="n"/>
      <c r="AA470" s="13" t="n"/>
      <c r="AB470" s="17">
        <f>IF(A470="","",A470&amp;"#"&amp;C470)</f>
        <v/>
      </c>
      <c r="AC470" s="17">
        <f>IF(AND(AD470=1,D470&lt;=TODAY(),N470&lt;&gt;""),1,0)</f>
        <v/>
      </c>
      <c r="AD470" s="17">
        <f>IF(OR(A470="",D470=""),0,IF(AND(ISNUMBER(Baux!$H$41),D470&gt;Baux!$H$41),0,1))</f>
        <v/>
      </c>
    </row>
    <row r="471">
      <c r="A471" s="17">
        <f>IF(Baux!$A$41="","",Baux!$A$41)</f>
        <v/>
      </c>
      <c r="B471" s="17">
        <f>IF(A471="","",Baux!$B$41)</f>
        <v/>
      </c>
      <c r="C471" s="17" t="n">
        <v>2</v>
      </c>
      <c r="D471" s="15">
        <f>IF(OR(A471="",Baux!$F$41="",Baux!$O$41=""),"",EDATE(Baux!$F$41,12*Baux!$O$41*C471))</f>
        <v/>
      </c>
      <c r="E471" s="17">
        <f>IF(AD471=0,"",Baux!$M$41)</f>
        <v/>
      </c>
      <c r="F471" s="17">
        <f>IF(AD471=0,"",IFERROR(TEXT(VALUE(LEFT(Baux!$N$41,4))+C471*Baux!$O$41,"0")&amp;RIGHT(Baux!$N$41,3),""))</f>
        <v/>
      </c>
      <c r="G471" s="25">
        <f>IF(AD471=0,"",IF(F471="","",IF(SUMIFS(Indices_long!$C:$C,Indices_long!$A:$A,E471,Indices_long!$B:$B,F471)=0,"",SUMIFS(Indices_long!$C:$C,Indices_long!$A:$A,E471,Indices_long!$B:$B,F471))))</f>
        <v/>
      </c>
      <c r="H471" s="17">
        <f>IF(AD471=0,"",IF(Baux!$P$41="Base fixe",Baux!$N$41,IF(K470="Geler – rattrapage possible",H470,F470)))</f>
        <v/>
      </c>
      <c r="I471" s="25">
        <f>IF(AD471=0,"",IF(H471="","",IF(SUMIFS(Indices_long!$C:$C,Indices_long!$A:$A,E471,Indices_long!$B:$B,H471)=0,"",SUMIFS(Indices_long!$C:$C,Indices_long!$A:$A,E471,Indices_long!$B:$B,H471))))</f>
        <v/>
      </c>
      <c r="J471" s="26">
        <f>IF(OR(G471="",I471=""),"",G471/I471)</f>
        <v/>
      </c>
      <c r="K471" s="13" t="n"/>
      <c r="L471" s="27">
        <f>IF(AD471=0,"",IF(Baux!$P$41="Base fixe",Baux!$I$41,N470))</f>
        <v/>
      </c>
      <c r="M471" s="27">
        <f>IF(OR(J471="",L471=""),"",ROUND(L471*J471,2))</f>
        <v/>
      </c>
      <c r="N471" s="27">
        <f>IF(AD471=0,"",IF(LEFT(K471,5)="Geler",O471,IF(M471="","",IF(Baux!$Q$41="",M471,MIN(M471,ROUND(L471*(1+Baux!$Q$41/100)^IF(Baux!$P$41="Base fixe",C471*Baux!$O$41,VALUE(LEFT(F471,4))-VALUE(LEFT(H471,4))),2))))))</f>
        <v/>
      </c>
      <c r="O471" s="27">
        <f>IF(AD471=0,"",N470)</f>
        <v/>
      </c>
      <c r="P471" s="28">
        <f>IF(OR(N471="",O471=""),"",N471/O471-1)</f>
        <v/>
      </c>
      <c r="Q471" s="27">
        <f>IF(N471="","",N471/12)</f>
        <v/>
      </c>
      <c r="R471" s="27">
        <f>IF(N471="","",N471/IF(Baux!$L$41="Mensuelle",12,IF(Baux!$L$41="Trimestrielle",4,IF(Baux!$L$41="Semestrielle",2,1))))</f>
        <v/>
      </c>
      <c r="S471" s="27">
        <f>IF(AD471=0,"",IF(Baux!$J$41="",0,Baux!$J$41)/IF(Baux!$L$41="Mensuelle",12,IF(Baux!$L$41="Trimestrielle",4,IF(Baux!$L$41="Semestrielle",2,1))))</f>
        <v/>
      </c>
      <c r="T471" s="27">
        <f>IF(R471="","",(R471+S471)*Baux!$K$41/100)</f>
        <v/>
      </c>
      <c r="U471" s="27">
        <f>IF(R471="","",R471+S471+T471)</f>
        <v/>
      </c>
      <c r="V471" s="17">
        <f>IF(AD471=0,"",IF(LEFT(K471,5)="Geler","❄ Gelée",IF(G471="",IF(D471&lt;=TODAY(),"⚠ Indice attendu","À venir"),IF(D471&lt;=TODAY(),"✔ Calculable","Indice connu – à venir"))))</f>
        <v/>
      </c>
      <c r="W471" s="29" t="n"/>
      <c r="X471" s="13" t="n"/>
      <c r="Y471" s="14" t="n"/>
      <c r="Z471" s="14" t="n"/>
      <c r="AA471" s="13" t="n"/>
      <c r="AB471" s="17">
        <f>IF(A471="","",A471&amp;"#"&amp;C471)</f>
        <v/>
      </c>
      <c r="AC471" s="17">
        <f>IF(AND(AD471=1,D471&lt;=TODAY(),N471&lt;&gt;""),1,0)</f>
        <v/>
      </c>
      <c r="AD471" s="17">
        <f>IF(OR(A471="",D471=""),0,IF(AND(ISNUMBER(Baux!$H$41),D471&gt;Baux!$H$41),0,1))</f>
        <v/>
      </c>
    </row>
    <row r="472">
      <c r="A472" s="17">
        <f>IF(Baux!$A$41="","",Baux!$A$41)</f>
        <v/>
      </c>
      <c r="B472" s="17">
        <f>IF(A472="","",Baux!$B$41)</f>
        <v/>
      </c>
      <c r="C472" s="17" t="n">
        <v>3</v>
      </c>
      <c r="D472" s="15">
        <f>IF(OR(A472="",Baux!$F$41="",Baux!$O$41=""),"",EDATE(Baux!$F$41,12*Baux!$O$41*C472))</f>
        <v/>
      </c>
      <c r="E472" s="17">
        <f>IF(AD472=0,"",Baux!$M$41)</f>
        <v/>
      </c>
      <c r="F472" s="17">
        <f>IF(AD472=0,"",IFERROR(TEXT(VALUE(LEFT(Baux!$N$41,4))+C472*Baux!$O$41,"0")&amp;RIGHT(Baux!$N$41,3),""))</f>
        <v/>
      </c>
      <c r="G472" s="25">
        <f>IF(AD472=0,"",IF(F472="","",IF(SUMIFS(Indices_long!$C:$C,Indices_long!$A:$A,E472,Indices_long!$B:$B,F472)=0,"",SUMIFS(Indices_long!$C:$C,Indices_long!$A:$A,E472,Indices_long!$B:$B,F472))))</f>
        <v/>
      </c>
      <c r="H472" s="17">
        <f>IF(AD472=0,"",IF(Baux!$P$41="Base fixe",Baux!$N$41,IF(K471="Geler – rattrapage possible",H471,F471)))</f>
        <v/>
      </c>
      <c r="I472" s="25">
        <f>IF(AD472=0,"",IF(H472="","",IF(SUMIFS(Indices_long!$C:$C,Indices_long!$A:$A,E472,Indices_long!$B:$B,H472)=0,"",SUMIFS(Indices_long!$C:$C,Indices_long!$A:$A,E472,Indices_long!$B:$B,H472))))</f>
        <v/>
      </c>
      <c r="J472" s="26">
        <f>IF(OR(G472="",I472=""),"",G472/I472)</f>
        <v/>
      </c>
      <c r="K472" s="13" t="n"/>
      <c r="L472" s="27">
        <f>IF(AD472=0,"",IF(Baux!$P$41="Base fixe",Baux!$I$41,N471))</f>
        <v/>
      </c>
      <c r="M472" s="27">
        <f>IF(OR(J472="",L472=""),"",ROUND(L472*J472,2))</f>
        <v/>
      </c>
      <c r="N472" s="27">
        <f>IF(AD472=0,"",IF(LEFT(K472,5)="Geler",O472,IF(M472="","",IF(Baux!$Q$41="",M472,MIN(M472,ROUND(L472*(1+Baux!$Q$41/100)^IF(Baux!$P$41="Base fixe",C472*Baux!$O$41,VALUE(LEFT(F472,4))-VALUE(LEFT(H472,4))),2))))))</f>
        <v/>
      </c>
      <c r="O472" s="27">
        <f>IF(AD472=0,"",N471)</f>
        <v/>
      </c>
      <c r="P472" s="28">
        <f>IF(OR(N472="",O472=""),"",N472/O472-1)</f>
        <v/>
      </c>
      <c r="Q472" s="27">
        <f>IF(N472="","",N472/12)</f>
        <v/>
      </c>
      <c r="R472" s="27">
        <f>IF(N472="","",N472/IF(Baux!$L$41="Mensuelle",12,IF(Baux!$L$41="Trimestrielle",4,IF(Baux!$L$41="Semestrielle",2,1))))</f>
        <v/>
      </c>
      <c r="S472" s="27">
        <f>IF(AD472=0,"",IF(Baux!$J$41="",0,Baux!$J$41)/IF(Baux!$L$41="Mensuelle",12,IF(Baux!$L$41="Trimestrielle",4,IF(Baux!$L$41="Semestrielle",2,1))))</f>
        <v/>
      </c>
      <c r="T472" s="27">
        <f>IF(R472="","",(R472+S472)*Baux!$K$41/100)</f>
        <v/>
      </c>
      <c r="U472" s="27">
        <f>IF(R472="","",R472+S472+T472)</f>
        <v/>
      </c>
      <c r="V472" s="17">
        <f>IF(AD472=0,"",IF(LEFT(K472,5)="Geler","❄ Gelée",IF(G472="",IF(D472&lt;=TODAY(),"⚠ Indice attendu","À venir"),IF(D472&lt;=TODAY(),"✔ Calculable","Indice connu – à venir"))))</f>
        <v/>
      </c>
      <c r="W472" s="29" t="n"/>
      <c r="X472" s="13" t="n"/>
      <c r="Y472" s="14" t="n"/>
      <c r="Z472" s="14" t="n"/>
      <c r="AA472" s="13" t="n"/>
      <c r="AB472" s="17">
        <f>IF(A472="","",A472&amp;"#"&amp;C472)</f>
        <v/>
      </c>
      <c r="AC472" s="17">
        <f>IF(AND(AD472=1,D472&lt;=TODAY(),N472&lt;&gt;""),1,0)</f>
        <v/>
      </c>
      <c r="AD472" s="17">
        <f>IF(OR(A472="",D472=""),0,IF(AND(ISNUMBER(Baux!$H$41),D472&gt;Baux!$H$41),0,1))</f>
        <v/>
      </c>
    </row>
    <row r="473">
      <c r="A473" s="17">
        <f>IF(Baux!$A$41="","",Baux!$A$41)</f>
        <v/>
      </c>
      <c r="B473" s="17">
        <f>IF(A473="","",Baux!$B$41)</f>
        <v/>
      </c>
      <c r="C473" s="17" t="n">
        <v>4</v>
      </c>
      <c r="D473" s="15">
        <f>IF(OR(A473="",Baux!$F$41="",Baux!$O$41=""),"",EDATE(Baux!$F$41,12*Baux!$O$41*C473))</f>
        <v/>
      </c>
      <c r="E473" s="17">
        <f>IF(AD473=0,"",Baux!$M$41)</f>
        <v/>
      </c>
      <c r="F473" s="17">
        <f>IF(AD473=0,"",IFERROR(TEXT(VALUE(LEFT(Baux!$N$41,4))+C473*Baux!$O$41,"0")&amp;RIGHT(Baux!$N$41,3),""))</f>
        <v/>
      </c>
      <c r="G473" s="25">
        <f>IF(AD473=0,"",IF(F473="","",IF(SUMIFS(Indices_long!$C:$C,Indices_long!$A:$A,E473,Indices_long!$B:$B,F473)=0,"",SUMIFS(Indices_long!$C:$C,Indices_long!$A:$A,E473,Indices_long!$B:$B,F473))))</f>
        <v/>
      </c>
      <c r="H473" s="17">
        <f>IF(AD473=0,"",IF(Baux!$P$41="Base fixe",Baux!$N$41,IF(K472="Geler – rattrapage possible",H472,F472)))</f>
        <v/>
      </c>
      <c r="I473" s="25">
        <f>IF(AD473=0,"",IF(H473="","",IF(SUMIFS(Indices_long!$C:$C,Indices_long!$A:$A,E473,Indices_long!$B:$B,H473)=0,"",SUMIFS(Indices_long!$C:$C,Indices_long!$A:$A,E473,Indices_long!$B:$B,H473))))</f>
        <v/>
      </c>
      <c r="J473" s="26">
        <f>IF(OR(G473="",I473=""),"",G473/I473)</f>
        <v/>
      </c>
      <c r="K473" s="13" t="n"/>
      <c r="L473" s="27">
        <f>IF(AD473=0,"",IF(Baux!$P$41="Base fixe",Baux!$I$41,N472))</f>
        <v/>
      </c>
      <c r="M473" s="27">
        <f>IF(OR(J473="",L473=""),"",ROUND(L473*J473,2))</f>
        <v/>
      </c>
      <c r="N473" s="27">
        <f>IF(AD473=0,"",IF(LEFT(K473,5)="Geler",O473,IF(M473="","",IF(Baux!$Q$41="",M473,MIN(M473,ROUND(L473*(1+Baux!$Q$41/100)^IF(Baux!$P$41="Base fixe",C473*Baux!$O$41,VALUE(LEFT(F473,4))-VALUE(LEFT(H473,4))),2))))))</f>
        <v/>
      </c>
      <c r="O473" s="27">
        <f>IF(AD473=0,"",N472)</f>
        <v/>
      </c>
      <c r="P473" s="28">
        <f>IF(OR(N473="",O473=""),"",N473/O473-1)</f>
        <v/>
      </c>
      <c r="Q473" s="27">
        <f>IF(N473="","",N473/12)</f>
        <v/>
      </c>
      <c r="R473" s="27">
        <f>IF(N473="","",N473/IF(Baux!$L$41="Mensuelle",12,IF(Baux!$L$41="Trimestrielle",4,IF(Baux!$L$41="Semestrielle",2,1))))</f>
        <v/>
      </c>
      <c r="S473" s="27">
        <f>IF(AD473=0,"",IF(Baux!$J$41="",0,Baux!$J$41)/IF(Baux!$L$41="Mensuelle",12,IF(Baux!$L$41="Trimestrielle",4,IF(Baux!$L$41="Semestrielle",2,1))))</f>
        <v/>
      </c>
      <c r="T473" s="27">
        <f>IF(R473="","",(R473+S473)*Baux!$K$41/100)</f>
        <v/>
      </c>
      <c r="U473" s="27">
        <f>IF(R473="","",R473+S473+T473)</f>
        <v/>
      </c>
      <c r="V473" s="17">
        <f>IF(AD473=0,"",IF(LEFT(K473,5)="Geler","❄ Gelée",IF(G473="",IF(D473&lt;=TODAY(),"⚠ Indice attendu","À venir"),IF(D473&lt;=TODAY(),"✔ Calculable","Indice connu – à venir"))))</f>
        <v/>
      </c>
      <c r="W473" s="29" t="n"/>
      <c r="X473" s="13" t="n"/>
      <c r="Y473" s="14" t="n"/>
      <c r="Z473" s="14" t="n"/>
      <c r="AA473" s="13" t="n"/>
      <c r="AB473" s="17">
        <f>IF(A473="","",A473&amp;"#"&amp;C473)</f>
        <v/>
      </c>
      <c r="AC473" s="17">
        <f>IF(AND(AD473=1,D473&lt;=TODAY(),N473&lt;&gt;""),1,0)</f>
        <v/>
      </c>
      <c r="AD473" s="17">
        <f>IF(OR(A473="",D473=""),0,IF(AND(ISNUMBER(Baux!$H$41),D473&gt;Baux!$H$41),0,1))</f>
        <v/>
      </c>
    </row>
    <row r="474">
      <c r="A474" s="17">
        <f>IF(Baux!$A$41="","",Baux!$A$41)</f>
        <v/>
      </c>
      <c r="B474" s="17">
        <f>IF(A474="","",Baux!$B$41)</f>
        <v/>
      </c>
      <c r="C474" s="17" t="n">
        <v>5</v>
      </c>
      <c r="D474" s="15">
        <f>IF(OR(A474="",Baux!$F$41="",Baux!$O$41=""),"",EDATE(Baux!$F$41,12*Baux!$O$41*C474))</f>
        <v/>
      </c>
      <c r="E474" s="17">
        <f>IF(AD474=0,"",Baux!$M$41)</f>
        <v/>
      </c>
      <c r="F474" s="17">
        <f>IF(AD474=0,"",IFERROR(TEXT(VALUE(LEFT(Baux!$N$41,4))+C474*Baux!$O$41,"0")&amp;RIGHT(Baux!$N$41,3),""))</f>
        <v/>
      </c>
      <c r="G474" s="25">
        <f>IF(AD474=0,"",IF(F474="","",IF(SUMIFS(Indices_long!$C:$C,Indices_long!$A:$A,E474,Indices_long!$B:$B,F474)=0,"",SUMIFS(Indices_long!$C:$C,Indices_long!$A:$A,E474,Indices_long!$B:$B,F474))))</f>
        <v/>
      </c>
      <c r="H474" s="17">
        <f>IF(AD474=0,"",IF(Baux!$P$41="Base fixe",Baux!$N$41,IF(K473="Geler – rattrapage possible",H473,F473)))</f>
        <v/>
      </c>
      <c r="I474" s="25">
        <f>IF(AD474=0,"",IF(H474="","",IF(SUMIFS(Indices_long!$C:$C,Indices_long!$A:$A,E474,Indices_long!$B:$B,H474)=0,"",SUMIFS(Indices_long!$C:$C,Indices_long!$A:$A,E474,Indices_long!$B:$B,H474))))</f>
        <v/>
      </c>
      <c r="J474" s="26">
        <f>IF(OR(G474="",I474=""),"",G474/I474)</f>
        <v/>
      </c>
      <c r="K474" s="13" t="n"/>
      <c r="L474" s="27">
        <f>IF(AD474=0,"",IF(Baux!$P$41="Base fixe",Baux!$I$41,N473))</f>
        <v/>
      </c>
      <c r="M474" s="27">
        <f>IF(OR(J474="",L474=""),"",ROUND(L474*J474,2))</f>
        <v/>
      </c>
      <c r="N474" s="27">
        <f>IF(AD474=0,"",IF(LEFT(K474,5)="Geler",O474,IF(M474="","",IF(Baux!$Q$41="",M474,MIN(M474,ROUND(L474*(1+Baux!$Q$41/100)^IF(Baux!$P$41="Base fixe",C474*Baux!$O$41,VALUE(LEFT(F474,4))-VALUE(LEFT(H474,4))),2))))))</f>
        <v/>
      </c>
      <c r="O474" s="27">
        <f>IF(AD474=0,"",N473)</f>
        <v/>
      </c>
      <c r="P474" s="28">
        <f>IF(OR(N474="",O474=""),"",N474/O474-1)</f>
        <v/>
      </c>
      <c r="Q474" s="27">
        <f>IF(N474="","",N474/12)</f>
        <v/>
      </c>
      <c r="R474" s="27">
        <f>IF(N474="","",N474/IF(Baux!$L$41="Mensuelle",12,IF(Baux!$L$41="Trimestrielle",4,IF(Baux!$L$41="Semestrielle",2,1))))</f>
        <v/>
      </c>
      <c r="S474" s="27">
        <f>IF(AD474=0,"",IF(Baux!$J$41="",0,Baux!$J$41)/IF(Baux!$L$41="Mensuelle",12,IF(Baux!$L$41="Trimestrielle",4,IF(Baux!$L$41="Semestrielle",2,1))))</f>
        <v/>
      </c>
      <c r="T474" s="27">
        <f>IF(R474="","",(R474+S474)*Baux!$K$41/100)</f>
        <v/>
      </c>
      <c r="U474" s="27">
        <f>IF(R474="","",R474+S474+T474)</f>
        <v/>
      </c>
      <c r="V474" s="17">
        <f>IF(AD474=0,"",IF(LEFT(K474,5)="Geler","❄ Gelée",IF(G474="",IF(D474&lt;=TODAY(),"⚠ Indice attendu","À venir"),IF(D474&lt;=TODAY(),"✔ Calculable","Indice connu – à venir"))))</f>
        <v/>
      </c>
      <c r="W474" s="29" t="n"/>
      <c r="X474" s="13" t="n"/>
      <c r="Y474" s="14" t="n"/>
      <c r="Z474" s="14" t="n"/>
      <c r="AA474" s="13" t="n"/>
      <c r="AB474" s="17">
        <f>IF(A474="","",A474&amp;"#"&amp;C474)</f>
        <v/>
      </c>
      <c r="AC474" s="17">
        <f>IF(AND(AD474=1,D474&lt;=TODAY(),N474&lt;&gt;""),1,0)</f>
        <v/>
      </c>
      <c r="AD474" s="17">
        <f>IF(OR(A474="",D474=""),0,IF(AND(ISNUMBER(Baux!$H$41),D474&gt;Baux!$H$41),0,1))</f>
        <v/>
      </c>
    </row>
    <row r="475">
      <c r="A475" s="17">
        <f>IF(Baux!$A$41="","",Baux!$A$41)</f>
        <v/>
      </c>
      <c r="B475" s="17">
        <f>IF(A475="","",Baux!$B$41)</f>
        <v/>
      </c>
      <c r="C475" s="17" t="n">
        <v>6</v>
      </c>
      <c r="D475" s="15">
        <f>IF(OR(A475="",Baux!$F$41="",Baux!$O$41=""),"",EDATE(Baux!$F$41,12*Baux!$O$41*C475))</f>
        <v/>
      </c>
      <c r="E475" s="17">
        <f>IF(AD475=0,"",Baux!$M$41)</f>
        <v/>
      </c>
      <c r="F475" s="17">
        <f>IF(AD475=0,"",IFERROR(TEXT(VALUE(LEFT(Baux!$N$41,4))+C475*Baux!$O$41,"0")&amp;RIGHT(Baux!$N$41,3),""))</f>
        <v/>
      </c>
      <c r="G475" s="25">
        <f>IF(AD475=0,"",IF(F475="","",IF(SUMIFS(Indices_long!$C:$C,Indices_long!$A:$A,E475,Indices_long!$B:$B,F475)=0,"",SUMIFS(Indices_long!$C:$C,Indices_long!$A:$A,E475,Indices_long!$B:$B,F475))))</f>
        <v/>
      </c>
      <c r="H475" s="17">
        <f>IF(AD475=0,"",IF(Baux!$P$41="Base fixe",Baux!$N$41,IF(K474="Geler – rattrapage possible",H474,F474)))</f>
        <v/>
      </c>
      <c r="I475" s="25">
        <f>IF(AD475=0,"",IF(H475="","",IF(SUMIFS(Indices_long!$C:$C,Indices_long!$A:$A,E475,Indices_long!$B:$B,H475)=0,"",SUMIFS(Indices_long!$C:$C,Indices_long!$A:$A,E475,Indices_long!$B:$B,H475))))</f>
        <v/>
      </c>
      <c r="J475" s="26">
        <f>IF(OR(G475="",I475=""),"",G475/I475)</f>
        <v/>
      </c>
      <c r="K475" s="13" t="n"/>
      <c r="L475" s="27">
        <f>IF(AD475=0,"",IF(Baux!$P$41="Base fixe",Baux!$I$41,N474))</f>
        <v/>
      </c>
      <c r="M475" s="27">
        <f>IF(OR(J475="",L475=""),"",ROUND(L475*J475,2))</f>
        <v/>
      </c>
      <c r="N475" s="27">
        <f>IF(AD475=0,"",IF(LEFT(K475,5)="Geler",O475,IF(M475="","",IF(Baux!$Q$41="",M475,MIN(M475,ROUND(L475*(1+Baux!$Q$41/100)^IF(Baux!$P$41="Base fixe",C475*Baux!$O$41,VALUE(LEFT(F475,4))-VALUE(LEFT(H475,4))),2))))))</f>
        <v/>
      </c>
      <c r="O475" s="27">
        <f>IF(AD475=0,"",N474)</f>
        <v/>
      </c>
      <c r="P475" s="28">
        <f>IF(OR(N475="",O475=""),"",N475/O475-1)</f>
        <v/>
      </c>
      <c r="Q475" s="27">
        <f>IF(N475="","",N475/12)</f>
        <v/>
      </c>
      <c r="R475" s="27">
        <f>IF(N475="","",N475/IF(Baux!$L$41="Mensuelle",12,IF(Baux!$L$41="Trimestrielle",4,IF(Baux!$L$41="Semestrielle",2,1))))</f>
        <v/>
      </c>
      <c r="S475" s="27">
        <f>IF(AD475=0,"",IF(Baux!$J$41="",0,Baux!$J$41)/IF(Baux!$L$41="Mensuelle",12,IF(Baux!$L$41="Trimestrielle",4,IF(Baux!$L$41="Semestrielle",2,1))))</f>
        <v/>
      </c>
      <c r="T475" s="27">
        <f>IF(R475="","",(R475+S475)*Baux!$K$41/100)</f>
        <v/>
      </c>
      <c r="U475" s="27">
        <f>IF(R475="","",R475+S475+T475)</f>
        <v/>
      </c>
      <c r="V475" s="17">
        <f>IF(AD475=0,"",IF(LEFT(K475,5)="Geler","❄ Gelée",IF(G475="",IF(D475&lt;=TODAY(),"⚠ Indice attendu","À venir"),IF(D475&lt;=TODAY(),"✔ Calculable","Indice connu – à venir"))))</f>
        <v/>
      </c>
      <c r="W475" s="29" t="n"/>
      <c r="X475" s="13" t="n"/>
      <c r="Y475" s="14" t="n"/>
      <c r="Z475" s="14" t="n"/>
      <c r="AA475" s="13" t="n"/>
      <c r="AB475" s="17">
        <f>IF(A475="","",A475&amp;"#"&amp;C475)</f>
        <v/>
      </c>
      <c r="AC475" s="17">
        <f>IF(AND(AD475=1,D475&lt;=TODAY(),N475&lt;&gt;""),1,0)</f>
        <v/>
      </c>
      <c r="AD475" s="17">
        <f>IF(OR(A475="",D475=""),0,IF(AND(ISNUMBER(Baux!$H$41),D475&gt;Baux!$H$41),0,1))</f>
        <v/>
      </c>
    </row>
    <row r="476">
      <c r="A476" s="17">
        <f>IF(Baux!$A$41="","",Baux!$A$41)</f>
        <v/>
      </c>
      <c r="B476" s="17">
        <f>IF(A476="","",Baux!$B$41)</f>
        <v/>
      </c>
      <c r="C476" s="17" t="n">
        <v>7</v>
      </c>
      <c r="D476" s="15">
        <f>IF(OR(A476="",Baux!$F$41="",Baux!$O$41=""),"",EDATE(Baux!$F$41,12*Baux!$O$41*C476))</f>
        <v/>
      </c>
      <c r="E476" s="17">
        <f>IF(AD476=0,"",Baux!$M$41)</f>
        <v/>
      </c>
      <c r="F476" s="17">
        <f>IF(AD476=0,"",IFERROR(TEXT(VALUE(LEFT(Baux!$N$41,4))+C476*Baux!$O$41,"0")&amp;RIGHT(Baux!$N$41,3),""))</f>
        <v/>
      </c>
      <c r="G476" s="25">
        <f>IF(AD476=0,"",IF(F476="","",IF(SUMIFS(Indices_long!$C:$C,Indices_long!$A:$A,E476,Indices_long!$B:$B,F476)=0,"",SUMIFS(Indices_long!$C:$C,Indices_long!$A:$A,E476,Indices_long!$B:$B,F476))))</f>
        <v/>
      </c>
      <c r="H476" s="17">
        <f>IF(AD476=0,"",IF(Baux!$P$41="Base fixe",Baux!$N$41,IF(K475="Geler – rattrapage possible",H475,F475)))</f>
        <v/>
      </c>
      <c r="I476" s="25">
        <f>IF(AD476=0,"",IF(H476="","",IF(SUMIFS(Indices_long!$C:$C,Indices_long!$A:$A,E476,Indices_long!$B:$B,H476)=0,"",SUMIFS(Indices_long!$C:$C,Indices_long!$A:$A,E476,Indices_long!$B:$B,H476))))</f>
        <v/>
      </c>
      <c r="J476" s="26">
        <f>IF(OR(G476="",I476=""),"",G476/I476)</f>
        <v/>
      </c>
      <c r="K476" s="13" t="n"/>
      <c r="L476" s="27">
        <f>IF(AD476=0,"",IF(Baux!$P$41="Base fixe",Baux!$I$41,N475))</f>
        <v/>
      </c>
      <c r="M476" s="27">
        <f>IF(OR(J476="",L476=""),"",ROUND(L476*J476,2))</f>
        <v/>
      </c>
      <c r="N476" s="27">
        <f>IF(AD476=0,"",IF(LEFT(K476,5)="Geler",O476,IF(M476="","",IF(Baux!$Q$41="",M476,MIN(M476,ROUND(L476*(1+Baux!$Q$41/100)^IF(Baux!$P$41="Base fixe",C476*Baux!$O$41,VALUE(LEFT(F476,4))-VALUE(LEFT(H476,4))),2))))))</f>
        <v/>
      </c>
      <c r="O476" s="27">
        <f>IF(AD476=0,"",N475)</f>
        <v/>
      </c>
      <c r="P476" s="28">
        <f>IF(OR(N476="",O476=""),"",N476/O476-1)</f>
        <v/>
      </c>
      <c r="Q476" s="27">
        <f>IF(N476="","",N476/12)</f>
        <v/>
      </c>
      <c r="R476" s="27">
        <f>IF(N476="","",N476/IF(Baux!$L$41="Mensuelle",12,IF(Baux!$L$41="Trimestrielle",4,IF(Baux!$L$41="Semestrielle",2,1))))</f>
        <v/>
      </c>
      <c r="S476" s="27">
        <f>IF(AD476=0,"",IF(Baux!$J$41="",0,Baux!$J$41)/IF(Baux!$L$41="Mensuelle",12,IF(Baux!$L$41="Trimestrielle",4,IF(Baux!$L$41="Semestrielle",2,1))))</f>
        <v/>
      </c>
      <c r="T476" s="27">
        <f>IF(R476="","",(R476+S476)*Baux!$K$41/100)</f>
        <v/>
      </c>
      <c r="U476" s="27">
        <f>IF(R476="","",R476+S476+T476)</f>
        <v/>
      </c>
      <c r="V476" s="17">
        <f>IF(AD476=0,"",IF(LEFT(K476,5)="Geler","❄ Gelée",IF(G476="",IF(D476&lt;=TODAY(),"⚠ Indice attendu","À venir"),IF(D476&lt;=TODAY(),"✔ Calculable","Indice connu – à venir"))))</f>
        <v/>
      </c>
      <c r="W476" s="29" t="n"/>
      <c r="X476" s="13" t="n"/>
      <c r="Y476" s="14" t="n"/>
      <c r="Z476" s="14" t="n"/>
      <c r="AA476" s="13" t="n"/>
      <c r="AB476" s="17">
        <f>IF(A476="","",A476&amp;"#"&amp;C476)</f>
        <v/>
      </c>
      <c r="AC476" s="17">
        <f>IF(AND(AD476=1,D476&lt;=TODAY(),N476&lt;&gt;""),1,0)</f>
        <v/>
      </c>
      <c r="AD476" s="17">
        <f>IF(OR(A476="",D476=""),0,IF(AND(ISNUMBER(Baux!$H$41),D476&gt;Baux!$H$41),0,1))</f>
        <v/>
      </c>
    </row>
    <row r="477">
      <c r="A477" s="17">
        <f>IF(Baux!$A$41="","",Baux!$A$41)</f>
        <v/>
      </c>
      <c r="B477" s="17">
        <f>IF(A477="","",Baux!$B$41)</f>
        <v/>
      </c>
      <c r="C477" s="17" t="n">
        <v>8</v>
      </c>
      <c r="D477" s="15">
        <f>IF(OR(A477="",Baux!$F$41="",Baux!$O$41=""),"",EDATE(Baux!$F$41,12*Baux!$O$41*C477))</f>
        <v/>
      </c>
      <c r="E477" s="17">
        <f>IF(AD477=0,"",Baux!$M$41)</f>
        <v/>
      </c>
      <c r="F477" s="17">
        <f>IF(AD477=0,"",IFERROR(TEXT(VALUE(LEFT(Baux!$N$41,4))+C477*Baux!$O$41,"0")&amp;RIGHT(Baux!$N$41,3),""))</f>
        <v/>
      </c>
      <c r="G477" s="25">
        <f>IF(AD477=0,"",IF(F477="","",IF(SUMIFS(Indices_long!$C:$C,Indices_long!$A:$A,E477,Indices_long!$B:$B,F477)=0,"",SUMIFS(Indices_long!$C:$C,Indices_long!$A:$A,E477,Indices_long!$B:$B,F477))))</f>
        <v/>
      </c>
      <c r="H477" s="17">
        <f>IF(AD477=0,"",IF(Baux!$P$41="Base fixe",Baux!$N$41,IF(K476="Geler – rattrapage possible",H476,F476)))</f>
        <v/>
      </c>
      <c r="I477" s="25">
        <f>IF(AD477=0,"",IF(H477="","",IF(SUMIFS(Indices_long!$C:$C,Indices_long!$A:$A,E477,Indices_long!$B:$B,H477)=0,"",SUMIFS(Indices_long!$C:$C,Indices_long!$A:$A,E477,Indices_long!$B:$B,H477))))</f>
        <v/>
      </c>
      <c r="J477" s="26">
        <f>IF(OR(G477="",I477=""),"",G477/I477)</f>
        <v/>
      </c>
      <c r="K477" s="13" t="n"/>
      <c r="L477" s="27">
        <f>IF(AD477=0,"",IF(Baux!$P$41="Base fixe",Baux!$I$41,N476))</f>
        <v/>
      </c>
      <c r="M477" s="27">
        <f>IF(OR(J477="",L477=""),"",ROUND(L477*J477,2))</f>
        <v/>
      </c>
      <c r="N477" s="27">
        <f>IF(AD477=0,"",IF(LEFT(K477,5)="Geler",O477,IF(M477="","",IF(Baux!$Q$41="",M477,MIN(M477,ROUND(L477*(1+Baux!$Q$41/100)^IF(Baux!$P$41="Base fixe",C477*Baux!$O$41,VALUE(LEFT(F477,4))-VALUE(LEFT(H477,4))),2))))))</f>
        <v/>
      </c>
      <c r="O477" s="27">
        <f>IF(AD477=0,"",N476)</f>
        <v/>
      </c>
      <c r="P477" s="28">
        <f>IF(OR(N477="",O477=""),"",N477/O477-1)</f>
        <v/>
      </c>
      <c r="Q477" s="27">
        <f>IF(N477="","",N477/12)</f>
        <v/>
      </c>
      <c r="R477" s="27">
        <f>IF(N477="","",N477/IF(Baux!$L$41="Mensuelle",12,IF(Baux!$L$41="Trimestrielle",4,IF(Baux!$L$41="Semestrielle",2,1))))</f>
        <v/>
      </c>
      <c r="S477" s="27">
        <f>IF(AD477=0,"",IF(Baux!$J$41="",0,Baux!$J$41)/IF(Baux!$L$41="Mensuelle",12,IF(Baux!$L$41="Trimestrielle",4,IF(Baux!$L$41="Semestrielle",2,1))))</f>
        <v/>
      </c>
      <c r="T477" s="27">
        <f>IF(R477="","",(R477+S477)*Baux!$K$41/100)</f>
        <v/>
      </c>
      <c r="U477" s="27">
        <f>IF(R477="","",R477+S477+T477)</f>
        <v/>
      </c>
      <c r="V477" s="17">
        <f>IF(AD477=0,"",IF(LEFT(K477,5)="Geler","❄ Gelée",IF(G477="",IF(D477&lt;=TODAY(),"⚠ Indice attendu","À venir"),IF(D477&lt;=TODAY(),"✔ Calculable","Indice connu – à venir"))))</f>
        <v/>
      </c>
      <c r="W477" s="29" t="n"/>
      <c r="X477" s="13" t="n"/>
      <c r="Y477" s="14" t="n"/>
      <c r="Z477" s="14" t="n"/>
      <c r="AA477" s="13" t="n"/>
      <c r="AB477" s="17">
        <f>IF(A477="","",A477&amp;"#"&amp;C477)</f>
        <v/>
      </c>
      <c r="AC477" s="17">
        <f>IF(AND(AD477=1,D477&lt;=TODAY(),N477&lt;&gt;""),1,0)</f>
        <v/>
      </c>
      <c r="AD477" s="17">
        <f>IF(OR(A477="",D477=""),0,IF(AND(ISNUMBER(Baux!$H$41),D477&gt;Baux!$H$41),0,1))</f>
        <v/>
      </c>
    </row>
    <row r="478">
      <c r="A478" s="17">
        <f>IF(Baux!$A$41="","",Baux!$A$41)</f>
        <v/>
      </c>
      <c r="B478" s="17">
        <f>IF(A478="","",Baux!$B$41)</f>
        <v/>
      </c>
      <c r="C478" s="17" t="n">
        <v>9</v>
      </c>
      <c r="D478" s="15">
        <f>IF(OR(A478="",Baux!$F$41="",Baux!$O$41=""),"",EDATE(Baux!$F$41,12*Baux!$O$41*C478))</f>
        <v/>
      </c>
      <c r="E478" s="17">
        <f>IF(AD478=0,"",Baux!$M$41)</f>
        <v/>
      </c>
      <c r="F478" s="17">
        <f>IF(AD478=0,"",IFERROR(TEXT(VALUE(LEFT(Baux!$N$41,4))+C478*Baux!$O$41,"0")&amp;RIGHT(Baux!$N$41,3),""))</f>
        <v/>
      </c>
      <c r="G478" s="25">
        <f>IF(AD478=0,"",IF(F478="","",IF(SUMIFS(Indices_long!$C:$C,Indices_long!$A:$A,E478,Indices_long!$B:$B,F478)=0,"",SUMIFS(Indices_long!$C:$C,Indices_long!$A:$A,E478,Indices_long!$B:$B,F478))))</f>
        <v/>
      </c>
      <c r="H478" s="17">
        <f>IF(AD478=0,"",IF(Baux!$P$41="Base fixe",Baux!$N$41,IF(K477="Geler – rattrapage possible",H477,F477)))</f>
        <v/>
      </c>
      <c r="I478" s="25">
        <f>IF(AD478=0,"",IF(H478="","",IF(SUMIFS(Indices_long!$C:$C,Indices_long!$A:$A,E478,Indices_long!$B:$B,H478)=0,"",SUMIFS(Indices_long!$C:$C,Indices_long!$A:$A,E478,Indices_long!$B:$B,H478))))</f>
        <v/>
      </c>
      <c r="J478" s="26">
        <f>IF(OR(G478="",I478=""),"",G478/I478)</f>
        <v/>
      </c>
      <c r="K478" s="13" t="n"/>
      <c r="L478" s="27">
        <f>IF(AD478=0,"",IF(Baux!$P$41="Base fixe",Baux!$I$41,N477))</f>
        <v/>
      </c>
      <c r="M478" s="27">
        <f>IF(OR(J478="",L478=""),"",ROUND(L478*J478,2))</f>
        <v/>
      </c>
      <c r="N478" s="27">
        <f>IF(AD478=0,"",IF(LEFT(K478,5)="Geler",O478,IF(M478="","",IF(Baux!$Q$41="",M478,MIN(M478,ROUND(L478*(1+Baux!$Q$41/100)^IF(Baux!$P$41="Base fixe",C478*Baux!$O$41,VALUE(LEFT(F478,4))-VALUE(LEFT(H478,4))),2))))))</f>
        <v/>
      </c>
      <c r="O478" s="27">
        <f>IF(AD478=0,"",N477)</f>
        <v/>
      </c>
      <c r="P478" s="28">
        <f>IF(OR(N478="",O478=""),"",N478/O478-1)</f>
        <v/>
      </c>
      <c r="Q478" s="27">
        <f>IF(N478="","",N478/12)</f>
        <v/>
      </c>
      <c r="R478" s="27">
        <f>IF(N478="","",N478/IF(Baux!$L$41="Mensuelle",12,IF(Baux!$L$41="Trimestrielle",4,IF(Baux!$L$41="Semestrielle",2,1))))</f>
        <v/>
      </c>
      <c r="S478" s="27">
        <f>IF(AD478=0,"",IF(Baux!$J$41="",0,Baux!$J$41)/IF(Baux!$L$41="Mensuelle",12,IF(Baux!$L$41="Trimestrielle",4,IF(Baux!$L$41="Semestrielle",2,1))))</f>
        <v/>
      </c>
      <c r="T478" s="27">
        <f>IF(R478="","",(R478+S478)*Baux!$K$41/100)</f>
        <v/>
      </c>
      <c r="U478" s="27">
        <f>IF(R478="","",R478+S478+T478)</f>
        <v/>
      </c>
      <c r="V478" s="17">
        <f>IF(AD478=0,"",IF(LEFT(K478,5)="Geler","❄ Gelée",IF(G478="",IF(D478&lt;=TODAY(),"⚠ Indice attendu","À venir"),IF(D478&lt;=TODAY(),"✔ Calculable","Indice connu – à venir"))))</f>
        <v/>
      </c>
      <c r="W478" s="29" t="n"/>
      <c r="X478" s="13" t="n"/>
      <c r="Y478" s="14" t="n"/>
      <c r="Z478" s="14" t="n"/>
      <c r="AA478" s="13" t="n"/>
      <c r="AB478" s="17">
        <f>IF(A478="","",A478&amp;"#"&amp;C478)</f>
        <v/>
      </c>
      <c r="AC478" s="17">
        <f>IF(AND(AD478=1,D478&lt;=TODAY(),N478&lt;&gt;""),1,0)</f>
        <v/>
      </c>
      <c r="AD478" s="17">
        <f>IF(OR(A478="",D478=""),0,IF(AND(ISNUMBER(Baux!$H$41),D478&gt;Baux!$H$41),0,1))</f>
        <v/>
      </c>
    </row>
    <row r="479">
      <c r="A479" s="17">
        <f>IF(Baux!$A$41="","",Baux!$A$41)</f>
        <v/>
      </c>
      <c r="B479" s="17">
        <f>IF(A479="","",Baux!$B$41)</f>
        <v/>
      </c>
      <c r="C479" s="17" t="n">
        <v>10</v>
      </c>
      <c r="D479" s="15">
        <f>IF(OR(A479="",Baux!$F$41="",Baux!$O$41=""),"",EDATE(Baux!$F$41,12*Baux!$O$41*C479))</f>
        <v/>
      </c>
      <c r="E479" s="17">
        <f>IF(AD479=0,"",Baux!$M$41)</f>
        <v/>
      </c>
      <c r="F479" s="17">
        <f>IF(AD479=0,"",IFERROR(TEXT(VALUE(LEFT(Baux!$N$41,4))+C479*Baux!$O$41,"0")&amp;RIGHT(Baux!$N$41,3),""))</f>
        <v/>
      </c>
      <c r="G479" s="25">
        <f>IF(AD479=0,"",IF(F479="","",IF(SUMIFS(Indices_long!$C:$C,Indices_long!$A:$A,E479,Indices_long!$B:$B,F479)=0,"",SUMIFS(Indices_long!$C:$C,Indices_long!$A:$A,E479,Indices_long!$B:$B,F479))))</f>
        <v/>
      </c>
      <c r="H479" s="17">
        <f>IF(AD479=0,"",IF(Baux!$P$41="Base fixe",Baux!$N$41,IF(K478="Geler – rattrapage possible",H478,F478)))</f>
        <v/>
      </c>
      <c r="I479" s="25">
        <f>IF(AD479=0,"",IF(H479="","",IF(SUMIFS(Indices_long!$C:$C,Indices_long!$A:$A,E479,Indices_long!$B:$B,H479)=0,"",SUMIFS(Indices_long!$C:$C,Indices_long!$A:$A,E479,Indices_long!$B:$B,H479))))</f>
        <v/>
      </c>
      <c r="J479" s="26">
        <f>IF(OR(G479="",I479=""),"",G479/I479)</f>
        <v/>
      </c>
      <c r="K479" s="13" t="n"/>
      <c r="L479" s="27">
        <f>IF(AD479=0,"",IF(Baux!$P$41="Base fixe",Baux!$I$41,N478))</f>
        <v/>
      </c>
      <c r="M479" s="27">
        <f>IF(OR(J479="",L479=""),"",ROUND(L479*J479,2))</f>
        <v/>
      </c>
      <c r="N479" s="27">
        <f>IF(AD479=0,"",IF(LEFT(K479,5)="Geler",O479,IF(M479="","",IF(Baux!$Q$41="",M479,MIN(M479,ROUND(L479*(1+Baux!$Q$41/100)^IF(Baux!$P$41="Base fixe",C479*Baux!$O$41,VALUE(LEFT(F479,4))-VALUE(LEFT(H479,4))),2))))))</f>
        <v/>
      </c>
      <c r="O479" s="27">
        <f>IF(AD479=0,"",N478)</f>
        <v/>
      </c>
      <c r="P479" s="28">
        <f>IF(OR(N479="",O479=""),"",N479/O479-1)</f>
        <v/>
      </c>
      <c r="Q479" s="27">
        <f>IF(N479="","",N479/12)</f>
        <v/>
      </c>
      <c r="R479" s="27">
        <f>IF(N479="","",N479/IF(Baux!$L$41="Mensuelle",12,IF(Baux!$L$41="Trimestrielle",4,IF(Baux!$L$41="Semestrielle",2,1))))</f>
        <v/>
      </c>
      <c r="S479" s="27">
        <f>IF(AD479=0,"",IF(Baux!$J$41="",0,Baux!$J$41)/IF(Baux!$L$41="Mensuelle",12,IF(Baux!$L$41="Trimestrielle",4,IF(Baux!$L$41="Semestrielle",2,1))))</f>
        <v/>
      </c>
      <c r="T479" s="27">
        <f>IF(R479="","",(R479+S479)*Baux!$K$41/100)</f>
        <v/>
      </c>
      <c r="U479" s="27">
        <f>IF(R479="","",R479+S479+T479)</f>
        <v/>
      </c>
      <c r="V479" s="17">
        <f>IF(AD479=0,"",IF(LEFT(K479,5)="Geler","❄ Gelée",IF(G479="",IF(D479&lt;=TODAY(),"⚠ Indice attendu","À venir"),IF(D479&lt;=TODAY(),"✔ Calculable","Indice connu – à venir"))))</f>
        <v/>
      </c>
      <c r="W479" s="29" t="n"/>
      <c r="X479" s="13" t="n"/>
      <c r="Y479" s="14" t="n"/>
      <c r="Z479" s="14" t="n"/>
      <c r="AA479" s="13" t="n"/>
      <c r="AB479" s="17">
        <f>IF(A479="","",A479&amp;"#"&amp;C479)</f>
        <v/>
      </c>
      <c r="AC479" s="17">
        <f>IF(AND(AD479=1,D479&lt;=TODAY(),N479&lt;&gt;""),1,0)</f>
        <v/>
      </c>
      <c r="AD479" s="17">
        <f>IF(OR(A479="",D479=""),0,IF(AND(ISNUMBER(Baux!$H$41),D479&gt;Baux!$H$41),0,1))</f>
        <v/>
      </c>
    </row>
    <row r="480">
      <c r="A480" s="17">
        <f>IF(Baux!$A$41="","",Baux!$A$41)</f>
        <v/>
      </c>
      <c r="B480" s="17">
        <f>IF(A480="","",Baux!$B$41)</f>
        <v/>
      </c>
      <c r="C480" s="17" t="n">
        <v>11</v>
      </c>
      <c r="D480" s="15">
        <f>IF(OR(A480="",Baux!$F$41="",Baux!$O$41=""),"",EDATE(Baux!$F$41,12*Baux!$O$41*C480))</f>
        <v/>
      </c>
      <c r="E480" s="17">
        <f>IF(AD480=0,"",Baux!$M$41)</f>
        <v/>
      </c>
      <c r="F480" s="17">
        <f>IF(AD480=0,"",IFERROR(TEXT(VALUE(LEFT(Baux!$N$41,4))+C480*Baux!$O$41,"0")&amp;RIGHT(Baux!$N$41,3),""))</f>
        <v/>
      </c>
      <c r="G480" s="25">
        <f>IF(AD480=0,"",IF(F480="","",IF(SUMIFS(Indices_long!$C:$C,Indices_long!$A:$A,E480,Indices_long!$B:$B,F480)=0,"",SUMIFS(Indices_long!$C:$C,Indices_long!$A:$A,E480,Indices_long!$B:$B,F480))))</f>
        <v/>
      </c>
      <c r="H480" s="17">
        <f>IF(AD480=0,"",IF(Baux!$P$41="Base fixe",Baux!$N$41,IF(K479="Geler – rattrapage possible",H479,F479)))</f>
        <v/>
      </c>
      <c r="I480" s="25">
        <f>IF(AD480=0,"",IF(H480="","",IF(SUMIFS(Indices_long!$C:$C,Indices_long!$A:$A,E480,Indices_long!$B:$B,H480)=0,"",SUMIFS(Indices_long!$C:$C,Indices_long!$A:$A,E480,Indices_long!$B:$B,H480))))</f>
        <v/>
      </c>
      <c r="J480" s="26">
        <f>IF(OR(G480="",I480=""),"",G480/I480)</f>
        <v/>
      </c>
      <c r="K480" s="13" t="n"/>
      <c r="L480" s="27">
        <f>IF(AD480=0,"",IF(Baux!$P$41="Base fixe",Baux!$I$41,N479))</f>
        <v/>
      </c>
      <c r="M480" s="27">
        <f>IF(OR(J480="",L480=""),"",ROUND(L480*J480,2))</f>
        <v/>
      </c>
      <c r="N480" s="27">
        <f>IF(AD480=0,"",IF(LEFT(K480,5)="Geler",O480,IF(M480="","",IF(Baux!$Q$41="",M480,MIN(M480,ROUND(L480*(1+Baux!$Q$41/100)^IF(Baux!$P$41="Base fixe",C480*Baux!$O$41,VALUE(LEFT(F480,4))-VALUE(LEFT(H480,4))),2))))))</f>
        <v/>
      </c>
      <c r="O480" s="27">
        <f>IF(AD480=0,"",N479)</f>
        <v/>
      </c>
      <c r="P480" s="28">
        <f>IF(OR(N480="",O480=""),"",N480/O480-1)</f>
        <v/>
      </c>
      <c r="Q480" s="27">
        <f>IF(N480="","",N480/12)</f>
        <v/>
      </c>
      <c r="R480" s="27">
        <f>IF(N480="","",N480/IF(Baux!$L$41="Mensuelle",12,IF(Baux!$L$41="Trimestrielle",4,IF(Baux!$L$41="Semestrielle",2,1))))</f>
        <v/>
      </c>
      <c r="S480" s="27">
        <f>IF(AD480=0,"",IF(Baux!$J$41="",0,Baux!$J$41)/IF(Baux!$L$41="Mensuelle",12,IF(Baux!$L$41="Trimestrielle",4,IF(Baux!$L$41="Semestrielle",2,1))))</f>
        <v/>
      </c>
      <c r="T480" s="27">
        <f>IF(R480="","",(R480+S480)*Baux!$K$41/100)</f>
        <v/>
      </c>
      <c r="U480" s="27">
        <f>IF(R480="","",R480+S480+T480)</f>
        <v/>
      </c>
      <c r="V480" s="17">
        <f>IF(AD480=0,"",IF(LEFT(K480,5)="Geler","❄ Gelée",IF(G480="",IF(D480&lt;=TODAY(),"⚠ Indice attendu","À venir"),IF(D480&lt;=TODAY(),"✔ Calculable","Indice connu – à venir"))))</f>
        <v/>
      </c>
      <c r="W480" s="29" t="n"/>
      <c r="X480" s="13" t="n"/>
      <c r="Y480" s="14" t="n"/>
      <c r="Z480" s="14" t="n"/>
      <c r="AA480" s="13" t="n"/>
      <c r="AB480" s="17">
        <f>IF(A480="","",A480&amp;"#"&amp;C480)</f>
        <v/>
      </c>
      <c r="AC480" s="17">
        <f>IF(AND(AD480=1,D480&lt;=TODAY(),N480&lt;&gt;""),1,0)</f>
        <v/>
      </c>
      <c r="AD480" s="17">
        <f>IF(OR(A480="",D480=""),0,IF(AND(ISNUMBER(Baux!$H$41),D480&gt;Baux!$H$41),0,1))</f>
        <v/>
      </c>
    </row>
    <row r="481">
      <c r="A481" s="17">
        <f>IF(Baux!$A$41="","",Baux!$A$41)</f>
        <v/>
      </c>
      <c r="B481" s="17">
        <f>IF(A481="","",Baux!$B$41)</f>
        <v/>
      </c>
      <c r="C481" s="17" t="n">
        <v>12</v>
      </c>
      <c r="D481" s="15">
        <f>IF(OR(A481="",Baux!$F$41="",Baux!$O$41=""),"",EDATE(Baux!$F$41,12*Baux!$O$41*C481))</f>
        <v/>
      </c>
      <c r="E481" s="17">
        <f>IF(AD481=0,"",Baux!$M$41)</f>
        <v/>
      </c>
      <c r="F481" s="17">
        <f>IF(AD481=0,"",IFERROR(TEXT(VALUE(LEFT(Baux!$N$41,4))+C481*Baux!$O$41,"0")&amp;RIGHT(Baux!$N$41,3),""))</f>
        <v/>
      </c>
      <c r="G481" s="25">
        <f>IF(AD481=0,"",IF(F481="","",IF(SUMIFS(Indices_long!$C:$C,Indices_long!$A:$A,E481,Indices_long!$B:$B,F481)=0,"",SUMIFS(Indices_long!$C:$C,Indices_long!$A:$A,E481,Indices_long!$B:$B,F481))))</f>
        <v/>
      </c>
      <c r="H481" s="17">
        <f>IF(AD481=0,"",IF(Baux!$P$41="Base fixe",Baux!$N$41,IF(K480="Geler – rattrapage possible",H480,F480)))</f>
        <v/>
      </c>
      <c r="I481" s="25">
        <f>IF(AD481=0,"",IF(H481="","",IF(SUMIFS(Indices_long!$C:$C,Indices_long!$A:$A,E481,Indices_long!$B:$B,H481)=0,"",SUMIFS(Indices_long!$C:$C,Indices_long!$A:$A,E481,Indices_long!$B:$B,H481))))</f>
        <v/>
      </c>
      <c r="J481" s="26">
        <f>IF(OR(G481="",I481=""),"",G481/I481)</f>
        <v/>
      </c>
      <c r="K481" s="13" t="n"/>
      <c r="L481" s="27">
        <f>IF(AD481=0,"",IF(Baux!$P$41="Base fixe",Baux!$I$41,N480))</f>
        <v/>
      </c>
      <c r="M481" s="27">
        <f>IF(OR(J481="",L481=""),"",ROUND(L481*J481,2))</f>
        <v/>
      </c>
      <c r="N481" s="27">
        <f>IF(AD481=0,"",IF(LEFT(K481,5)="Geler",O481,IF(M481="","",IF(Baux!$Q$41="",M481,MIN(M481,ROUND(L481*(1+Baux!$Q$41/100)^IF(Baux!$P$41="Base fixe",C481*Baux!$O$41,VALUE(LEFT(F481,4))-VALUE(LEFT(H481,4))),2))))))</f>
        <v/>
      </c>
      <c r="O481" s="27">
        <f>IF(AD481=0,"",N480)</f>
        <v/>
      </c>
      <c r="P481" s="28">
        <f>IF(OR(N481="",O481=""),"",N481/O481-1)</f>
        <v/>
      </c>
      <c r="Q481" s="27">
        <f>IF(N481="","",N481/12)</f>
        <v/>
      </c>
      <c r="R481" s="27">
        <f>IF(N481="","",N481/IF(Baux!$L$41="Mensuelle",12,IF(Baux!$L$41="Trimestrielle",4,IF(Baux!$L$41="Semestrielle",2,1))))</f>
        <v/>
      </c>
      <c r="S481" s="27">
        <f>IF(AD481=0,"",IF(Baux!$J$41="",0,Baux!$J$41)/IF(Baux!$L$41="Mensuelle",12,IF(Baux!$L$41="Trimestrielle",4,IF(Baux!$L$41="Semestrielle",2,1))))</f>
        <v/>
      </c>
      <c r="T481" s="27">
        <f>IF(R481="","",(R481+S481)*Baux!$K$41/100)</f>
        <v/>
      </c>
      <c r="U481" s="27">
        <f>IF(R481="","",R481+S481+T481)</f>
        <v/>
      </c>
      <c r="V481" s="17">
        <f>IF(AD481=0,"",IF(LEFT(K481,5)="Geler","❄ Gelée",IF(G481="",IF(D481&lt;=TODAY(),"⚠ Indice attendu","À venir"),IF(D481&lt;=TODAY(),"✔ Calculable","Indice connu – à venir"))))</f>
        <v/>
      </c>
      <c r="W481" s="29" t="n"/>
      <c r="X481" s="13" t="n"/>
      <c r="Y481" s="14" t="n"/>
      <c r="Z481" s="14" t="n"/>
      <c r="AA481" s="13" t="n"/>
      <c r="AB481" s="17">
        <f>IF(A481="","",A481&amp;"#"&amp;C481)</f>
        <v/>
      </c>
      <c r="AC481" s="17">
        <f>IF(AND(AD481=1,D481&lt;=TODAY(),N481&lt;&gt;""),1,0)</f>
        <v/>
      </c>
      <c r="AD481" s="17">
        <f>IF(OR(A481="",D481=""),0,IF(AND(ISNUMBER(Baux!$H$41),D481&gt;Baux!$H$41),0,1))</f>
        <v/>
      </c>
    </row>
  </sheetData>
  <autoFilter ref="A1:AD481"/>
  <conditionalFormatting sqref="V2:V481">
    <cfRule type="expression" priority="1" dxfId="1">
      <formula>LEFT(V2,1)="⚠"</formula>
    </cfRule>
    <cfRule type="expression" priority="2" dxfId="2">
      <formula>AND(LEFT(V2,1)="✔",X2&lt;&gt;"Oui")</formula>
    </cfRule>
    <cfRule type="expression" priority="3" dxfId="3">
      <formula>AND(LEFT(V2,1)="✔",X2="Oui")</formula>
    </cfRule>
    <cfRule type="expression" priority="4" dxfId="4">
      <formula>LEFT(V2,1)="❄"</formula>
    </cfRule>
  </conditionalFormatting>
  <conditionalFormatting sqref="A2:AA481">
    <cfRule type="expression" priority="5" dxfId="5">
      <formula>AND($A2&lt;&gt;"",$AD2=0)</formula>
    </cfRule>
  </conditionalFormatting>
  <dataValidations count="2">
    <dataValidation sqref="X2:X481" showDropDown="0" showInputMessage="0" showErrorMessage="0" allowBlank="1" type="list">
      <formula1>"Oui,Non"</formula1>
    </dataValidation>
    <dataValidation sqref="K2:K481" showDropDown="0" showInputMessage="1" showErrorMessage="0" allowBlank="1" promptTitle="Décision du bailleur" prompt="Vide ou Appliquer = révision appliquée. Geler = loyer inchangé ; « rattrapage possible » repart de l'indice de la dernière révision appliquée." type="list">
      <formula1>"Appliquer,Geler – sans rattrapage,Geler – rattrapage possible"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22" customWidth="1" min="3" max="3"/>
    <col width="6" customWidth="1" min="4" max="4"/>
    <col width="13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9" customWidth="1" min="11" max="11"/>
    <col width="13" customWidth="1" min="12" max="12"/>
    <col width="8" customWidth="1" min="13" max="13"/>
    <col width="34" customWidth="1" min="14" max="14"/>
    <col width="40" customWidth="1" min="15" max="15"/>
  </cols>
  <sheetData>
    <row r="1" ht="42" customHeight="1">
      <c r="A1" s="12" t="inlineStr">
        <is>
          <t>ID bail</t>
        </is>
      </c>
      <c r="B1" s="12" t="inlineStr">
        <is>
          <t>Local</t>
        </is>
      </c>
      <c r="C1" s="12" t="inlineStr">
        <is>
          <t>Locataire</t>
        </is>
      </c>
      <c r="D1" s="12" t="inlineStr">
        <is>
          <t>Indice</t>
        </is>
      </c>
      <c r="E1" s="12" t="inlineStr">
        <is>
          <t>Loyer initial annuel HT</t>
        </is>
      </c>
      <c r="F1" s="12" t="inlineStr">
        <is>
          <t>N° dernière révision effective</t>
        </is>
      </c>
      <c r="G1" s="12" t="inlineStr">
        <is>
          <t>Loyer actuel (annuel HT)</t>
        </is>
      </c>
      <c r="H1" s="12" t="inlineStr">
        <is>
          <t>Loyer actuel mensuel HT</t>
        </is>
      </c>
      <c r="I1" s="12" t="inlineStr">
        <is>
          <t>Prochaine révision</t>
        </is>
      </c>
      <c r="J1" s="12" t="inlineStr">
        <is>
          <t>Trimestre attendu</t>
        </is>
      </c>
      <c r="K1" s="12" t="inlineStr">
        <is>
          <t>Indice publié ?</t>
        </is>
      </c>
      <c r="L1" s="12" t="inlineStr">
        <is>
          <t>Révisions calculables non appliquées</t>
        </is>
      </c>
      <c r="M1" s="12" t="inlineStr">
        <is>
          <t>Révisions gelées</t>
        </is>
      </c>
      <c r="N1" s="12" t="inlineStr">
        <is>
          <t>Action</t>
        </is>
      </c>
      <c r="O1" s="12" t="inlineStr">
        <is>
          <t>Consigne prochaine révision</t>
        </is>
      </c>
    </row>
    <row r="2">
      <c r="A2" s="17">
        <f>IF(Baux!$A$2="","",Baux!$A$2)</f>
        <v/>
      </c>
      <c r="B2" s="17">
        <f>IF(A2="","",Baux!$B$2)</f>
        <v/>
      </c>
      <c r="C2" s="17">
        <f>IF(A2="","",Baux!$C$2)</f>
        <v/>
      </c>
      <c r="D2" s="17">
        <f>IF(A2="","",Baux!$M$2)</f>
        <v/>
      </c>
      <c r="E2" s="27">
        <f>IF(A2="","",Baux!$I$2)</f>
        <v/>
      </c>
      <c r="F2" s="17">
        <f>IF(A2="","",_xlfn.MAXIFS(Révisions!$C:$C,Révisions!$A:$A,A2,Révisions!$AC:$AC,1))</f>
        <v/>
      </c>
      <c r="G2" s="27">
        <f>IF(A2="","",IF(F2=0,E2,SUMIFS(Révisions!$N:$N,Révisions!$A:$A,A2,Révisions!$C:$C,F2)))</f>
        <v/>
      </c>
      <c r="H2" s="27">
        <f>IF(A2="","",G2/12)</f>
        <v/>
      </c>
      <c r="I2" s="15">
        <f>IF(A2="","",IF(_xlfn.MINIFS(Révisions!$D:$D,Révisions!$A:$A,A2,Révisions!$AD:$AD,1,Révisions!$D:$D,"&gt;"&amp;TODAY())=0,"—",_xlfn.MINIFS(Révisions!$D:$D,Révisions!$A:$A,A2,Révisions!$AD:$AD,1,Révisions!$D:$D,"&gt;"&amp;TODAY())))</f>
        <v/>
      </c>
      <c r="J2" s="17">
        <f>IF(A2="","",IFERROR(INDEX(Révisions!$F:$F,MATCH(A2&amp;"#"&amp;(F2+1),Révisions!$AB:$AB,0))&amp;"","—"))</f>
        <v/>
      </c>
      <c r="K2" s="17">
        <f>IF(A2="","",IF(OR(J2="—",J2=""),"—",IF(SUMIFS(Indices_long!$C:$C,Indices_long!$A:$A,D2,Indices_long!$B:$B,J2)&gt;0,"Oui","Non")))</f>
        <v/>
      </c>
      <c r="L2" s="17">
        <f>IF(A2="","",COUNTIFS(Révisions!$A:$A,A2,Révisions!$V:$V,"✔ Calculable",Révisions!$X:$X,"&lt;&gt;Oui"))</f>
        <v/>
      </c>
      <c r="M2" s="17">
        <f>IF(A2="","",COUNTIFS(Révisions!$A:$A,A2,Révisions!$V:$V,"❄ Gelée"))</f>
        <v/>
      </c>
      <c r="N2" s="17">
        <f>IF(A2="","",IF(L2&gt;0,"⚠ Facturer la révision ("&amp;L2&amp;" en attente)",IF(AND(I2&lt;&gt;"—",I2-TODAY()&lt;=60),IF(K2="Oui","Révision dans "&amp;INT(I2-TODAY())&amp;" j – indice publié","Révision dans "&amp;INT(I2-TODAY())&amp;" j – indice non publié"),"RAS")))</f>
        <v/>
      </c>
      <c r="O2" s="30">
        <f>IF(A2="","",IFERROR(INDEX(Révisions!$W:$W,MATCH(A2&amp;"#"&amp;(F2+1),Révisions!$AB:$AB,0))&amp;"",""))</f>
        <v/>
      </c>
    </row>
    <row r="3">
      <c r="A3" s="17">
        <f>IF(Baux!$A$3="","",Baux!$A$3)</f>
        <v/>
      </c>
      <c r="B3" s="17">
        <f>IF(A3="","",Baux!$B$3)</f>
        <v/>
      </c>
      <c r="C3" s="17">
        <f>IF(A3="","",Baux!$C$3)</f>
        <v/>
      </c>
      <c r="D3" s="17">
        <f>IF(A3="","",Baux!$M$3)</f>
        <v/>
      </c>
      <c r="E3" s="27">
        <f>IF(A3="","",Baux!$I$3)</f>
        <v/>
      </c>
      <c r="F3" s="17">
        <f>IF(A3="","",_xlfn.MAXIFS(Révisions!$C:$C,Révisions!$A:$A,A3,Révisions!$AC:$AC,1))</f>
        <v/>
      </c>
      <c r="G3" s="27">
        <f>IF(A3="","",IF(F3=0,E3,SUMIFS(Révisions!$N:$N,Révisions!$A:$A,A3,Révisions!$C:$C,F3)))</f>
        <v/>
      </c>
      <c r="H3" s="27">
        <f>IF(A3="","",G3/12)</f>
        <v/>
      </c>
      <c r="I3" s="15">
        <f>IF(A3="","",IF(_xlfn.MINIFS(Révisions!$D:$D,Révisions!$A:$A,A3,Révisions!$AD:$AD,1,Révisions!$D:$D,"&gt;"&amp;TODAY())=0,"—",_xlfn.MINIFS(Révisions!$D:$D,Révisions!$A:$A,A3,Révisions!$AD:$AD,1,Révisions!$D:$D,"&gt;"&amp;TODAY())))</f>
        <v/>
      </c>
      <c r="J3" s="17">
        <f>IF(A3="","",IFERROR(INDEX(Révisions!$F:$F,MATCH(A3&amp;"#"&amp;(F3+1),Révisions!$AB:$AB,0))&amp;"","—"))</f>
        <v/>
      </c>
      <c r="K3" s="17">
        <f>IF(A3="","",IF(OR(J3="—",J3=""),"—",IF(SUMIFS(Indices_long!$C:$C,Indices_long!$A:$A,D3,Indices_long!$B:$B,J3)&gt;0,"Oui","Non")))</f>
        <v/>
      </c>
      <c r="L3" s="17">
        <f>IF(A3="","",COUNTIFS(Révisions!$A:$A,A3,Révisions!$V:$V,"✔ Calculable",Révisions!$X:$X,"&lt;&gt;Oui"))</f>
        <v/>
      </c>
      <c r="M3" s="17">
        <f>IF(A3="","",COUNTIFS(Révisions!$A:$A,A3,Révisions!$V:$V,"❄ Gelée"))</f>
        <v/>
      </c>
      <c r="N3" s="17">
        <f>IF(A3="","",IF(L3&gt;0,"⚠ Facturer la révision ("&amp;L3&amp;" en attente)",IF(AND(I3&lt;&gt;"—",I3-TODAY()&lt;=60),IF(K3="Oui","Révision dans "&amp;INT(I3-TODAY())&amp;" j – indice publié","Révision dans "&amp;INT(I3-TODAY())&amp;" j – indice non publié"),"RAS")))</f>
        <v/>
      </c>
      <c r="O3" s="30">
        <f>IF(A3="","",IFERROR(INDEX(Révisions!$W:$W,MATCH(A3&amp;"#"&amp;(F3+1),Révisions!$AB:$AB,0))&amp;"",""))</f>
        <v/>
      </c>
    </row>
    <row r="4">
      <c r="A4" s="17">
        <f>IF(Baux!$A$4="","",Baux!$A$4)</f>
        <v/>
      </c>
      <c r="B4" s="17">
        <f>IF(A4="","",Baux!$B$4)</f>
        <v/>
      </c>
      <c r="C4" s="17">
        <f>IF(A4="","",Baux!$C$4)</f>
        <v/>
      </c>
      <c r="D4" s="17">
        <f>IF(A4="","",Baux!$M$4)</f>
        <v/>
      </c>
      <c r="E4" s="27">
        <f>IF(A4="","",Baux!$I$4)</f>
        <v/>
      </c>
      <c r="F4" s="17">
        <f>IF(A4="","",_xlfn.MAXIFS(Révisions!$C:$C,Révisions!$A:$A,A4,Révisions!$AC:$AC,1))</f>
        <v/>
      </c>
      <c r="G4" s="27">
        <f>IF(A4="","",IF(F4=0,E4,SUMIFS(Révisions!$N:$N,Révisions!$A:$A,A4,Révisions!$C:$C,F4)))</f>
        <v/>
      </c>
      <c r="H4" s="27">
        <f>IF(A4="","",G4/12)</f>
        <v/>
      </c>
      <c r="I4" s="15">
        <f>IF(A4="","",IF(_xlfn.MINIFS(Révisions!$D:$D,Révisions!$A:$A,A4,Révisions!$AD:$AD,1,Révisions!$D:$D,"&gt;"&amp;TODAY())=0,"—",_xlfn.MINIFS(Révisions!$D:$D,Révisions!$A:$A,A4,Révisions!$AD:$AD,1,Révisions!$D:$D,"&gt;"&amp;TODAY())))</f>
        <v/>
      </c>
      <c r="J4" s="17">
        <f>IF(A4="","",IFERROR(INDEX(Révisions!$F:$F,MATCH(A4&amp;"#"&amp;(F4+1),Révisions!$AB:$AB,0))&amp;"","—"))</f>
        <v/>
      </c>
      <c r="K4" s="17">
        <f>IF(A4="","",IF(OR(J4="—",J4=""),"—",IF(SUMIFS(Indices_long!$C:$C,Indices_long!$A:$A,D4,Indices_long!$B:$B,J4)&gt;0,"Oui","Non")))</f>
        <v/>
      </c>
      <c r="L4" s="17">
        <f>IF(A4="","",COUNTIFS(Révisions!$A:$A,A4,Révisions!$V:$V,"✔ Calculable",Révisions!$X:$X,"&lt;&gt;Oui"))</f>
        <v/>
      </c>
      <c r="M4" s="17">
        <f>IF(A4="","",COUNTIFS(Révisions!$A:$A,A4,Révisions!$V:$V,"❄ Gelée"))</f>
        <v/>
      </c>
      <c r="N4" s="17">
        <f>IF(A4="","",IF(L4&gt;0,"⚠ Facturer la révision ("&amp;L4&amp;" en attente)",IF(AND(I4&lt;&gt;"—",I4-TODAY()&lt;=60),IF(K4="Oui","Révision dans "&amp;INT(I4-TODAY())&amp;" j – indice publié","Révision dans "&amp;INT(I4-TODAY())&amp;" j – indice non publié"),"RAS")))</f>
        <v/>
      </c>
      <c r="O4" s="30">
        <f>IF(A4="","",IFERROR(INDEX(Révisions!$W:$W,MATCH(A4&amp;"#"&amp;(F4+1),Révisions!$AB:$AB,0))&amp;"",""))</f>
        <v/>
      </c>
    </row>
    <row r="5">
      <c r="A5" s="17">
        <f>IF(Baux!$A$5="","",Baux!$A$5)</f>
        <v/>
      </c>
      <c r="B5" s="17">
        <f>IF(A5="","",Baux!$B$5)</f>
        <v/>
      </c>
      <c r="C5" s="17">
        <f>IF(A5="","",Baux!$C$5)</f>
        <v/>
      </c>
      <c r="D5" s="17">
        <f>IF(A5="","",Baux!$M$5)</f>
        <v/>
      </c>
      <c r="E5" s="27">
        <f>IF(A5="","",Baux!$I$5)</f>
        <v/>
      </c>
      <c r="F5" s="17">
        <f>IF(A5="","",_xlfn.MAXIFS(Révisions!$C:$C,Révisions!$A:$A,A5,Révisions!$AC:$AC,1))</f>
        <v/>
      </c>
      <c r="G5" s="27">
        <f>IF(A5="","",IF(F5=0,E5,SUMIFS(Révisions!$N:$N,Révisions!$A:$A,A5,Révisions!$C:$C,F5)))</f>
        <v/>
      </c>
      <c r="H5" s="27">
        <f>IF(A5="","",G5/12)</f>
        <v/>
      </c>
      <c r="I5" s="15">
        <f>IF(A5="","",IF(_xlfn.MINIFS(Révisions!$D:$D,Révisions!$A:$A,A5,Révisions!$AD:$AD,1,Révisions!$D:$D,"&gt;"&amp;TODAY())=0,"—",_xlfn.MINIFS(Révisions!$D:$D,Révisions!$A:$A,A5,Révisions!$AD:$AD,1,Révisions!$D:$D,"&gt;"&amp;TODAY())))</f>
        <v/>
      </c>
      <c r="J5" s="17">
        <f>IF(A5="","",IFERROR(INDEX(Révisions!$F:$F,MATCH(A5&amp;"#"&amp;(F5+1),Révisions!$AB:$AB,0))&amp;"","—"))</f>
        <v/>
      </c>
      <c r="K5" s="17">
        <f>IF(A5="","",IF(OR(J5="—",J5=""),"—",IF(SUMIFS(Indices_long!$C:$C,Indices_long!$A:$A,D5,Indices_long!$B:$B,J5)&gt;0,"Oui","Non")))</f>
        <v/>
      </c>
      <c r="L5" s="17">
        <f>IF(A5="","",COUNTIFS(Révisions!$A:$A,A5,Révisions!$V:$V,"✔ Calculable",Révisions!$X:$X,"&lt;&gt;Oui"))</f>
        <v/>
      </c>
      <c r="M5" s="17">
        <f>IF(A5="","",COUNTIFS(Révisions!$A:$A,A5,Révisions!$V:$V,"❄ Gelée"))</f>
        <v/>
      </c>
      <c r="N5" s="17">
        <f>IF(A5="","",IF(L5&gt;0,"⚠ Facturer la révision ("&amp;L5&amp;" en attente)",IF(AND(I5&lt;&gt;"—",I5-TODAY()&lt;=60),IF(K5="Oui","Révision dans "&amp;INT(I5-TODAY())&amp;" j – indice publié","Révision dans "&amp;INT(I5-TODAY())&amp;" j – indice non publié"),"RAS")))</f>
        <v/>
      </c>
      <c r="O5" s="30">
        <f>IF(A5="","",IFERROR(INDEX(Révisions!$W:$W,MATCH(A5&amp;"#"&amp;(F5+1),Révisions!$AB:$AB,0))&amp;"",""))</f>
        <v/>
      </c>
    </row>
    <row r="6">
      <c r="A6" s="17">
        <f>IF(Baux!$A$6="","",Baux!$A$6)</f>
        <v/>
      </c>
      <c r="B6" s="17">
        <f>IF(A6="","",Baux!$B$6)</f>
        <v/>
      </c>
      <c r="C6" s="17">
        <f>IF(A6="","",Baux!$C$6)</f>
        <v/>
      </c>
      <c r="D6" s="17">
        <f>IF(A6="","",Baux!$M$6)</f>
        <v/>
      </c>
      <c r="E6" s="27">
        <f>IF(A6="","",Baux!$I$6)</f>
        <v/>
      </c>
      <c r="F6" s="17">
        <f>IF(A6="","",_xlfn.MAXIFS(Révisions!$C:$C,Révisions!$A:$A,A6,Révisions!$AC:$AC,1))</f>
        <v/>
      </c>
      <c r="G6" s="27">
        <f>IF(A6="","",IF(F6=0,E6,SUMIFS(Révisions!$N:$N,Révisions!$A:$A,A6,Révisions!$C:$C,F6)))</f>
        <v/>
      </c>
      <c r="H6" s="27">
        <f>IF(A6="","",G6/12)</f>
        <v/>
      </c>
      <c r="I6" s="15">
        <f>IF(A6="","",IF(_xlfn.MINIFS(Révisions!$D:$D,Révisions!$A:$A,A6,Révisions!$AD:$AD,1,Révisions!$D:$D,"&gt;"&amp;TODAY())=0,"—",_xlfn.MINIFS(Révisions!$D:$D,Révisions!$A:$A,A6,Révisions!$AD:$AD,1,Révisions!$D:$D,"&gt;"&amp;TODAY())))</f>
        <v/>
      </c>
      <c r="J6" s="17">
        <f>IF(A6="","",IFERROR(INDEX(Révisions!$F:$F,MATCH(A6&amp;"#"&amp;(F6+1),Révisions!$AB:$AB,0))&amp;"","—"))</f>
        <v/>
      </c>
      <c r="K6" s="17">
        <f>IF(A6="","",IF(OR(J6="—",J6=""),"—",IF(SUMIFS(Indices_long!$C:$C,Indices_long!$A:$A,D6,Indices_long!$B:$B,J6)&gt;0,"Oui","Non")))</f>
        <v/>
      </c>
      <c r="L6" s="17">
        <f>IF(A6="","",COUNTIFS(Révisions!$A:$A,A6,Révisions!$V:$V,"✔ Calculable",Révisions!$X:$X,"&lt;&gt;Oui"))</f>
        <v/>
      </c>
      <c r="M6" s="17">
        <f>IF(A6="","",COUNTIFS(Révisions!$A:$A,A6,Révisions!$V:$V,"❄ Gelée"))</f>
        <v/>
      </c>
      <c r="N6" s="17">
        <f>IF(A6="","",IF(L6&gt;0,"⚠ Facturer la révision ("&amp;L6&amp;" en attente)",IF(AND(I6&lt;&gt;"—",I6-TODAY()&lt;=60),IF(K6="Oui","Révision dans "&amp;INT(I6-TODAY())&amp;" j – indice publié","Révision dans "&amp;INT(I6-TODAY())&amp;" j – indice non publié"),"RAS")))</f>
        <v/>
      </c>
      <c r="O6" s="30">
        <f>IF(A6="","",IFERROR(INDEX(Révisions!$W:$W,MATCH(A6&amp;"#"&amp;(F6+1),Révisions!$AB:$AB,0))&amp;"",""))</f>
        <v/>
      </c>
    </row>
    <row r="7">
      <c r="A7" s="17">
        <f>IF(Baux!$A$7="","",Baux!$A$7)</f>
        <v/>
      </c>
      <c r="B7" s="17">
        <f>IF(A7="","",Baux!$B$7)</f>
        <v/>
      </c>
      <c r="C7" s="17">
        <f>IF(A7="","",Baux!$C$7)</f>
        <v/>
      </c>
      <c r="D7" s="17">
        <f>IF(A7="","",Baux!$M$7)</f>
        <v/>
      </c>
      <c r="E7" s="27">
        <f>IF(A7="","",Baux!$I$7)</f>
        <v/>
      </c>
      <c r="F7" s="17">
        <f>IF(A7="","",_xlfn.MAXIFS(Révisions!$C:$C,Révisions!$A:$A,A7,Révisions!$AC:$AC,1))</f>
        <v/>
      </c>
      <c r="G7" s="27">
        <f>IF(A7="","",IF(F7=0,E7,SUMIFS(Révisions!$N:$N,Révisions!$A:$A,A7,Révisions!$C:$C,F7)))</f>
        <v/>
      </c>
      <c r="H7" s="27">
        <f>IF(A7="","",G7/12)</f>
        <v/>
      </c>
      <c r="I7" s="15">
        <f>IF(A7="","",IF(_xlfn.MINIFS(Révisions!$D:$D,Révisions!$A:$A,A7,Révisions!$AD:$AD,1,Révisions!$D:$D,"&gt;"&amp;TODAY())=0,"—",_xlfn.MINIFS(Révisions!$D:$D,Révisions!$A:$A,A7,Révisions!$AD:$AD,1,Révisions!$D:$D,"&gt;"&amp;TODAY())))</f>
        <v/>
      </c>
      <c r="J7" s="17">
        <f>IF(A7="","",IFERROR(INDEX(Révisions!$F:$F,MATCH(A7&amp;"#"&amp;(F7+1),Révisions!$AB:$AB,0))&amp;"","—"))</f>
        <v/>
      </c>
      <c r="K7" s="17">
        <f>IF(A7="","",IF(OR(J7="—",J7=""),"—",IF(SUMIFS(Indices_long!$C:$C,Indices_long!$A:$A,D7,Indices_long!$B:$B,J7)&gt;0,"Oui","Non")))</f>
        <v/>
      </c>
      <c r="L7" s="17">
        <f>IF(A7="","",COUNTIFS(Révisions!$A:$A,A7,Révisions!$V:$V,"✔ Calculable",Révisions!$X:$X,"&lt;&gt;Oui"))</f>
        <v/>
      </c>
      <c r="M7" s="17">
        <f>IF(A7="","",COUNTIFS(Révisions!$A:$A,A7,Révisions!$V:$V,"❄ Gelée"))</f>
        <v/>
      </c>
      <c r="N7" s="17">
        <f>IF(A7="","",IF(L7&gt;0,"⚠ Facturer la révision ("&amp;L7&amp;" en attente)",IF(AND(I7&lt;&gt;"—",I7-TODAY()&lt;=60),IF(K7="Oui","Révision dans "&amp;INT(I7-TODAY())&amp;" j – indice publié","Révision dans "&amp;INT(I7-TODAY())&amp;" j – indice non publié"),"RAS")))</f>
        <v/>
      </c>
      <c r="O7" s="30">
        <f>IF(A7="","",IFERROR(INDEX(Révisions!$W:$W,MATCH(A7&amp;"#"&amp;(F7+1),Révisions!$AB:$AB,0))&amp;"",""))</f>
        <v/>
      </c>
    </row>
    <row r="8">
      <c r="A8" s="17">
        <f>IF(Baux!$A$8="","",Baux!$A$8)</f>
        <v/>
      </c>
      <c r="B8" s="17">
        <f>IF(A8="","",Baux!$B$8)</f>
        <v/>
      </c>
      <c r="C8" s="17">
        <f>IF(A8="","",Baux!$C$8)</f>
        <v/>
      </c>
      <c r="D8" s="17">
        <f>IF(A8="","",Baux!$M$8)</f>
        <v/>
      </c>
      <c r="E8" s="27">
        <f>IF(A8="","",Baux!$I$8)</f>
        <v/>
      </c>
      <c r="F8" s="17">
        <f>IF(A8="","",_xlfn.MAXIFS(Révisions!$C:$C,Révisions!$A:$A,A8,Révisions!$AC:$AC,1))</f>
        <v/>
      </c>
      <c r="G8" s="27">
        <f>IF(A8="","",IF(F8=0,E8,SUMIFS(Révisions!$N:$N,Révisions!$A:$A,A8,Révisions!$C:$C,F8)))</f>
        <v/>
      </c>
      <c r="H8" s="27">
        <f>IF(A8="","",G8/12)</f>
        <v/>
      </c>
      <c r="I8" s="15">
        <f>IF(A8="","",IF(_xlfn.MINIFS(Révisions!$D:$D,Révisions!$A:$A,A8,Révisions!$AD:$AD,1,Révisions!$D:$D,"&gt;"&amp;TODAY())=0,"—",_xlfn.MINIFS(Révisions!$D:$D,Révisions!$A:$A,A8,Révisions!$AD:$AD,1,Révisions!$D:$D,"&gt;"&amp;TODAY())))</f>
        <v/>
      </c>
      <c r="J8" s="17">
        <f>IF(A8="","",IFERROR(INDEX(Révisions!$F:$F,MATCH(A8&amp;"#"&amp;(F8+1),Révisions!$AB:$AB,0))&amp;"","—"))</f>
        <v/>
      </c>
      <c r="K8" s="17">
        <f>IF(A8="","",IF(OR(J8="—",J8=""),"—",IF(SUMIFS(Indices_long!$C:$C,Indices_long!$A:$A,D8,Indices_long!$B:$B,J8)&gt;0,"Oui","Non")))</f>
        <v/>
      </c>
      <c r="L8" s="17">
        <f>IF(A8="","",COUNTIFS(Révisions!$A:$A,A8,Révisions!$V:$V,"✔ Calculable",Révisions!$X:$X,"&lt;&gt;Oui"))</f>
        <v/>
      </c>
      <c r="M8" s="17">
        <f>IF(A8="","",COUNTIFS(Révisions!$A:$A,A8,Révisions!$V:$V,"❄ Gelée"))</f>
        <v/>
      </c>
      <c r="N8" s="17">
        <f>IF(A8="","",IF(L8&gt;0,"⚠ Facturer la révision ("&amp;L8&amp;" en attente)",IF(AND(I8&lt;&gt;"—",I8-TODAY()&lt;=60),IF(K8="Oui","Révision dans "&amp;INT(I8-TODAY())&amp;" j – indice publié","Révision dans "&amp;INT(I8-TODAY())&amp;" j – indice non publié"),"RAS")))</f>
        <v/>
      </c>
      <c r="O8" s="30">
        <f>IF(A8="","",IFERROR(INDEX(Révisions!$W:$W,MATCH(A8&amp;"#"&amp;(F8+1),Révisions!$AB:$AB,0))&amp;"",""))</f>
        <v/>
      </c>
    </row>
    <row r="9">
      <c r="A9" s="17">
        <f>IF(Baux!$A$9="","",Baux!$A$9)</f>
        <v/>
      </c>
      <c r="B9" s="17">
        <f>IF(A9="","",Baux!$B$9)</f>
        <v/>
      </c>
      <c r="C9" s="17">
        <f>IF(A9="","",Baux!$C$9)</f>
        <v/>
      </c>
      <c r="D9" s="17">
        <f>IF(A9="","",Baux!$M$9)</f>
        <v/>
      </c>
      <c r="E9" s="27">
        <f>IF(A9="","",Baux!$I$9)</f>
        <v/>
      </c>
      <c r="F9" s="17">
        <f>IF(A9="","",_xlfn.MAXIFS(Révisions!$C:$C,Révisions!$A:$A,A9,Révisions!$AC:$AC,1))</f>
        <v/>
      </c>
      <c r="G9" s="27">
        <f>IF(A9="","",IF(F9=0,E9,SUMIFS(Révisions!$N:$N,Révisions!$A:$A,A9,Révisions!$C:$C,F9)))</f>
        <v/>
      </c>
      <c r="H9" s="27">
        <f>IF(A9="","",G9/12)</f>
        <v/>
      </c>
      <c r="I9" s="15">
        <f>IF(A9="","",IF(_xlfn.MINIFS(Révisions!$D:$D,Révisions!$A:$A,A9,Révisions!$AD:$AD,1,Révisions!$D:$D,"&gt;"&amp;TODAY())=0,"—",_xlfn.MINIFS(Révisions!$D:$D,Révisions!$A:$A,A9,Révisions!$AD:$AD,1,Révisions!$D:$D,"&gt;"&amp;TODAY())))</f>
        <v/>
      </c>
      <c r="J9" s="17">
        <f>IF(A9="","",IFERROR(INDEX(Révisions!$F:$F,MATCH(A9&amp;"#"&amp;(F9+1),Révisions!$AB:$AB,0))&amp;"","—"))</f>
        <v/>
      </c>
      <c r="K9" s="17">
        <f>IF(A9="","",IF(OR(J9="—",J9=""),"—",IF(SUMIFS(Indices_long!$C:$C,Indices_long!$A:$A,D9,Indices_long!$B:$B,J9)&gt;0,"Oui","Non")))</f>
        <v/>
      </c>
      <c r="L9" s="17">
        <f>IF(A9="","",COUNTIFS(Révisions!$A:$A,A9,Révisions!$V:$V,"✔ Calculable",Révisions!$X:$X,"&lt;&gt;Oui"))</f>
        <v/>
      </c>
      <c r="M9" s="17">
        <f>IF(A9="","",COUNTIFS(Révisions!$A:$A,A9,Révisions!$V:$V,"❄ Gelée"))</f>
        <v/>
      </c>
      <c r="N9" s="17">
        <f>IF(A9="","",IF(L9&gt;0,"⚠ Facturer la révision ("&amp;L9&amp;" en attente)",IF(AND(I9&lt;&gt;"—",I9-TODAY()&lt;=60),IF(K9="Oui","Révision dans "&amp;INT(I9-TODAY())&amp;" j – indice publié","Révision dans "&amp;INT(I9-TODAY())&amp;" j – indice non publié"),"RAS")))</f>
        <v/>
      </c>
      <c r="O9" s="30">
        <f>IF(A9="","",IFERROR(INDEX(Révisions!$W:$W,MATCH(A9&amp;"#"&amp;(F9+1),Révisions!$AB:$AB,0))&amp;"",""))</f>
        <v/>
      </c>
    </row>
    <row r="10">
      <c r="A10" s="17">
        <f>IF(Baux!$A$10="","",Baux!$A$10)</f>
        <v/>
      </c>
      <c r="B10" s="17">
        <f>IF(A10="","",Baux!$B$10)</f>
        <v/>
      </c>
      <c r="C10" s="17">
        <f>IF(A10="","",Baux!$C$10)</f>
        <v/>
      </c>
      <c r="D10" s="17">
        <f>IF(A10="","",Baux!$M$10)</f>
        <v/>
      </c>
      <c r="E10" s="27">
        <f>IF(A10="","",Baux!$I$10)</f>
        <v/>
      </c>
      <c r="F10" s="17">
        <f>IF(A10="","",_xlfn.MAXIFS(Révisions!$C:$C,Révisions!$A:$A,A10,Révisions!$AC:$AC,1))</f>
        <v/>
      </c>
      <c r="G10" s="27">
        <f>IF(A10="","",IF(F10=0,E10,SUMIFS(Révisions!$N:$N,Révisions!$A:$A,A10,Révisions!$C:$C,F10)))</f>
        <v/>
      </c>
      <c r="H10" s="27">
        <f>IF(A10="","",G10/12)</f>
        <v/>
      </c>
      <c r="I10" s="15">
        <f>IF(A10="","",IF(_xlfn.MINIFS(Révisions!$D:$D,Révisions!$A:$A,A10,Révisions!$AD:$AD,1,Révisions!$D:$D,"&gt;"&amp;TODAY())=0,"—",_xlfn.MINIFS(Révisions!$D:$D,Révisions!$A:$A,A10,Révisions!$AD:$AD,1,Révisions!$D:$D,"&gt;"&amp;TODAY())))</f>
        <v/>
      </c>
      <c r="J10" s="17">
        <f>IF(A10="","",IFERROR(INDEX(Révisions!$F:$F,MATCH(A10&amp;"#"&amp;(F10+1),Révisions!$AB:$AB,0))&amp;"","—"))</f>
        <v/>
      </c>
      <c r="K10" s="17">
        <f>IF(A10="","",IF(OR(J10="—",J10=""),"—",IF(SUMIFS(Indices_long!$C:$C,Indices_long!$A:$A,D10,Indices_long!$B:$B,J10)&gt;0,"Oui","Non")))</f>
        <v/>
      </c>
      <c r="L10" s="17">
        <f>IF(A10="","",COUNTIFS(Révisions!$A:$A,A10,Révisions!$V:$V,"✔ Calculable",Révisions!$X:$X,"&lt;&gt;Oui"))</f>
        <v/>
      </c>
      <c r="M10" s="17">
        <f>IF(A10="","",COUNTIFS(Révisions!$A:$A,A10,Révisions!$V:$V,"❄ Gelée"))</f>
        <v/>
      </c>
      <c r="N10" s="17">
        <f>IF(A10="","",IF(L10&gt;0,"⚠ Facturer la révision ("&amp;L10&amp;" en attente)",IF(AND(I10&lt;&gt;"—",I10-TODAY()&lt;=60),IF(K10="Oui","Révision dans "&amp;INT(I10-TODAY())&amp;" j – indice publié","Révision dans "&amp;INT(I10-TODAY())&amp;" j – indice non publié"),"RAS")))</f>
        <v/>
      </c>
      <c r="O10" s="30">
        <f>IF(A10="","",IFERROR(INDEX(Révisions!$W:$W,MATCH(A10&amp;"#"&amp;(F10+1),Révisions!$AB:$AB,0))&amp;"",""))</f>
        <v/>
      </c>
    </row>
    <row r="11">
      <c r="A11" s="17">
        <f>IF(Baux!$A$11="","",Baux!$A$11)</f>
        <v/>
      </c>
      <c r="B11" s="17">
        <f>IF(A11="","",Baux!$B$11)</f>
        <v/>
      </c>
      <c r="C11" s="17">
        <f>IF(A11="","",Baux!$C$11)</f>
        <v/>
      </c>
      <c r="D11" s="17">
        <f>IF(A11="","",Baux!$M$11)</f>
        <v/>
      </c>
      <c r="E11" s="27">
        <f>IF(A11="","",Baux!$I$11)</f>
        <v/>
      </c>
      <c r="F11" s="17">
        <f>IF(A11="","",_xlfn.MAXIFS(Révisions!$C:$C,Révisions!$A:$A,A11,Révisions!$AC:$AC,1))</f>
        <v/>
      </c>
      <c r="G11" s="27">
        <f>IF(A11="","",IF(F11=0,E11,SUMIFS(Révisions!$N:$N,Révisions!$A:$A,A11,Révisions!$C:$C,F11)))</f>
        <v/>
      </c>
      <c r="H11" s="27">
        <f>IF(A11="","",G11/12)</f>
        <v/>
      </c>
      <c r="I11" s="15">
        <f>IF(A11="","",IF(_xlfn.MINIFS(Révisions!$D:$D,Révisions!$A:$A,A11,Révisions!$AD:$AD,1,Révisions!$D:$D,"&gt;"&amp;TODAY())=0,"—",_xlfn.MINIFS(Révisions!$D:$D,Révisions!$A:$A,A11,Révisions!$AD:$AD,1,Révisions!$D:$D,"&gt;"&amp;TODAY())))</f>
        <v/>
      </c>
      <c r="J11" s="17">
        <f>IF(A11="","",IFERROR(INDEX(Révisions!$F:$F,MATCH(A11&amp;"#"&amp;(F11+1),Révisions!$AB:$AB,0))&amp;"","—"))</f>
        <v/>
      </c>
      <c r="K11" s="17">
        <f>IF(A11="","",IF(OR(J11="—",J11=""),"—",IF(SUMIFS(Indices_long!$C:$C,Indices_long!$A:$A,D11,Indices_long!$B:$B,J11)&gt;0,"Oui","Non")))</f>
        <v/>
      </c>
      <c r="L11" s="17">
        <f>IF(A11="","",COUNTIFS(Révisions!$A:$A,A11,Révisions!$V:$V,"✔ Calculable",Révisions!$X:$X,"&lt;&gt;Oui"))</f>
        <v/>
      </c>
      <c r="M11" s="17">
        <f>IF(A11="","",COUNTIFS(Révisions!$A:$A,A11,Révisions!$V:$V,"❄ Gelée"))</f>
        <v/>
      </c>
      <c r="N11" s="17">
        <f>IF(A11="","",IF(L11&gt;0,"⚠ Facturer la révision ("&amp;L11&amp;" en attente)",IF(AND(I11&lt;&gt;"—",I11-TODAY()&lt;=60),IF(K11="Oui","Révision dans "&amp;INT(I11-TODAY())&amp;" j – indice publié","Révision dans "&amp;INT(I11-TODAY())&amp;" j – indice non publié"),"RAS")))</f>
        <v/>
      </c>
      <c r="O11" s="30">
        <f>IF(A11="","",IFERROR(INDEX(Révisions!$W:$W,MATCH(A11&amp;"#"&amp;(F11+1),Révisions!$AB:$AB,0))&amp;"",""))</f>
        <v/>
      </c>
    </row>
    <row r="12">
      <c r="A12" s="17">
        <f>IF(Baux!$A$12="","",Baux!$A$12)</f>
        <v/>
      </c>
      <c r="B12" s="17">
        <f>IF(A12="","",Baux!$B$12)</f>
        <v/>
      </c>
      <c r="C12" s="17">
        <f>IF(A12="","",Baux!$C$12)</f>
        <v/>
      </c>
      <c r="D12" s="17">
        <f>IF(A12="","",Baux!$M$12)</f>
        <v/>
      </c>
      <c r="E12" s="27">
        <f>IF(A12="","",Baux!$I$12)</f>
        <v/>
      </c>
      <c r="F12" s="17">
        <f>IF(A12="","",_xlfn.MAXIFS(Révisions!$C:$C,Révisions!$A:$A,A12,Révisions!$AC:$AC,1))</f>
        <v/>
      </c>
      <c r="G12" s="27">
        <f>IF(A12="","",IF(F12=0,E12,SUMIFS(Révisions!$N:$N,Révisions!$A:$A,A12,Révisions!$C:$C,F12)))</f>
        <v/>
      </c>
      <c r="H12" s="27">
        <f>IF(A12="","",G12/12)</f>
        <v/>
      </c>
      <c r="I12" s="15">
        <f>IF(A12="","",IF(_xlfn.MINIFS(Révisions!$D:$D,Révisions!$A:$A,A12,Révisions!$AD:$AD,1,Révisions!$D:$D,"&gt;"&amp;TODAY())=0,"—",_xlfn.MINIFS(Révisions!$D:$D,Révisions!$A:$A,A12,Révisions!$AD:$AD,1,Révisions!$D:$D,"&gt;"&amp;TODAY())))</f>
        <v/>
      </c>
      <c r="J12" s="17">
        <f>IF(A12="","",IFERROR(INDEX(Révisions!$F:$F,MATCH(A12&amp;"#"&amp;(F12+1),Révisions!$AB:$AB,0))&amp;"","—"))</f>
        <v/>
      </c>
      <c r="K12" s="17">
        <f>IF(A12="","",IF(OR(J12="—",J12=""),"—",IF(SUMIFS(Indices_long!$C:$C,Indices_long!$A:$A,D12,Indices_long!$B:$B,J12)&gt;0,"Oui","Non")))</f>
        <v/>
      </c>
      <c r="L12" s="17">
        <f>IF(A12="","",COUNTIFS(Révisions!$A:$A,A12,Révisions!$V:$V,"✔ Calculable",Révisions!$X:$X,"&lt;&gt;Oui"))</f>
        <v/>
      </c>
      <c r="M12" s="17">
        <f>IF(A12="","",COUNTIFS(Révisions!$A:$A,A12,Révisions!$V:$V,"❄ Gelée"))</f>
        <v/>
      </c>
      <c r="N12" s="17">
        <f>IF(A12="","",IF(L12&gt;0,"⚠ Facturer la révision ("&amp;L12&amp;" en attente)",IF(AND(I12&lt;&gt;"—",I12-TODAY()&lt;=60),IF(K12="Oui","Révision dans "&amp;INT(I12-TODAY())&amp;" j – indice publié","Révision dans "&amp;INT(I12-TODAY())&amp;" j – indice non publié"),"RAS")))</f>
        <v/>
      </c>
      <c r="O12" s="30">
        <f>IF(A12="","",IFERROR(INDEX(Révisions!$W:$W,MATCH(A12&amp;"#"&amp;(F12+1),Révisions!$AB:$AB,0))&amp;"",""))</f>
        <v/>
      </c>
    </row>
    <row r="13">
      <c r="A13" s="17">
        <f>IF(Baux!$A$13="","",Baux!$A$13)</f>
        <v/>
      </c>
      <c r="B13" s="17">
        <f>IF(A13="","",Baux!$B$13)</f>
        <v/>
      </c>
      <c r="C13" s="17">
        <f>IF(A13="","",Baux!$C$13)</f>
        <v/>
      </c>
      <c r="D13" s="17">
        <f>IF(A13="","",Baux!$M$13)</f>
        <v/>
      </c>
      <c r="E13" s="27">
        <f>IF(A13="","",Baux!$I$13)</f>
        <v/>
      </c>
      <c r="F13" s="17">
        <f>IF(A13="","",_xlfn.MAXIFS(Révisions!$C:$C,Révisions!$A:$A,A13,Révisions!$AC:$AC,1))</f>
        <v/>
      </c>
      <c r="G13" s="27">
        <f>IF(A13="","",IF(F13=0,E13,SUMIFS(Révisions!$N:$N,Révisions!$A:$A,A13,Révisions!$C:$C,F13)))</f>
        <v/>
      </c>
      <c r="H13" s="27">
        <f>IF(A13="","",G13/12)</f>
        <v/>
      </c>
      <c r="I13" s="15">
        <f>IF(A13="","",IF(_xlfn.MINIFS(Révisions!$D:$D,Révisions!$A:$A,A13,Révisions!$AD:$AD,1,Révisions!$D:$D,"&gt;"&amp;TODAY())=0,"—",_xlfn.MINIFS(Révisions!$D:$D,Révisions!$A:$A,A13,Révisions!$AD:$AD,1,Révisions!$D:$D,"&gt;"&amp;TODAY())))</f>
        <v/>
      </c>
      <c r="J13" s="17">
        <f>IF(A13="","",IFERROR(INDEX(Révisions!$F:$F,MATCH(A13&amp;"#"&amp;(F13+1),Révisions!$AB:$AB,0))&amp;"","—"))</f>
        <v/>
      </c>
      <c r="K13" s="17">
        <f>IF(A13="","",IF(OR(J13="—",J13=""),"—",IF(SUMIFS(Indices_long!$C:$C,Indices_long!$A:$A,D13,Indices_long!$B:$B,J13)&gt;0,"Oui","Non")))</f>
        <v/>
      </c>
      <c r="L13" s="17">
        <f>IF(A13="","",COUNTIFS(Révisions!$A:$A,A13,Révisions!$V:$V,"✔ Calculable",Révisions!$X:$X,"&lt;&gt;Oui"))</f>
        <v/>
      </c>
      <c r="M13" s="17">
        <f>IF(A13="","",COUNTIFS(Révisions!$A:$A,A13,Révisions!$V:$V,"❄ Gelée"))</f>
        <v/>
      </c>
      <c r="N13" s="17">
        <f>IF(A13="","",IF(L13&gt;0,"⚠ Facturer la révision ("&amp;L13&amp;" en attente)",IF(AND(I13&lt;&gt;"—",I13-TODAY()&lt;=60),IF(K13="Oui","Révision dans "&amp;INT(I13-TODAY())&amp;" j – indice publié","Révision dans "&amp;INT(I13-TODAY())&amp;" j – indice non publié"),"RAS")))</f>
        <v/>
      </c>
      <c r="O13" s="30">
        <f>IF(A13="","",IFERROR(INDEX(Révisions!$W:$W,MATCH(A13&amp;"#"&amp;(F13+1),Révisions!$AB:$AB,0))&amp;"",""))</f>
        <v/>
      </c>
    </row>
    <row r="14">
      <c r="A14" s="17">
        <f>IF(Baux!$A$14="","",Baux!$A$14)</f>
        <v/>
      </c>
      <c r="B14" s="17">
        <f>IF(A14="","",Baux!$B$14)</f>
        <v/>
      </c>
      <c r="C14" s="17">
        <f>IF(A14="","",Baux!$C$14)</f>
        <v/>
      </c>
      <c r="D14" s="17">
        <f>IF(A14="","",Baux!$M$14)</f>
        <v/>
      </c>
      <c r="E14" s="27">
        <f>IF(A14="","",Baux!$I$14)</f>
        <v/>
      </c>
      <c r="F14" s="17">
        <f>IF(A14="","",_xlfn.MAXIFS(Révisions!$C:$C,Révisions!$A:$A,A14,Révisions!$AC:$AC,1))</f>
        <v/>
      </c>
      <c r="G14" s="27">
        <f>IF(A14="","",IF(F14=0,E14,SUMIFS(Révisions!$N:$N,Révisions!$A:$A,A14,Révisions!$C:$C,F14)))</f>
        <v/>
      </c>
      <c r="H14" s="27">
        <f>IF(A14="","",G14/12)</f>
        <v/>
      </c>
      <c r="I14" s="15">
        <f>IF(A14="","",IF(_xlfn.MINIFS(Révisions!$D:$D,Révisions!$A:$A,A14,Révisions!$AD:$AD,1,Révisions!$D:$D,"&gt;"&amp;TODAY())=0,"—",_xlfn.MINIFS(Révisions!$D:$D,Révisions!$A:$A,A14,Révisions!$AD:$AD,1,Révisions!$D:$D,"&gt;"&amp;TODAY())))</f>
        <v/>
      </c>
      <c r="J14" s="17">
        <f>IF(A14="","",IFERROR(INDEX(Révisions!$F:$F,MATCH(A14&amp;"#"&amp;(F14+1),Révisions!$AB:$AB,0))&amp;"","—"))</f>
        <v/>
      </c>
      <c r="K14" s="17">
        <f>IF(A14="","",IF(OR(J14="—",J14=""),"—",IF(SUMIFS(Indices_long!$C:$C,Indices_long!$A:$A,D14,Indices_long!$B:$B,J14)&gt;0,"Oui","Non")))</f>
        <v/>
      </c>
      <c r="L14" s="17">
        <f>IF(A14="","",COUNTIFS(Révisions!$A:$A,A14,Révisions!$V:$V,"✔ Calculable",Révisions!$X:$X,"&lt;&gt;Oui"))</f>
        <v/>
      </c>
      <c r="M14" s="17">
        <f>IF(A14="","",COUNTIFS(Révisions!$A:$A,A14,Révisions!$V:$V,"❄ Gelée"))</f>
        <v/>
      </c>
      <c r="N14" s="17">
        <f>IF(A14="","",IF(L14&gt;0,"⚠ Facturer la révision ("&amp;L14&amp;" en attente)",IF(AND(I14&lt;&gt;"—",I14-TODAY()&lt;=60),IF(K14="Oui","Révision dans "&amp;INT(I14-TODAY())&amp;" j – indice publié","Révision dans "&amp;INT(I14-TODAY())&amp;" j – indice non publié"),"RAS")))</f>
        <v/>
      </c>
      <c r="O14" s="30">
        <f>IF(A14="","",IFERROR(INDEX(Révisions!$W:$W,MATCH(A14&amp;"#"&amp;(F14+1),Révisions!$AB:$AB,0))&amp;"",""))</f>
        <v/>
      </c>
    </row>
    <row r="15">
      <c r="A15" s="17">
        <f>IF(Baux!$A$15="","",Baux!$A$15)</f>
        <v/>
      </c>
      <c r="B15" s="17">
        <f>IF(A15="","",Baux!$B$15)</f>
        <v/>
      </c>
      <c r="C15" s="17">
        <f>IF(A15="","",Baux!$C$15)</f>
        <v/>
      </c>
      <c r="D15" s="17">
        <f>IF(A15="","",Baux!$M$15)</f>
        <v/>
      </c>
      <c r="E15" s="27">
        <f>IF(A15="","",Baux!$I$15)</f>
        <v/>
      </c>
      <c r="F15" s="17">
        <f>IF(A15="","",_xlfn.MAXIFS(Révisions!$C:$C,Révisions!$A:$A,A15,Révisions!$AC:$AC,1))</f>
        <v/>
      </c>
      <c r="G15" s="27">
        <f>IF(A15="","",IF(F15=0,E15,SUMIFS(Révisions!$N:$N,Révisions!$A:$A,A15,Révisions!$C:$C,F15)))</f>
        <v/>
      </c>
      <c r="H15" s="27">
        <f>IF(A15="","",G15/12)</f>
        <v/>
      </c>
      <c r="I15" s="15">
        <f>IF(A15="","",IF(_xlfn.MINIFS(Révisions!$D:$D,Révisions!$A:$A,A15,Révisions!$AD:$AD,1,Révisions!$D:$D,"&gt;"&amp;TODAY())=0,"—",_xlfn.MINIFS(Révisions!$D:$D,Révisions!$A:$A,A15,Révisions!$AD:$AD,1,Révisions!$D:$D,"&gt;"&amp;TODAY())))</f>
        <v/>
      </c>
      <c r="J15" s="17">
        <f>IF(A15="","",IFERROR(INDEX(Révisions!$F:$F,MATCH(A15&amp;"#"&amp;(F15+1),Révisions!$AB:$AB,0))&amp;"","—"))</f>
        <v/>
      </c>
      <c r="K15" s="17">
        <f>IF(A15="","",IF(OR(J15="—",J15=""),"—",IF(SUMIFS(Indices_long!$C:$C,Indices_long!$A:$A,D15,Indices_long!$B:$B,J15)&gt;0,"Oui","Non")))</f>
        <v/>
      </c>
      <c r="L15" s="17">
        <f>IF(A15="","",COUNTIFS(Révisions!$A:$A,A15,Révisions!$V:$V,"✔ Calculable",Révisions!$X:$X,"&lt;&gt;Oui"))</f>
        <v/>
      </c>
      <c r="M15" s="17">
        <f>IF(A15="","",COUNTIFS(Révisions!$A:$A,A15,Révisions!$V:$V,"❄ Gelée"))</f>
        <v/>
      </c>
      <c r="N15" s="17">
        <f>IF(A15="","",IF(L15&gt;0,"⚠ Facturer la révision ("&amp;L15&amp;" en attente)",IF(AND(I15&lt;&gt;"—",I15-TODAY()&lt;=60),IF(K15="Oui","Révision dans "&amp;INT(I15-TODAY())&amp;" j – indice publié","Révision dans "&amp;INT(I15-TODAY())&amp;" j – indice non publié"),"RAS")))</f>
        <v/>
      </c>
      <c r="O15" s="30">
        <f>IF(A15="","",IFERROR(INDEX(Révisions!$W:$W,MATCH(A15&amp;"#"&amp;(F15+1),Révisions!$AB:$AB,0))&amp;"",""))</f>
        <v/>
      </c>
    </row>
    <row r="16">
      <c r="A16" s="17">
        <f>IF(Baux!$A$16="","",Baux!$A$16)</f>
        <v/>
      </c>
      <c r="B16" s="17">
        <f>IF(A16="","",Baux!$B$16)</f>
        <v/>
      </c>
      <c r="C16" s="17">
        <f>IF(A16="","",Baux!$C$16)</f>
        <v/>
      </c>
      <c r="D16" s="17">
        <f>IF(A16="","",Baux!$M$16)</f>
        <v/>
      </c>
      <c r="E16" s="27">
        <f>IF(A16="","",Baux!$I$16)</f>
        <v/>
      </c>
      <c r="F16" s="17">
        <f>IF(A16="","",_xlfn.MAXIFS(Révisions!$C:$C,Révisions!$A:$A,A16,Révisions!$AC:$AC,1))</f>
        <v/>
      </c>
      <c r="G16" s="27">
        <f>IF(A16="","",IF(F16=0,E16,SUMIFS(Révisions!$N:$N,Révisions!$A:$A,A16,Révisions!$C:$C,F16)))</f>
        <v/>
      </c>
      <c r="H16" s="27">
        <f>IF(A16="","",G16/12)</f>
        <v/>
      </c>
      <c r="I16" s="15">
        <f>IF(A16="","",IF(_xlfn.MINIFS(Révisions!$D:$D,Révisions!$A:$A,A16,Révisions!$AD:$AD,1,Révisions!$D:$D,"&gt;"&amp;TODAY())=0,"—",_xlfn.MINIFS(Révisions!$D:$D,Révisions!$A:$A,A16,Révisions!$AD:$AD,1,Révisions!$D:$D,"&gt;"&amp;TODAY())))</f>
        <v/>
      </c>
      <c r="J16" s="17">
        <f>IF(A16="","",IFERROR(INDEX(Révisions!$F:$F,MATCH(A16&amp;"#"&amp;(F16+1),Révisions!$AB:$AB,0))&amp;"","—"))</f>
        <v/>
      </c>
      <c r="K16" s="17">
        <f>IF(A16="","",IF(OR(J16="—",J16=""),"—",IF(SUMIFS(Indices_long!$C:$C,Indices_long!$A:$A,D16,Indices_long!$B:$B,J16)&gt;0,"Oui","Non")))</f>
        <v/>
      </c>
      <c r="L16" s="17">
        <f>IF(A16="","",COUNTIFS(Révisions!$A:$A,A16,Révisions!$V:$V,"✔ Calculable",Révisions!$X:$X,"&lt;&gt;Oui"))</f>
        <v/>
      </c>
      <c r="M16" s="17">
        <f>IF(A16="","",COUNTIFS(Révisions!$A:$A,A16,Révisions!$V:$V,"❄ Gelée"))</f>
        <v/>
      </c>
      <c r="N16" s="17">
        <f>IF(A16="","",IF(L16&gt;0,"⚠ Facturer la révision ("&amp;L16&amp;" en attente)",IF(AND(I16&lt;&gt;"—",I16-TODAY()&lt;=60),IF(K16="Oui","Révision dans "&amp;INT(I16-TODAY())&amp;" j – indice publié","Révision dans "&amp;INT(I16-TODAY())&amp;" j – indice non publié"),"RAS")))</f>
        <v/>
      </c>
      <c r="O16" s="30">
        <f>IF(A16="","",IFERROR(INDEX(Révisions!$W:$W,MATCH(A16&amp;"#"&amp;(F16+1),Révisions!$AB:$AB,0))&amp;"",""))</f>
        <v/>
      </c>
    </row>
    <row r="17">
      <c r="A17" s="17">
        <f>IF(Baux!$A$17="","",Baux!$A$17)</f>
        <v/>
      </c>
      <c r="B17" s="17">
        <f>IF(A17="","",Baux!$B$17)</f>
        <v/>
      </c>
      <c r="C17" s="17">
        <f>IF(A17="","",Baux!$C$17)</f>
        <v/>
      </c>
      <c r="D17" s="17">
        <f>IF(A17="","",Baux!$M$17)</f>
        <v/>
      </c>
      <c r="E17" s="27">
        <f>IF(A17="","",Baux!$I$17)</f>
        <v/>
      </c>
      <c r="F17" s="17">
        <f>IF(A17="","",_xlfn.MAXIFS(Révisions!$C:$C,Révisions!$A:$A,A17,Révisions!$AC:$AC,1))</f>
        <v/>
      </c>
      <c r="G17" s="27">
        <f>IF(A17="","",IF(F17=0,E17,SUMIFS(Révisions!$N:$N,Révisions!$A:$A,A17,Révisions!$C:$C,F17)))</f>
        <v/>
      </c>
      <c r="H17" s="27">
        <f>IF(A17="","",G17/12)</f>
        <v/>
      </c>
      <c r="I17" s="15">
        <f>IF(A17="","",IF(_xlfn.MINIFS(Révisions!$D:$D,Révisions!$A:$A,A17,Révisions!$AD:$AD,1,Révisions!$D:$D,"&gt;"&amp;TODAY())=0,"—",_xlfn.MINIFS(Révisions!$D:$D,Révisions!$A:$A,A17,Révisions!$AD:$AD,1,Révisions!$D:$D,"&gt;"&amp;TODAY())))</f>
        <v/>
      </c>
      <c r="J17" s="17">
        <f>IF(A17="","",IFERROR(INDEX(Révisions!$F:$F,MATCH(A17&amp;"#"&amp;(F17+1),Révisions!$AB:$AB,0))&amp;"","—"))</f>
        <v/>
      </c>
      <c r="K17" s="17">
        <f>IF(A17="","",IF(OR(J17="—",J17=""),"—",IF(SUMIFS(Indices_long!$C:$C,Indices_long!$A:$A,D17,Indices_long!$B:$B,J17)&gt;0,"Oui","Non")))</f>
        <v/>
      </c>
      <c r="L17" s="17">
        <f>IF(A17="","",COUNTIFS(Révisions!$A:$A,A17,Révisions!$V:$V,"✔ Calculable",Révisions!$X:$X,"&lt;&gt;Oui"))</f>
        <v/>
      </c>
      <c r="M17" s="17">
        <f>IF(A17="","",COUNTIFS(Révisions!$A:$A,A17,Révisions!$V:$V,"❄ Gelée"))</f>
        <v/>
      </c>
      <c r="N17" s="17">
        <f>IF(A17="","",IF(L17&gt;0,"⚠ Facturer la révision ("&amp;L17&amp;" en attente)",IF(AND(I17&lt;&gt;"—",I17-TODAY()&lt;=60),IF(K17="Oui","Révision dans "&amp;INT(I17-TODAY())&amp;" j – indice publié","Révision dans "&amp;INT(I17-TODAY())&amp;" j – indice non publié"),"RAS")))</f>
        <v/>
      </c>
      <c r="O17" s="30">
        <f>IF(A17="","",IFERROR(INDEX(Révisions!$W:$W,MATCH(A17&amp;"#"&amp;(F17+1),Révisions!$AB:$AB,0))&amp;"",""))</f>
        <v/>
      </c>
    </row>
    <row r="18">
      <c r="A18" s="17">
        <f>IF(Baux!$A$18="","",Baux!$A$18)</f>
        <v/>
      </c>
      <c r="B18" s="17">
        <f>IF(A18="","",Baux!$B$18)</f>
        <v/>
      </c>
      <c r="C18" s="17">
        <f>IF(A18="","",Baux!$C$18)</f>
        <v/>
      </c>
      <c r="D18" s="17">
        <f>IF(A18="","",Baux!$M$18)</f>
        <v/>
      </c>
      <c r="E18" s="27">
        <f>IF(A18="","",Baux!$I$18)</f>
        <v/>
      </c>
      <c r="F18" s="17">
        <f>IF(A18="","",_xlfn.MAXIFS(Révisions!$C:$C,Révisions!$A:$A,A18,Révisions!$AC:$AC,1))</f>
        <v/>
      </c>
      <c r="G18" s="27">
        <f>IF(A18="","",IF(F18=0,E18,SUMIFS(Révisions!$N:$N,Révisions!$A:$A,A18,Révisions!$C:$C,F18)))</f>
        <v/>
      </c>
      <c r="H18" s="27">
        <f>IF(A18="","",G18/12)</f>
        <v/>
      </c>
      <c r="I18" s="15">
        <f>IF(A18="","",IF(_xlfn.MINIFS(Révisions!$D:$D,Révisions!$A:$A,A18,Révisions!$AD:$AD,1,Révisions!$D:$D,"&gt;"&amp;TODAY())=0,"—",_xlfn.MINIFS(Révisions!$D:$D,Révisions!$A:$A,A18,Révisions!$AD:$AD,1,Révisions!$D:$D,"&gt;"&amp;TODAY())))</f>
        <v/>
      </c>
      <c r="J18" s="17">
        <f>IF(A18="","",IFERROR(INDEX(Révisions!$F:$F,MATCH(A18&amp;"#"&amp;(F18+1),Révisions!$AB:$AB,0))&amp;"","—"))</f>
        <v/>
      </c>
      <c r="K18" s="17">
        <f>IF(A18="","",IF(OR(J18="—",J18=""),"—",IF(SUMIFS(Indices_long!$C:$C,Indices_long!$A:$A,D18,Indices_long!$B:$B,J18)&gt;0,"Oui","Non")))</f>
        <v/>
      </c>
      <c r="L18" s="17">
        <f>IF(A18="","",COUNTIFS(Révisions!$A:$A,A18,Révisions!$V:$V,"✔ Calculable",Révisions!$X:$X,"&lt;&gt;Oui"))</f>
        <v/>
      </c>
      <c r="M18" s="17">
        <f>IF(A18="","",COUNTIFS(Révisions!$A:$A,A18,Révisions!$V:$V,"❄ Gelée"))</f>
        <v/>
      </c>
      <c r="N18" s="17">
        <f>IF(A18="","",IF(L18&gt;0,"⚠ Facturer la révision ("&amp;L18&amp;" en attente)",IF(AND(I18&lt;&gt;"—",I18-TODAY()&lt;=60),IF(K18="Oui","Révision dans "&amp;INT(I18-TODAY())&amp;" j – indice publié","Révision dans "&amp;INT(I18-TODAY())&amp;" j – indice non publié"),"RAS")))</f>
        <v/>
      </c>
      <c r="O18" s="30">
        <f>IF(A18="","",IFERROR(INDEX(Révisions!$W:$W,MATCH(A18&amp;"#"&amp;(F18+1),Révisions!$AB:$AB,0))&amp;"",""))</f>
        <v/>
      </c>
    </row>
    <row r="19">
      <c r="A19" s="17">
        <f>IF(Baux!$A$19="","",Baux!$A$19)</f>
        <v/>
      </c>
      <c r="B19" s="17">
        <f>IF(A19="","",Baux!$B$19)</f>
        <v/>
      </c>
      <c r="C19" s="17">
        <f>IF(A19="","",Baux!$C$19)</f>
        <v/>
      </c>
      <c r="D19" s="17">
        <f>IF(A19="","",Baux!$M$19)</f>
        <v/>
      </c>
      <c r="E19" s="27">
        <f>IF(A19="","",Baux!$I$19)</f>
        <v/>
      </c>
      <c r="F19" s="17">
        <f>IF(A19="","",_xlfn.MAXIFS(Révisions!$C:$C,Révisions!$A:$A,A19,Révisions!$AC:$AC,1))</f>
        <v/>
      </c>
      <c r="G19" s="27">
        <f>IF(A19="","",IF(F19=0,E19,SUMIFS(Révisions!$N:$N,Révisions!$A:$A,A19,Révisions!$C:$C,F19)))</f>
        <v/>
      </c>
      <c r="H19" s="27">
        <f>IF(A19="","",G19/12)</f>
        <v/>
      </c>
      <c r="I19" s="15">
        <f>IF(A19="","",IF(_xlfn.MINIFS(Révisions!$D:$D,Révisions!$A:$A,A19,Révisions!$AD:$AD,1,Révisions!$D:$D,"&gt;"&amp;TODAY())=0,"—",_xlfn.MINIFS(Révisions!$D:$D,Révisions!$A:$A,A19,Révisions!$AD:$AD,1,Révisions!$D:$D,"&gt;"&amp;TODAY())))</f>
        <v/>
      </c>
      <c r="J19" s="17">
        <f>IF(A19="","",IFERROR(INDEX(Révisions!$F:$F,MATCH(A19&amp;"#"&amp;(F19+1),Révisions!$AB:$AB,0))&amp;"","—"))</f>
        <v/>
      </c>
      <c r="K19" s="17">
        <f>IF(A19="","",IF(OR(J19="—",J19=""),"—",IF(SUMIFS(Indices_long!$C:$C,Indices_long!$A:$A,D19,Indices_long!$B:$B,J19)&gt;0,"Oui","Non")))</f>
        <v/>
      </c>
      <c r="L19" s="17">
        <f>IF(A19="","",COUNTIFS(Révisions!$A:$A,A19,Révisions!$V:$V,"✔ Calculable",Révisions!$X:$X,"&lt;&gt;Oui"))</f>
        <v/>
      </c>
      <c r="M19" s="17">
        <f>IF(A19="","",COUNTIFS(Révisions!$A:$A,A19,Révisions!$V:$V,"❄ Gelée"))</f>
        <v/>
      </c>
      <c r="N19" s="17">
        <f>IF(A19="","",IF(L19&gt;0,"⚠ Facturer la révision ("&amp;L19&amp;" en attente)",IF(AND(I19&lt;&gt;"—",I19-TODAY()&lt;=60),IF(K19="Oui","Révision dans "&amp;INT(I19-TODAY())&amp;" j – indice publié","Révision dans "&amp;INT(I19-TODAY())&amp;" j – indice non publié"),"RAS")))</f>
        <v/>
      </c>
      <c r="O19" s="30">
        <f>IF(A19="","",IFERROR(INDEX(Révisions!$W:$W,MATCH(A19&amp;"#"&amp;(F19+1),Révisions!$AB:$AB,0))&amp;"",""))</f>
        <v/>
      </c>
    </row>
    <row r="20">
      <c r="A20" s="17">
        <f>IF(Baux!$A$20="","",Baux!$A$20)</f>
        <v/>
      </c>
      <c r="B20" s="17">
        <f>IF(A20="","",Baux!$B$20)</f>
        <v/>
      </c>
      <c r="C20" s="17">
        <f>IF(A20="","",Baux!$C$20)</f>
        <v/>
      </c>
      <c r="D20" s="17">
        <f>IF(A20="","",Baux!$M$20)</f>
        <v/>
      </c>
      <c r="E20" s="27">
        <f>IF(A20="","",Baux!$I$20)</f>
        <v/>
      </c>
      <c r="F20" s="17">
        <f>IF(A20="","",_xlfn.MAXIFS(Révisions!$C:$C,Révisions!$A:$A,A20,Révisions!$AC:$AC,1))</f>
        <v/>
      </c>
      <c r="G20" s="27">
        <f>IF(A20="","",IF(F20=0,E20,SUMIFS(Révisions!$N:$N,Révisions!$A:$A,A20,Révisions!$C:$C,F20)))</f>
        <v/>
      </c>
      <c r="H20" s="27">
        <f>IF(A20="","",G20/12)</f>
        <v/>
      </c>
      <c r="I20" s="15">
        <f>IF(A20="","",IF(_xlfn.MINIFS(Révisions!$D:$D,Révisions!$A:$A,A20,Révisions!$AD:$AD,1,Révisions!$D:$D,"&gt;"&amp;TODAY())=0,"—",_xlfn.MINIFS(Révisions!$D:$D,Révisions!$A:$A,A20,Révisions!$AD:$AD,1,Révisions!$D:$D,"&gt;"&amp;TODAY())))</f>
        <v/>
      </c>
      <c r="J20" s="17">
        <f>IF(A20="","",IFERROR(INDEX(Révisions!$F:$F,MATCH(A20&amp;"#"&amp;(F20+1),Révisions!$AB:$AB,0))&amp;"","—"))</f>
        <v/>
      </c>
      <c r="K20" s="17">
        <f>IF(A20="","",IF(OR(J20="—",J20=""),"—",IF(SUMIFS(Indices_long!$C:$C,Indices_long!$A:$A,D20,Indices_long!$B:$B,J20)&gt;0,"Oui","Non")))</f>
        <v/>
      </c>
      <c r="L20" s="17">
        <f>IF(A20="","",COUNTIFS(Révisions!$A:$A,A20,Révisions!$V:$V,"✔ Calculable",Révisions!$X:$X,"&lt;&gt;Oui"))</f>
        <v/>
      </c>
      <c r="M20" s="17">
        <f>IF(A20="","",COUNTIFS(Révisions!$A:$A,A20,Révisions!$V:$V,"❄ Gelée"))</f>
        <v/>
      </c>
      <c r="N20" s="17">
        <f>IF(A20="","",IF(L20&gt;0,"⚠ Facturer la révision ("&amp;L20&amp;" en attente)",IF(AND(I20&lt;&gt;"—",I20-TODAY()&lt;=60),IF(K20="Oui","Révision dans "&amp;INT(I20-TODAY())&amp;" j – indice publié","Révision dans "&amp;INT(I20-TODAY())&amp;" j – indice non publié"),"RAS")))</f>
        <v/>
      </c>
      <c r="O20" s="30">
        <f>IF(A20="","",IFERROR(INDEX(Révisions!$W:$W,MATCH(A20&amp;"#"&amp;(F20+1),Révisions!$AB:$AB,0))&amp;"",""))</f>
        <v/>
      </c>
    </row>
    <row r="21">
      <c r="A21" s="17">
        <f>IF(Baux!$A$21="","",Baux!$A$21)</f>
        <v/>
      </c>
      <c r="B21" s="17">
        <f>IF(A21="","",Baux!$B$21)</f>
        <v/>
      </c>
      <c r="C21" s="17">
        <f>IF(A21="","",Baux!$C$21)</f>
        <v/>
      </c>
      <c r="D21" s="17">
        <f>IF(A21="","",Baux!$M$21)</f>
        <v/>
      </c>
      <c r="E21" s="27">
        <f>IF(A21="","",Baux!$I$21)</f>
        <v/>
      </c>
      <c r="F21" s="17">
        <f>IF(A21="","",_xlfn.MAXIFS(Révisions!$C:$C,Révisions!$A:$A,A21,Révisions!$AC:$AC,1))</f>
        <v/>
      </c>
      <c r="G21" s="27">
        <f>IF(A21="","",IF(F21=0,E21,SUMIFS(Révisions!$N:$N,Révisions!$A:$A,A21,Révisions!$C:$C,F21)))</f>
        <v/>
      </c>
      <c r="H21" s="27">
        <f>IF(A21="","",G21/12)</f>
        <v/>
      </c>
      <c r="I21" s="15">
        <f>IF(A21="","",IF(_xlfn.MINIFS(Révisions!$D:$D,Révisions!$A:$A,A21,Révisions!$AD:$AD,1,Révisions!$D:$D,"&gt;"&amp;TODAY())=0,"—",_xlfn.MINIFS(Révisions!$D:$D,Révisions!$A:$A,A21,Révisions!$AD:$AD,1,Révisions!$D:$D,"&gt;"&amp;TODAY())))</f>
        <v/>
      </c>
      <c r="J21" s="17">
        <f>IF(A21="","",IFERROR(INDEX(Révisions!$F:$F,MATCH(A21&amp;"#"&amp;(F21+1),Révisions!$AB:$AB,0))&amp;"","—"))</f>
        <v/>
      </c>
      <c r="K21" s="17">
        <f>IF(A21="","",IF(OR(J21="—",J21=""),"—",IF(SUMIFS(Indices_long!$C:$C,Indices_long!$A:$A,D21,Indices_long!$B:$B,J21)&gt;0,"Oui","Non")))</f>
        <v/>
      </c>
      <c r="L21" s="17">
        <f>IF(A21="","",COUNTIFS(Révisions!$A:$A,A21,Révisions!$V:$V,"✔ Calculable",Révisions!$X:$X,"&lt;&gt;Oui"))</f>
        <v/>
      </c>
      <c r="M21" s="17">
        <f>IF(A21="","",COUNTIFS(Révisions!$A:$A,A21,Révisions!$V:$V,"❄ Gelée"))</f>
        <v/>
      </c>
      <c r="N21" s="17">
        <f>IF(A21="","",IF(L21&gt;0,"⚠ Facturer la révision ("&amp;L21&amp;" en attente)",IF(AND(I21&lt;&gt;"—",I21-TODAY()&lt;=60),IF(K21="Oui","Révision dans "&amp;INT(I21-TODAY())&amp;" j – indice publié","Révision dans "&amp;INT(I21-TODAY())&amp;" j – indice non publié"),"RAS")))</f>
        <v/>
      </c>
      <c r="O21" s="30">
        <f>IF(A21="","",IFERROR(INDEX(Révisions!$W:$W,MATCH(A21&amp;"#"&amp;(F21+1),Révisions!$AB:$AB,0))&amp;"",""))</f>
        <v/>
      </c>
    </row>
    <row r="22">
      <c r="A22" s="17">
        <f>IF(Baux!$A$22="","",Baux!$A$22)</f>
        <v/>
      </c>
      <c r="B22" s="17">
        <f>IF(A22="","",Baux!$B$22)</f>
        <v/>
      </c>
      <c r="C22" s="17">
        <f>IF(A22="","",Baux!$C$22)</f>
        <v/>
      </c>
      <c r="D22" s="17">
        <f>IF(A22="","",Baux!$M$22)</f>
        <v/>
      </c>
      <c r="E22" s="27">
        <f>IF(A22="","",Baux!$I$22)</f>
        <v/>
      </c>
      <c r="F22" s="17">
        <f>IF(A22="","",_xlfn.MAXIFS(Révisions!$C:$C,Révisions!$A:$A,A22,Révisions!$AC:$AC,1))</f>
        <v/>
      </c>
      <c r="G22" s="27">
        <f>IF(A22="","",IF(F22=0,E22,SUMIFS(Révisions!$N:$N,Révisions!$A:$A,A22,Révisions!$C:$C,F22)))</f>
        <v/>
      </c>
      <c r="H22" s="27">
        <f>IF(A22="","",G22/12)</f>
        <v/>
      </c>
      <c r="I22" s="15">
        <f>IF(A22="","",IF(_xlfn.MINIFS(Révisions!$D:$D,Révisions!$A:$A,A22,Révisions!$AD:$AD,1,Révisions!$D:$D,"&gt;"&amp;TODAY())=0,"—",_xlfn.MINIFS(Révisions!$D:$D,Révisions!$A:$A,A22,Révisions!$AD:$AD,1,Révisions!$D:$D,"&gt;"&amp;TODAY())))</f>
        <v/>
      </c>
      <c r="J22" s="17">
        <f>IF(A22="","",IFERROR(INDEX(Révisions!$F:$F,MATCH(A22&amp;"#"&amp;(F22+1),Révisions!$AB:$AB,0))&amp;"","—"))</f>
        <v/>
      </c>
      <c r="K22" s="17">
        <f>IF(A22="","",IF(OR(J22="—",J22=""),"—",IF(SUMIFS(Indices_long!$C:$C,Indices_long!$A:$A,D22,Indices_long!$B:$B,J22)&gt;0,"Oui","Non")))</f>
        <v/>
      </c>
      <c r="L22" s="17">
        <f>IF(A22="","",COUNTIFS(Révisions!$A:$A,A22,Révisions!$V:$V,"✔ Calculable",Révisions!$X:$X,"&lt;&gt;Oui"))</f>
        <v/>
      </c>
      <c r="M22" s="17">
        <f>IF(A22="","",COUNTIFS(Révisions!$A:$A,A22,Révisions!$V:$V,"❄ Gelée"))</f>
        <v/>
      </c>
      <c r="N22" s="17">
        <f>IF(A22="","",IF(L22&gt;0,"⚠ Facturer la révision ("&amp;L22&amp;" en attente)",IF(AND(I22&lt;&gt;"—",I22-TODAY()&lt;=60),IF(K22="Oui","Révision dans "&amp;INT(I22-TODAY())&amp;" j – indice publié","Révision dans "&amp;INT(I22-TODAY())&amp;" j – indice non publié"),"RAS")))</f>
        <v/>
      </c>
      <c r="O22" s="30">
        <f>IF(A22="","",IFERROR(INDEX(Révisions!$W:$W,MATCH(A22&amp;"#"&amp;(F22+1),Révisions!$AB:$AB,0))&amp;"",""))</f>
        <v/>
      </c>
    </row>
    <row r="23">
      <c r="A23" s="17">
        <f>IF(Baux!$A$23="","",Baux!$A$23)</f>
        <v/>
      </c>
      <c r="B23" s="17">
        <f>IF(A23="","",Baux!$B$23)</f>
        <v/>
      </c>
      <c r="C23" s="17">
        <f>IF(A23="","",Baux!$C$23)</f>
        <v/>
      </c>
      <c r="D23" s="17">
        <f>IF(A23="","",Baux!$M$23)</f>
        <v/>
      </c>
      <c r="E23" s="27">
        <f>IF(A23="","",Baux!$I$23)</f>
        <v/>
      </c>
      <c r="F23" s="17">
        <f>IF(A23="","",_xlfn.MAXIFS(Révisions!$C:$C,Révisions!$A:$A,A23,Révisions!$AC:$AC,1))</f>
        <v/>
      </c>
      <c r="G23" s="27">
        <f>IF(A23="","",IF(F23=0,E23,SUMIFS(Révisions!$N:$N,Révisions!$A:$A,A23,Révisions!$C:$C,F23)))</f>
        <v/>
      </c>
      <c r="H23" s="27">
        <f>IF(A23="","",G23/12)</f>
        <v/>
      </c>
      <c r="I23" s="15">
        <f>IF(A23="","",IF(_xlfn.MINIFS(Révisions!$D:$D,Révisions!$A:$A,A23,Révisions!$AD:$AD,1,Révisions!$D:$D,"&gt;"&amp;TODAY())=0,"—",_xlfn.MINIFS(Révisions!$D:$D,Révisions!$A:$A,A23,Révisions!$AD:$AD,1,Révisions!$D:$D,"&gt;"&amp;TODAY())))</f>
        <v/>
      </c>
      <c r="J23" s="17">
        <f>IF(A23="","",IFERROR(INDEX(Révisions!$F:$F,MATCH(A23&amp;"#"&amp;(F23+1),Révisions!$AB:$AB,0))&amp;"","—"))</f>
        <v/>
      </c>
      <c r="K23" s="17">
        <f>IF(A23="","",IF(OR(J23="—",J23=""),"—",IF(SUMIFS(Indices_long!$C:$C,Indices_long!$A:$A,D23,Indices_long!$B:$B,J23)&gt;0,"Oui","Non")))</f>
        <v/>
      </c>
      <c r="L23" s="17">
        <f>IF(A23="","",COUNTIFS(Révisions!$A:$A,A23,Révisions!$V:$V,"✔ Calculable",Révisions!$X:$X,"&lt;&gt;Oui"))</f>
        <v/>
      </c>
      <c r="M23" s="17">
        <f>IF(A23="","",COUNTIFS(Révisions!$A:$A,A23,Révisions!$V:$V,"❄ Gelée"))</f>
        <v/>
      </c>
      <c r="N23" s="17">
        <f>IF(A23="","",IF(L23&gt;0,"⚠ Facturer la révision ("&amp;L23&amp;" en attente)",IF(AND(I23&lt;&gt;"—",I23-TODAY()&lt;=60),IF(K23="Oui","Révision dans "&amp;INT(I23-TODAY())&amp;" j – indice publié","Révision dans "&amp;INT(I23-TODAY())&amp;" j – indice non publié"),"RAS")))</f>
        <v/>
      </c>
      <c r="O23" s="30">
        <f>IF(A23="","",IFERROR(INDEX(Révisions!$W:$W,MATCH(A23&amp;"#"&amp;(F23+1),Révisions!$AB:$AB,0))&amp;"",""))</f>
        <v/>
      </c>
    </row>
    <row r="24">
      <c r="A24" s="17">
        <f>IF(Baux!$A$24="","",Baux!$A$24)</f>
        <v/>
      </c>
      <c r="B24" s="17">
        <f>IF(A24="","",Baux!$B$24)</f>
        <v/>
      </c>
      <c r="C24" s="17">
        <f>IF(A24="","",Baux!$C$24)</f>
        <v/>
      </c>
      <c r="D24" s="17">
        <f>IF(A24="","",Baux!$M$24)</f>
        <v/>
      </c>
      <c r="E24" s="27">
        <f>IF(A24="","",Baux!$I$24)</f>
        <v/>
      </c>
      <c r="F24" s="17">
        <f>IF(A24="","",_xlfn.MAXIFS(Révisions!$C:$C,Révisions!$A:$A,A24,Révisions!$AC:$AC,1))</f>
        <v/>
      </c>
      <c r="G24" s="27">
        <f>IF(A24="","",IF(F24=0,E24,SUMIFS(Révisions!$N:$N,Révisions!$A:$A,A24,Révisions!$C:$C,F24)))</f>
        <v/>
      </c>
      <c r="H24" s="27">
        <f>IF(A24="","",G24/12)</f>
        <v/>
      </c>
      <c r="I24" s="15">
        <f>IF(A24="","",IF(_xlfn.MINIFS(Révisions!$D:$D,Révisions!$A:$A,A24,Révisions!$AD:$AD,1,Révisions!$D:$D,"&gt;"&amp;TODAY())=0,"—",_xlfn.MINIFS(Révisions!$D:$D,Révisions!$A:$A,A24,Révisions!$AD:$AD,1,Révisions!$D:$D,"&gt;"&amp;TODAY())))</f>
        <v/>
      </c>
      <c r="J24" s="17">
        <f>IF(A24="","",IFERROR(INDEX(Révisions!$F:$F,MATCH(A24&amp;"#"&amp;(F24+1),Révisions!$AB:$AB,0))&amp;"","—"))</f>
        <v/>
      </c>
      <c r="K24" s="17">
        <f>IF(A24="","",IF(OR(J24="—",J24=""),"—",IF(SUMIFS(Indices_long!$C:$C,Indices_long!$A:$A,D24,Indices_long!$B:$B,J24)&gt;0,"Oui","Non")))</f>
        <v/>
      </c>
      <c r="L24" s="17">
        <f>IF(A24="","",COUNTIFS(Révisions!$A:$A,A24,Révisions!$V:$V,"✔ Calculable",Révisions!$X:$X,"&lt;&gt;Oui"))</f>
        <v/>
      </c>
      <c r="M24" s="17">
        <f>IF(A24="","",COUNTIFS(Révisions!$A:$A,A24,Révisions!$V:$V,"❄ Gelée"))</f>
        <v/>
      </c>
      <c r="N24" s="17">
        <f>IF(A24="","",IF(L24&gt;0,"⚠ Facturer la révision ("&amp;L24&amp;" en attente)",IF(AND(I24&lt;&gt;"—",I24-TODAY()&lt;=60),IF(K24="Oui","Révision dans "&amp;INT(I24-TODAY())&amp;" j – indice publié","Révision dans "&amp;INT(I24-TODAY())&amp;" j – indice non publié"),"RAS")))</f>
        <v/>
      </c>
      <c r="O24" s="30">
        <f>IF(A24="","",IFERROR(INDEX(Révisions!$W:$W,MATCH(A24&amp;"#"&amp;(F24+1),Révisions!$AB:$AB,0))&amp;"",""))</f>
        <v/>
      </c>
    </row>
    <row r="25">
      <c r="A25" s="17">
        <f>IF(Baux!$A$25="","",Baux!$A$25)</f>
        <v/>
      </c>
      <c r="B25" s="17">
        <f>IF(A25="","",Baux!$B$25)</f>
        <v/>
      </c>
      <c r="C25" s="17">
        <f>IF(A25="","",Baux!$C$25)</f>
        <v/>
      </c>
      <c r="D25" s="17">
        <f>IF(A25="","",Baux!$M$25)</f>
        <v/>
      </c>
      <c r="E25" s="27">
        <f>IF(A25="","",Baux!$I$25)</f>
        <v/>
      </c>
      <c r="F25" s="17">
        <f>IF(A25="","",_xlfn.MAXIFS(Révisions!$C:$C,Révisions!$A:$A,A25,Révisions!$AC:$AC,1))</f>
        <v/>
      </c>
      <c r="G25" s="27">
        <f>IF(A25="","",IF(F25=0,E25,SUMIFS(Révisions!$N:$N,Révisions!$A:$A,A25,Révisions!$C:$C,F25)))</f>
        <v/>
      </c>
      <c r="H25" s="27">
        <f>IF(A25="","",G25/12)</f>
        <v/>
      </c>
      <c r="I25" s="15">
        <f>IF(A25="","",IF(_xlfn.MINIFS(Révisions!$D:$D,Révisions!$A:$A,A25,Révisions!$AD:$AD,1,Révisions!$D:$D,"&gt;"&amp;TODAY())=0,"—",_xlfn.MINIFS(Révisions!$D:$D,Révisions!$A:$A,A25,Révisions!$AD:$AD,1,Révisions!$D:$D,"&gt;"&amp;TODAY())))</f>
        <v/>
      </c>
      <c r="J25" s="17">
        <f>IF(A25="","",IFERROR(INDEX(Révisions!$F:$F,MATCH(A25&amp;"#"&amp;(F25+1),Révisions!$AB:$AB,0))&amp;"","—"))</f>
        <v/>
      </c>
      <c r="K25" s="17">
        <f>IF(A25="","",IF(OR(J25="—",J25=""),"—",IF(SUMIFS(Indices_long!$C:$C,Indices_long!$A:$A,D25,Indices_long!$B:$B,J25)&gt;0,"Oui","Non")))</f>
        <v/>
      </c>
      <c r="L25" s="17">
        <f>IF(A25="","",COUNTIFS(Révisions!$A:$A,A25,Révisions!$V:$V,"✔ Calculable",Révisions!$X:$X,"&lt;&gt;Oui"))</f>
        <v/>
      </c>
      <c r="M25" s="17">
        <f>IF(A25="","",COUNTIFS(Révisions!$A:$A,A25,Révisions!$V:$V,"❄ Gelée"))</f>
        <v/>
      </c>
      <c r="N25" s="17">
        <f>IF(A25="","",IF(L25&gt;0,"⚠ Facturer la révision ("&amp;L25&amp;" en attente)",IF(AND(I25&lt;&gt;"—",I25-TODAY()&lt;=60),IF(K25="Oui","Révision dans "&amp;INT(I25-TODAY())&amp;" j – indice publié","Révision dans "&amp;INT(I25-TODAY())&amp;" j – indice non publié"),"RAS")))</f>
        <v/>
      </c>
      <c r="O25" s="30">
        <f>IF(A25="","",IFERROR(INDEX(Révisions!$W:$W,MATCH(A25&amp;"#"&amp;(F25+1),Révisions!$AB:$AB,0))&amp;"",""))</f>
        <v/>
      </c>
    </row>
    <row r="26">
      <c r="A26" s="17">
        <f>IF(Baux!$A$26="","",Baux!$A$26)</f>
        <v/>
      </c>
      <c r="B26" s="17">
        <f>IF(A26="","",Baux!$B$26)</f>
        <v/>
      </c>
      <c r="C26" s="17">
        <f>IF(A26="","",Baux!$C$26)</f>
        <v/>
      </c>
      <c r="D26" s="17">
        <f>IF(A26="","",Baux!$M$26)</f>
        <v/>
      </c>
      <c r="E26" s="27">
        <f>IF(A26="","",Baux!$I$26)</f>
        <v/>
      </c>
      <c r="F26" s="17">
        <f>IF(A26="","",_xlfn.MAXIFS(Révisions!$C:$C,Révisions!$A:$A,A26,Révisions!$AC:$AC,1))</f>
        <v/>
      </c>
      <c r="G26" s="27">
        <f>IF(A26="","",IF(F26=0,E26,SUMIFS(Révisions!$N:$N,Révisions!$A:$A,A26,Révisions!$C:$C,F26)))</f>
        <v/>
      </c>
      <c r="H26" s="27">
        <f>IF(A26="","",G26/12)</f>
        <v/>
      </c>
      <c r="I26" s="15">
        <f>IF(A26="","",IF(_xlfn.MINIFS(Révisions!$D:$D,Révisions!$A:$A,A26,Révisions!$AD:$AD,1,Révisions!$D:$D,"&gt;"&amp;TODAY())=0,"—",_xlfn.MINIFS(Révisions!$D:$D,Révisions!$A:$A,A26,Révisions!$AD:$AD,1,Révisions!$D:$D,"&gt;"&amp;TODAY())))</f>
        <v/>
      </c>
      <c r="J26" s="17">
        <f>IF(A26="","",IFERROR(INDEX(Révisions!$F:$F,MATCH(A26&amp;"#"&amp;(F26+1),Révisions!$AB:$AB,0))&amp;"","—"))</f>
        <v/>
      </c>
      <c r="K26" s="17">
        <f>IF(A26="","",IF(OR(J26="—",J26=""),"—",IF(SUMIFS(Indices_long!$C:$C,Indices_long!$A:$A,D26,Indices_long!$B:$B,J26)&gt;0,"Oui","Non")))</f>
        <v/>
      </c>
      <c r="L26" s="17">
        <f>IF(A26="","",COUNTIFS(Révisions!$A:$A,A26,Révisions!$V:$V,"✔ Calculable",Révisions!$X:$X,"&lt;&gt;Oui"))</f>
        <v/>
      </c>
      <c r="M26" s="17">
        <f>IF(A26="","",COUNTIFS(Révisions!$A:$A,A26,Révisions!$V:$V,"❄ Gelée"))</f>
        <v/>
      </c>
      <c r="N26" s="17">
        <f>IF(A26="","",IF(L26&gt;0,"⚠ Facturer la révision ("&amp;L26&amp;" en attente)",IF(AND(I26&lt;&gt;"—",I26-TODAY()&lt;=60),IF(K26="Oui","Révision dans "&amp;INT(I26-TODAY())&amp;" j – indice publié","Révision dans "&amp;INT(I26-TODAY())&amp;" j – indice non publié"),"RAS")))</f>
        <v/>
      </c>
      <c r="O26" s="30">
        <f>IF(A26="","",IFERROR(INDEX(Révisions!$W:$W,MATCH(A26&amp;"#"&amp;(F26+1),Révisions!$AB:$AB,0))&amp;"",""))</f>
        <v/>
      </c>
    </row>
    <row r="27">
      <c r="A27" s="17">
        <f>IF(Baux!$A$27="","",Baux!$A$27)</f>
        <v/>
      </c>
      <c r="B27" s="17">
        <f>IF(A27="","",Baux!$B$27)</f>
        <v/>
      </c>
      <c r="C27" s="17">
        <f>IF(A27="","",Baux!$C$27)</f>
        <v/>
      </c>
      <c r="D27" s="17">
        <f>IF(A27="","",Baux!$M$27)</f>
        <v/>
      </c>
      <c r="E27" s="27">
        <f>IF(A27="","",Baux!$I$27)</f>
        <v/>
      </c>
      <c r="F27" s="17">
        <f>IF(A27="","",_xlfn.MAXIFS(Révisions!$C:$C,Révisions!$A:$A,A27,Révisions!$AC:$AC,1))</f>
        <v/>
      </c>
      <c r="G27" s="27">
        <f>IF(A27="","",IF(F27=0,E27,SUMIFS(Révisions!$N:$N,Révisions!$A:$A,A27,Révisions!$C:$C,F27)))</f>
        <v/>
      </c>
      <c r="H27" s="27">
        <f>IF(A27="","",G27/12)</f>
        <v/>
      </c>
      <c r="I27" s="15">
        <f>IF(A27="","",IF(_xlfn.MINIFS(Révisions!$D:$D,Révisions!$A:$A,A27,Révisions!$AD:$AD,1,Révisions!$D:$D,"&gt;"&amp;TODAY())=0,"—",_xlfn.MINIFS(Révisions!$D:$D,Révisions!$A:$A,A27,Révisions!$AD:$AD,1,Révisions!$D:$D,"&gt;"&amp;TODAY())))</f>
        <v/>
      </c>
      <c r="J27" s="17">
        <f>IF(A27="","",IFERROR(INDEX(Révisions!$F:$F,MATCH(A27&amp;"#"&amp;(F27+1),Révisions!$AB:$AB,0))&amp;"","—"))</f>
        <v/>
      </c>
      <c r="K27" s="17">
        <f>IF(A27="","",IF(OR(J27="—",J27=""),"—",IF(SUMIFS(Indices_long!$C:$C,Indices_long!$A:$A,D27,Indices_long!$B:$B,J27)&gt;0,"Oui","Non")))</f>
        <v/>
      </c>
      <c r="L27" s="17">
        <f>IF(A27="","",COUNTIFS(Révisions!$A:$A,A27,Révisions!$V:$V,"✔ Calculable",Révisions!$X:$X,"&lt;&gt;Oui"))</f>
        <v/>
      </c>
      <c r="M27" s="17">
        <f>IF(A27="","",COUNTIFS(Révisions!$A:$A,A27,Révisions!$V:$V,"❄ Gelée"))</f>
        <v/>
      </c>
      <c r="N27" s="17">
        <f>IF(A27="","",IF(L27&gt;0,"⚠ Facturer la révision ("&amp;L27&amp;" en attente)",IF(AND(I27&lt;&gt;"—",I27-TODAY()&lt;=60),IF(K27="Oui","Révision dans "&amp;INT(I27-TODAY())&amp;" j – indice publié","Révision dans "&amp;INT(I27-TODAY())&amp;" j – indice non publié"),"RAS")))</f>
        <v/>
      </c>
      <c r="O27" s="30">
        <f>IF(A27="","",IFERROR(INDEX(Révisions!$W:$W,MATCH(A27&amp;"#"&amp;(F27+1),Révisions!$AB:$AB,0))&amp;"",""))</f>
        <v/>
      </c>
    </row>
    <row r="28">
      <c r="A28" s="17">
        <f>IF(Baux!$A$28="","",Baux!$A$28)</f>
        <v/>
      </c>
      <c r="B28" s="17">
        <f>IF(A28="","",Baux!$B$28)</f>
        <v/>
      </c>
      <c r="C28" s="17">
        <f>IF(A28="","",Baux!$C$28)</f>
        <v/>
      </c>
      <c r="D28" s="17">
        <f>IF(A28="","",Baux!$M$28)</f>
        <v/>
      </c>
      <c r="E28" s="27">
        <f>IF(A28="","",Baux!$I$28)</f>
        <v/>
      </c>
      <c r="F28" s="17">
        <f>IF(A28="","",_xlfn.MAXIFS(Révisions!$C:$C,Révisions!$A:$A,A28,Révisions!$AC:$AC,1))</f>
        <v/>
      </c>
      <c r="G28" s="27">
        <f>IF(A28="","",IF(F28=0,E28,SUMIFS(Révisions!$N:$N,Révisions!$A:$A,A28,Révisions!$C:$C,F28)))</f>
        <v/>
      </c>
      <c r="H28" s="27">
        <f>IF(A28="","",G28/12)</f>
        <v/>
      </c>
      <c r="I28" s="15">
        <f>IF(A28="","",IF(_xlfn.MINIFS(Révisions!$D:$D,Révisions!$A:$A,A28,Révisions!$AD:$AD,1,Révisions!$D:$D,"&gt;"&amp;TODAY())=0,"—",_xlfn.MINIFS(Révisions!$D:$D,Révisions!$A:$A,A28,Révisions!$AD:$AD,1,Révisions!$D:$D,"&gt;"&amp;TODAY())))</f>
        <v/>
      </c>
      <c r="J28" s="17">
        <f>IF(A28="","",IFERROR(INDEX(Révisions!$F:$F,MATCH(A28&amp;"#"&amp;(F28+1),Révisions!$AB:$AB,0))&amp;"","—"))</f>
        <v/>
      </c>
      <c r="K28" s="17">
        <f>IF(A28="","",IF(OR(J28="—",J28=""),"—",IF(SUMIFS(Indices_long!$C:$C,Indices_long!$A:$A,D28,Indices_long!$B:$B,J28)&gt;0,"Oui","Non")))</f>
        <v/>
      </c>
      <c r="L28" s="17">
        <f>IF(A28="","",COUNTIFS(Révisions!$A:$A,A28,Révisions!$V:$V,"✔ Calculable",Révisions!$X:$X,"&lt;&gt;Oui"))</f>
        <v/>
      </c>
      <c r="M28" s="17">
        <f>IF(A28="","",COUNTIFS(Révisions!$A:$A,A28,Révisions!$V:$V,"❄ Gelée"))</f>
        <v/>
      </c>
      <c r="N28" s="17">
        <f>IF(A28="","",IF(L28&gt;0,"⚠ Facturer la révision ("&amp;L28&amp;" en attente)",IF(AND(I28&lt;&gt;"—",I28-TODAY()&lt;=60),IF(K28="Oui","Révision dans "&amp;INT(I28-TODAY())&amp;" j – indice publié","Révision dans "&amp;INT(I28-TODAY())&amp;" j – indice non publié"),"RAS")))</f>
        <v/>
      </c>
      <c r="O28" s="30">
        <f>IF(A28="","",IFERROR(INDEX(Révisions!$W:$W,MATCH(A28&amp;"#"&amp;(F28+1),Révisions!$AB:$AB,0))&amp;"",""))</f>
        <v/>
      </c>
    </row>
    <row r="29">
      <c r="A29" s="17">
        <f>IF(Baux!$A$29="","",Baux!$A$29)</f>
        <v/>
      </c>
      <c r="B29" s="17">
        <f>IF(A29="","",Baux!$B$29)</f>
        <v/>
      </c>
      <c r="C29" s="17">
        <f>IF(A29="","",Baux!$C$29)</f>
        <v/>
      </c>
      <c r="D29" s="17">
        <f>IF(A29="","",Baux!$M$29)</f>
        <v/>
      </c>
      <c r="E29" s="27">
        <f>IF(A29="","",Baux!$I$29)</f>
        <v/>
      </c>
      <c r="F29" s="17">
        <f>IF(A29="","",_xlfn.MAXIFS(Révisions!$C:$C,Révisions!$A:$A,A29,Révisions!$AC:$AC,1))</f>
        <v/>
      </c>
      <c r="G29" s="27">
        <f>IF(A29="","",IF(F29=0,E29,SUMIFS(Révisions!$N:$N,Révisions!$A:$A,A29,Révisions!$C:$C,F29)))</f>
        <v/>
      </c>
      <c r="H29" s="27">
        <f>IF(A29="","",G29/12)</f>
        <v/>
      </c>
      <c r="I29" s="15">
        <f>IF(A29="","",IF(_xlfn.MINIFS(Révisions!$D:$D,Révisions!$A:$A,A29,Révisions!$AD:$AD,1,Révisions!$D:$D,"&gt;"&amp;TODAY())=0,"—",_xlfn.MINIFS(Révisions!$D:$D,Révisions!$A:$A,A29,Révisions!$AD:$AD,1,Révisions!$D:$D,"&gt;"&amp;TODAY())))</f>
        <v/>
      </c>
      <c r="J29" s="17">
        <f>IF(A29="","",IFERROR(INDEX(Révisions!$F:$F,MATCH(A29&amp;"#"&amp;(F29+1),Révisions!$AB:$AB,0))&amp;"","—"))</f>
        <v/>
      </c>
      <c r="K29" s="17">
        <f>IF(A29="","",IF(OR(J29="—",J29=""),"—",IF(SUMIFS(Indices_long!$C:$C,Indices_long!$A:$A,D29,Indices_long!$B:$B,J29)&gt;0,"Oui","Non")))</f>
        <v/>
      </c>
      <c r="L29" s="17">
        <f>IF(A29="","",COUNTIFS(Révisions!$A:$A,A29,Révisions!$V:$V,"✔ Calculable",Révisions!$X:$X,"&lt;&gt;Oui"))</f>
        <v/>
      </c>
      <c r="M29" s="17">
        <f>IF(A29="","",COUNTIFS(Révisions!$A:$A,A29,Révisions!$V:$V,"❄ Gelée"))</f>
        <v/>
      </c>
      <c r="N29" s="17">
        <f>IF(A29="","",IF(L29&gt;0,"⚠ Facturer la révision ("&amp;L29&amp;" en attente)",IF(AND(I29&lt;&gt;"—",I29-TODAY()&lt;=60),IF(K29="Oui","Révision dans "&amp;INT(I29-TODAY())&amp;" j – indice publié","Révision dans "&amp;INT(I29-TODAY())&amp;" j – indice non publié"),"RAS")))</f>
        <v/>
      </c>
      <c r="O29" s="30">
        <f>IF(A29="","",IFERROR(INDEX(Révisions!$W:$W,MATCH(A29&amp;"#"&amp;(F29+1),Révisions!$AB:$AB,0))&amp;"",""))</f>
        <v/>
      </c>
    </row>
    <row r="30">
      <c r="A30" s="17">
        <f>IF(Baux!$A$30="","",Baux!$A$30)</f>
        <v/>
      </c>
      <c r="B30" s="17">
        <f>IF(A30="","",Baux!$B$30)</f>
        <v/>
      </c>
      <c r="C30" s="17">
        <f>IF(A30="","",Baux!$C$30)</f>
        <v/>
      </c>
      <c r="D30" s="17">
        <f>IF(A30="","",Baux!$M$30)</f>
        <v/>
      </c>
      <c r="E30" s="27">
        <f>IF(A30="","",Baux!$I$30)</f>
        <v/>
      </c>
      <c r="F30" s="17">
        <f>IF(A30="","",_xlfn.MAXIFS(Révisions!$C:$C,Révisions!$A:$A,A30,Révisions!$AC:$AC,1))</f>
        <v/>
      </c>
      <c r="G30" s="27">
        <f>IF(A30="","",IF(F30=0,E30,SUMIFS(Révisions!$N:$N,Révisions!$A:$A,A30,Révisions!$C:$C,F30)))</f>
        <v/>
      </c>
      <c r="H30" s="27">
        <f>IF(A30="","",G30/12)</f>
        <v/>
      </c>
      <c r="I30" s="15">
        <f>IF(A30="","",IF(_xlfn.MINIFS(Révisions!$D:$D,Révisions!$A:$A,A30,Révisions!$AD:$AD,1,Révisions!$D:$D,"&gt;"&amp;TODAY())=0,"—",_xlfn.MINIFS(Révisions!$D:$D,Révisions!$A:$A,A30,Révisions!$AD:$AD,1,Révisions!$D:$D,"&gt;"&amp;TODAY())))</f>
        <v/>
      </c>
      <c r="J30" s="17">
        <f>IF(A30="","",IFERROR(INDEX(Révisions!$F:$F,MATCH(A30&amp;"#"&amp;(F30+1),Révisions!$AB:$AB,0))&amp;"","—"))</f>
        <v/>
      </c>
      <c r="K30" s="17">
        <f>IF(A30="","",IF(OR(J30="—",J30=""),"—",IF(SUMIFS(Indices_long!$C:$C,Indices_long!$A:$A,D30,Indices_long!$B:$B,J30)&gt;0,"Oui","Non")))</f>
        <v/>
      </c>
      <c r="L30" s="17">
        <f>IF(A30="","",COUNTIFS(Révisions!$A:$A,A30,Révisions!$V:$V,"✔ Calculable",Révisions!$X:$X,"&lt;&gt;Oui"))</f>
        <v/>
      </c>
      <c r="M30" s="17">
        <f>IF(A30="","",COUNTIFS(Révisions!$A:$A,A30,Révisions!$V:$V,"❄ Gelée"))</f>
        <v/>
      </c>
      <c r="N30" s="17">
        <f>IF(A30="","",IF(L30&gt;0,"⚠ Facturer la révision ("&amp;L30&amp;" en attente)",IF(AND(I30&lt;&gt;"—",I30-TODAY()&lt;=60),IF(K30="Oui","Révision dans "&amp;INT(I30-TODAY())&amp;" j – indice publié","Révision dans "&amp;INT(I30-TODAY())&amp;" j – indice non publié"),"RAS")))</f>
        <v/>
      </c>
      <c r="O30" s="30">
        <f>IF(A30="","",IFERROR(INDEX(Révisions!$W:$W,MATCH(A30&amp;"#"&amp;(F30+1),Révisions!$AB:$AB,0))&amp;"",""))</f>
        <v/>
      </c>
    </row>
    <row r="31">
      <c r="A31" s="17">
        <f>IF(Baux!$A$31="","",Baux!$A$31)</f>
        <v/>
      </c>
      <c r="B31" s="17">
        <f>IF(A31="","",Baux!$B$31)</f>
        <v/>
      </c>
      <c r="C31" s="17">
        <f>IF(A31="","",Baux!$C$31)</f>
        <v/>
      </c>
      <c r="D31" s="17">
        <f>IF(A31="","",Baux!$M$31)</f>
        <v/>
      </c>
      <c r="E31" s="27">
        <f>IF(A31="","",Baux!$I$31)</f>
        <v/>
      </c>
      <c r="F31" s="17">
        <f>IF(A31="","",_xlfn.MAXIFS(Révisions!$C:$C,Révisions!$A:$A,A31,Révisions!$AC:$AC,1))</f>
        <v/>
      </c>
      <c r="G31" s="27">
        <f>IF(A31="","",IF(F31=0,E31,SUMIFS(Révisions!$N:$N,Révisions!$A:$A,A31,Révisions!$C:$C,F31)))</f>
        <v/>
      </c>
      <c r="H31" s="27">
        <f>IF(A31="","",G31/12)</f>
        <v/>
      </c>
      <c r="I31" s="15">
        <f>IF(A31="","",IF(_xlfn.MINIFS(Révisions!$D:$D,Révisions!$A:$A,A31,Révisions!$AD:$AD,1,Révisions!$D:$D,"&gt;"&amp;TODAY())=0,"—",_xlfn.MINIFS(Révisions!$D:$D,Révisions!$A:$A,A31,Révisions!$AD:$AD,1,Révisions!$D:$D,"&gt;"&amp;TODAY())))</f>
        <v/>
      </c>
      <c r="J31" s="17">
        <f>IF(A31="","",IFERROR(INDEX(Révisions!$F:$F,MATCH(A31&amp;"#"&amp;(F31+1),Révisions!$AB:$AB,0))&amp;"","—"))</f>
        <v/>
      </c>
      <c r="K31" s="17">
        <f>IF(A31="","",IF(OR(J31="—",J31=""),"—",IF(SUMIFS(Indices_long!$C:$C,Indices_long!$A:$A,D31,Indices_long!$B:$B,J31)&gt;0,"Oui","Non")))</f>
        <v/>
      </c>
      <c r="L31" s="17">
        <f>IF(A31="","",COUNTIFS(Révisions!$A:$A,A31,Révisions!$V:$V,"✔ Calculable",Révisions!$X:$X,"&lt;&gt;Oui"))</f>
        <v/>
      </c>
      <c r="M31" s="17">
        <f>IF(A31="","",COUNTIFS(Révisions!$A:$A,A31,Révisions!$V:$V,"❄ Gelée"))</f>
        <v/>
      </c>
      <c r="N31" s="17">
        <f>IF(A31="","",IF(L31&gt;0,"⚠ Facturer la révision ("&amp;L31&amp;" en attente)",IF(AND(I31&lt;&gt;"—",I31-TODAY()&lt;=60),IF(K31="Oui","Révision dans "&amp;INT(I31-TODAY())&amp;" j – indice publié","Révision dans "&amp;INT(I31-TODAY())&amp;" j – indice non publié"),"RAS")))</f>
        <v/>
      </c>
      <c r="O31" s="30">
        <f>IF(A31="","",IFERROR(INDEX(Révisions!$W:$W,MATCH(A31&amp;"#"&amp;(F31+1),Révisions!$AB:$AB,0))&amp;"",""))</f>
        <v/>
      </c>
    </row>
    <row r="32">
      <c r="A32" s="17">
        <f>IF(Baux!$A$32="","",Baux!$A$32)</f>
        <v/>
      </c>
      <c r="B32" s="17">
        <f>IF(A32="","",Baux!$B$32)</f>
        <v/>
      </c>
      <c r="C32" s="17">
        <f>IF(A32="","",Baux!$C$32)</f>
        <v/>
      </c>
      <c r="D32" s="17">
        <f>IF(A32="","",Baux!$M$32)</f>
        <v/>
      </c>
      <c r="E32" s="27">
        <f>IF(A32="","",Baux!$I$32)</f>
        <v/>
      </c>
      <c r="F32" s="17">
        <f>IF(A32="","",_xlfn.MAXIFS(Révisions!$C:$C,Révisions!$A:$A,A32,Révisions!$AC:$AC,1))</f>
        <v/>
      </c>
      <c r="G32" s="27">
        <f>IF(A32="","",IF(F32=0,E32,SUMIFS(Révisions!$N:$N,Révisions!$A:$A,A32,Révisions!$C:$C,F32)))</f>
        <v/>
      </c>
      <c r="H32" s="27">
        <f>IF(A32="","",G32/12)</f>
        <v/>
      </c>
      <c r="I32" s="15">
        <f>IF(A32="","",IF(_xlfn.MINIFS(Révisions!$D:$D,Révisions!$A:$A,A32,Révisions!$AD:$AD,1,Révisions!$D:$D,"&gt;"&amp;TODAY())=0,"—",_xlfn.MINIFS(Révisions!$D:$D,Révisions!$A:$A,A32,Révisions!$AD:$AD,1,Révisions!$D:$D,"&gt;"&amp;TODAY())))</f>
        <v/>
      </c>
      <c r="J32" s="17">
        <f>IF(A32="","",IFERROR(INDEX(Révisions!$F:$F,MATCH(A32&amp;"#"&amp;(F32+1),Révisions!$AB:$AB,0))&amp;"","—"))</f>
        <v/>
      </c>
      <c r="K32" s="17">
        <f>IF(A32="","",IF(OR(J32="—",J32=""),"—",IF(SUMIFS(Indices_long!$C:$C,Indices_long!$A:$A,D32,Indices_long!$B:$B,J32)&gt;0,"Oui","Non")))</f>
        <v/>
      </c>
      <c r="L32" s="17">
        <f>IF(A32="","",COUNTIFS(Révisions!$A:$A,A32,Révisions!$V:$V,"✔ Calculable",Révisions!$X:$X,"&lt;&gt;Oui"))</f>
        <v/>
      </c>
      <c r="M32" s="17">
        <f>IF(A32="","",COUNTIFS(Révisions!$A:$A,A32,Révisions!$V:$V,"❄ Gelée"))</f>
        <v/>
      </c>
      <c r="N32" s="17">
        <f>IF(A32="","",IF(L32&gt;0,"⚠ Facturer la révision ("&amp;L32&amp;" en attente)",IF(AND(I32&lt;&gt;"—",I32-TODAY()&lt;=60),IF(K32="Oui","Révision dans "&amp;INT(I32-TODAY())&amp;" j – indice publié","Révision dans "&amp;INT(I32-TODAY())&amp;" j – indice non publié"),"RAS")))</f>
        <v/>
      </c>
      <c r="O32" s="30">
        <f>IF(A32="","",IFERROR(INDEX(Révisions!$W:$W,MATCH(A32&amp;"#"&amp;(F32+1),Révisions!$AB:$AB,0))&amp;"",""))</f>
        <v/>
      </c>
    </row>
    <row r="33">
      <c r="A33" s="17">
        <f>IF(Baux!$A$33="","",Baux!$A$33)</f>
        <v/>
      </c>
      <c r="B33" s="17">
        <f>IF(A33="","",Baux!$B$33)</f>
        <v/>
      </c>
      <c r="C33" s="17">
        <f>IF(A33="","",Baux!$C$33)</f>
        <v/>
      </c>
      <c r="D33" s="17">
        <f>IF(A33="","",Baux!$M$33)</f>
        <v/>
      </c>
      <c r="E33" s="27">
        <f>IF(A33="","",Baux!$I$33)</f>
        <v/>
      </c>
      <c r="F33" s="17">
        <f>IF(A33="","",_xlfn.MAXIFS(Révisions!$C:$C,Révisions!$A:$A,A33,Révisions!$AC:$AC,1))</f>
        <v/>
      </c>
      <c r="G33" s="27">
        <f>IF(A33="","",IF(F33=0,E33,SUMIFS(Révisions!$N:$N,Révisions!$A:$A,A33,Révisions!$C:$C,F33)))</f>
        <v/>
      </c>
      <c r="H33" s="27">
        <f>IF(A33="","",G33/12)</f>
        <v/>
      </c>
      <c r="I33" s="15">
        <f>IF(A33="","",IF(_xlfn.MINIFS(Révisions!$D:$D,Révisions!$A:$A,A33,Révisions!$AD:$AD,1,Révisions!$D:$D,"&gt;"&amp;TODAY())=0,"—",_xlfn.MINIFS(Révisions!$D:$D,Révisions!$A:$A,A33,Révisions!$AD:$AD,1,Révisions!$D:$D,"&gt;"&amp;TODAY())))</f>
        <v/>
      </c>
      <c r="J33" s="17">
        <f>IF(A33="","",IFERROR(INDEX(Révisions!$F:$F,MATCH(A33&amp;"#"&amp;(F33+1),Révisions!$AB:$AB,0))&amp;"","—"))</f>
        <v/>
      </c>
      <c r="K33" s="17">
        <f>IF(A33="","",IF(OR(J33="—",J33=""),"—",IF(SUMIFS(Indices_long!$C:$C,Indices_long!$A:$A,D33,Indices_long!$B:$B,J33)&gt;0,"Oui","Non")))</f>
        <v/>
      </c>
      <c r="L33" s="17">
        <f>IF(A33="","",COUNTIFS(Révisions!$A:$A,A33,Révisions!$V:$V,"✔ Calculable",Révisions!$X:$X,"&lt;&gt;Oui"))</f>
        <v/>
      </c>
      <c r="M33" s="17">
        <f>IF(A33="","",COUNTIFS(Révisions!$A:$A,A33,Révisions!$V:$V,"❄ Gelée"))</f>
        <v/>
      </c>
      <c r="N33" s="17">
        <f>IF(A33="","",IF(L33&gt;0,"⚠ Facturer la révision ("&amp;L33&amp;" en attente)",IF(AND(I33&lt;&gt;"—",I33-TODAY()&lt;=60),IF(K33="Oui","Révision dans "&amp;INT(I33-TODAY())&amp;" j – indice publié","Révision dans "&amp;INT(I33-TODAY())&amp;" j – indice non publié"),"RAS")))</f>
        <v/>
      </c>
      <c r="O33" s="30">
        <f>IF(A33="","",IFERROR(INDEX(Révisions!$W:$W,MATCH(A33&amp;"#"&amp;(F33+1),Révisions!$AB:$AB,0))&amp;"",""))</f>
        <v/>
      </c>
    </row>
    <row r="34">
      <c r="A34" s="17">
        <f>IF(Baux!$A$34="","",Baux!$A$34)</f>
        <v/>
      </c>
      <c r="B34" s="17">
        <f>IF(A34="","",Baux!$B$34)</f>
        <v/>
      </c>
      <c r="C34" s="17">
        <f>IF(A34="","",Baux!$C$34)</f>
        <v/>
      </c>
      <c r="D34" s="17">
        <f>IF(A34="","",Baux!$M$34)</f>
        <v/>
      </c>
      <c r="E34" s="27">
        <f>IF(A34="","",Baux!$I$34)</f>
        <v/>
      </c>
      <c r="F34" s="17">
        <f>IF(A34="","",_xlfn.MAXIFS(Révisions!$C:$C,Révisions!$A:$A,A34,Révisions!$AC:$AC,1))</f>
        <v/>
      </c>
      <c r="G34" s="27">
        <f>IF(A34="","",IF(F34=0,E34,SUMIFS(Révisions!$N:$N,Révisions!$A:$A,A34,Révisions!$C:$C,F34)))</f>
        <v/>
      </c>
      <c r="H34" s="27">
        <f>IF(A34="","",G34/12)</f>
        <v/>
      </c>
      <c r="I34" s="15">
        <f>IF(A34="","",IF(_xlfn.MINIFS(Révisions!$D:$D,Révisions!$A:$A,A34,Révisions!$AD:$AD,1,Révisions!$D:$D,"&gt;"&amp;TODAY())=0,"—",_xlfn.MINIFS(Révisions!$D:$D,Révisions!$A:$A,A34,Révisions!$AD:$AD,1,Révisions!$D:$D,"&gt;"&amp;TODAY())))</f>
        <v/>
      </c>
      <c r="J34" s="17">
        <f>IF(A34="","",IFERROR(INDEX(Révisions!$F:$F,MATCH(A34&amp;"#"&amp;(F34+1),Révisions!$AB:$AB,0))&amp;"","—"))</f>
        <v/>
      </c>
      <c r="K34" s="17">
        <f>IF(A34="","",IF(OR(J34="—",J34=""),"—",IF(SUMIFS(Indices_long!$C:$C,Indices_long!$A:$A,D34,Indices_long!$B:$B,J34)&gt;0,"Oui","Non")))</f>
        <v/>
      </c>
      <c r="L34" s="17">
        <f>IF(A34="","",COUNTIFS(Révisions!$A:$A,A34,Révisions!$V:$V,"✔ Calculable",Révisions!$X:$X,"&lt;&gt;Oui"))</f>
        <v/>
      </c>
      <c r="M34" s="17">
        <f>IF(A34="","",COUNTIFS(Révisions!$A:$A,A34,Révisions!$V:$V,"❄ Gelée"))</f>
        <v/>
      </c>
      <c r="N34" s="17">
        <f>IF(A34="","",IF(L34&gt;0,"⚠ Facturer la révision ("&amp;L34&amp;" en attente)",IF(AND(I34&lt;&gt;"—",I34-TODAY()&lt;=60),IF(K34="Oui","Révision dans "&amp;INT(I34-TODAY())&amp;" j – indice publié","Révision dans "&amp;INT(I34-TODAY())&amp;" j – indice non publié"),"RAS")))</f>
        <v/>
      </c>
      <c r="O34" s="30">
        <f>IF(A34="","",IFERROR(INDEX(Révisions!$W:$W,MATCH(A34&amp;"#"&amp;(F34+1),Révisions!$AB:$AB,0))&amp;"",""))</f>
        <v/>
      </c>
    </row>
    <row r="35">
      <c r="A35" s="17">
        <f>IF(Baux!$A$35="","",Baux!$A$35)</f>
        <v/>
      </c>
      <c r="B35" s="17">
        <f>IF(A35="","",Baux!$B$35)</f>
        <v/>
      </c>
      <c r="C35" s="17">
        <f>IF(A35="","",Baux!$C$35)</f>
        <v/>
      </c>
      <c r="D35" s="17">
        <f>IF(A35="","",Baux!$M$35)</f>
        <v/>
      </c>
      <c r="E35" s="27">
        <f>IF(A35="","",Baux!$I$35)</f>
        <v/>
      </c>
      <c r="F35" s="17">
        <f>IF(A35="","",_xlfn.MAXIFS(Révisions!$C:$C,Révisions!$A:$A,A35,Révisions!$AC:$AC,1))</f>
        <v/>
      </c>
      <c r="G35" s="27">
        <f>IF(A35="","",IF(F35=0,E35,SUMIFS(Révisions!$N:$N,Révisions!$A:$A,A35,Révisions!$C:$C,F35)))</f>
        <v/>
      </c>
      <c r="H35" s="27">
        <f>IF(A35="","",G35/12)</f>
        <v/>
      </c>
      <c r="I35" s="15">
        <f>IF(A35="","",IF(_xlfn.MINIFS(Révisions!$D:$D,Révisions!$A:$A,A35,Révisions!$AD:$AD,1,Révisions!$D:$D,"&gt;"&amp;TODAY())=0,"—",_xlfn.MINIFS(Révisions!$D:$D,Révisions!$A:$A,A35,Révisions!$AD:$AD,1,Révisions!$D:$D,"&gt;"&amp;TODAY())))</f>
        <v/>
      </c>
      <c r="J35" s="17">
        <f>IF(A35="","",IFERROR(INDEX(Révisions!$F:$F,MATCH(A35&amp;"#"&amp;(F35+1),Révisions!$AB:$AB,0))&amp;"","—"))</f>
        <v/>
      </c>
      <c r="K35" s="17">
        <f>IF(A35="","",IF(OR(J35="—",J35=""),"—",IF(SUMIFS(Indices_long!$C:$C,Indices_long!$A:$A,D35,Indices_long!$B:$B,J35)&gt;0,"Oui","Non")))</f>
        <v/>
      </c>
      <c r="L35" s="17">
        <f>IF(A35="","",COUNTIFS(Révisions!$A:$A,A35,Révisions!$V:$V,"✔ Calculable",Révisions!$X:$X,"&lt;&gt;Oui"))</f>
        <v/>
      </c>
      <c r="M35" s="17">
        <f>IF(A35="","",COUNTIFS(Révisions!$A:$A,A35,Révisions!$V:$V,"❄ Gelée"))</f>
        <v/>
      </c>
      <c r="N35" s="17">
        <f>IF(A35="","",IF(L35&gt;0,"⚠ Facturer la révision ("&amp;L35&amp;" en attente)",IF(AND(I35&lt;&gt;"—",I35-TODAY()&lt;=60),IF(K35="Oui","Révision dans "&amp;INT(I35-TODAY())&amp;" j – indice publié","Révision dans "&amp;INT(I35-TODAY())&amp;" j – indice non publié"),"RAS")))</f>
        <v/>
      </c>
      <c r="O35" s="30">
        <f>IF(A35="","",IFERROR(INDEX(Révisions!$W:$W,MATCH(A35&amp;"#"&amp;(F35+1),Révisions!$AB:$AB,0))&amp;"",""))</f>
        <v/>
      </c>
    </row>
    <row r="36">
      <c r="A36" s="17">
        <f>IF(Baux!$A$36="","",Baux!$A$36)</f>
        <v/>
      </c>
      <c r="B36" s="17">
        <f>IF(A36="","",Baux!$B$36)</f>
        <v/>
      </c>
      <c r="C36" s="17">
        <f>IF(A36="","",Baux!$C$36)</f>
        <v/>
      </c>
      <c r="D36" s="17">
        <f>IF(A36="","",Baux!$M$36)</f>
        <v/>
      </c>
      <c r="E36" s="27">
        <f>IF(A36="","",Baux!$I$36)</f>
        <v/>
      </c>
      <c r="F36" s="17">
        <f>IF(A36="","",_xlfn.MAXIFS(Révisions!$C:$C,Révisions!$A:$A,A36,Révisions!$AC:$AC,1))</f>
        <v/>
      </c>
      <c r="G36" s="27">
        <f>IF(A36="","",IF(F36=0,E36,SUMIFS(Révisions!$N:$N,Révisions!$A:$A,A36,Révisions!$C:$C,F36)))</f>
        <v/>
      </c>
      <c r="H36" s="27">
        <f>IF(A36="","",G36/12)</f>
        <v/>
      </c>
      <c r="I36" s="15">
        <f>IF(A36="","",IF(_xlfn.MINIFS(Révisions!$D:$D,Révisions!$A:$A,A36,Révisions!$AD:$AD,1,Révisions!$D:$D,"&gt;"&amp;TODAY())=0,"—",_xlfn.MINIFS(Révisions!$D:$D,Révisions!$A:$A,A36,Révisions!$AD:$AD,1,Révisions!$D:$D,"&gt;"&amp;TODAY())))</f>
        <v/>
      </c>
      <c r="J36" s="17">
        <f>IF(A36="","",IFERROR(INDEX(Révisions!$F:$F,MATCH(A36&amp;"#"&amp;(F36+1),Révisions!$AB:$AB,0))&amp;"","—"))</f>
        <v/>
      </c>
      <c r="K36" s="17">
        <f>IF(A36="","",IF(OR(J36="—",J36=""),"—",IF(SUMIFS(Indices_long!$C:$C,Indices_long!$A:$A,D36,Indices_long!$B:$B,J36)&gt;0,"Oui","Non")))</f>
        <v/>
      </c>
      <c r="L36" s="17">
        <f>IF(A36="","",COUNTIFS(Révisions!$A:$A,A36,Révisions!$V:$V,"✔ Calculable",Révisions!$X:$X,"&lt;&gt;Oui"))</f>
        <v/>
      </c>
      <c r="M36" s="17">
        <f>IF(A36="","",COUNTIFS(Révisions!$A:$A,A36,Révisions!$V:$V,"❄ Gelée"))</f>
        <v/>
      </c>
      <c r="N36" s="17">
        <f>IF(A36="","",IF(L36&gt;0,"⚠ Facturer la révision ("&amp;L36&amp;" en attente)",IF(AND(I36&lt;&gt;"—",I36-TODAY()&lt;=60),IF(K36="Oui","Révision dans "&amp;INT(I36-TODAY())&amp;" j – indice publié","Révision dans "&amp;INT(I36-TODAY())&amp;" j – indice non publié"),"RAS")))</f>
        <v/>
      </c>
      <c r="O36" s="30">
        <f>IF(A36="","",IFERROR(INDEX(Révisions!$W:$W,MATCH(A36&amp;"#"&amp;(F36+1),Révisions!$AB:$AB,0))&amp;"",""))</f>
        <v/>
      </c>
    </row>
    <row r="37">
      <c r="A37" s="17">
        <f>IF(Baux!$A$37="","",Baux!$A$37)</f>
        <v/>
      </c>
      <c r="B37" s="17">
        <f>IF(A37="","",Baux!$B$37)</f>
        <v/>
      </c>
      <c r="C37" s="17">
        <f>IF(A37="","",Baux!$C$37)</f>
        <v/>
      </c>
      <c r="D37" s="17">
        <f>IF(A37="","",Baux!$M$37)</f>
        <v/>
      </c>
      <c r="E37" s="27">
        <f>IF(A37="","",Baux!$I$37)</f>
        <v/>
      </c>
      <c r="F37" s="17">
        <f>IF(A37="","",_xlfn.MAXIFS(Révisions!$C:$C,Révisions!$A:$A,A37,Révisions!$AC:$AC,1))</f>
        <v/>
      </c>
      <c r="G37" s="27">
        <f>IF(A37="","",IF(F37=0,E37,SUMIFS(Révisions!$N:$N,Révisions!$A:$A,A37,Révisions!$C:$C,F37)))</f>
        <v/>
      </c>
      <c r="H37" s="27">
        <f>IF(A37="","",G37/12)</f>
        <v/>
      </c>
      <c r="I37" s="15">
        <f>IF(A37="","",IF(_xlfn.MINIFS(Révisions!$D:$D,Révisions!$A:$A,A37,Révisions!$AD:$AD,1,Révisions!$D:$D,"&gt;"&amp;TODAY())=0,"—",_xlfn.MINIFS(Révisions!$D:$D,Révisions!$A:$A,A37,Révisions!$AD:$AD,1,Révisions!$D:$D,"&gt;"&amp;TODAY())))</f>
        <v/>
      </c>
      <c r="J37" s="17">
        <f>IF(A37="","",IFERROR(INDEX(Révisions!$F:$F,MATCH(A37&amp;"#"&amp;(F37+1),Révisions!$AB:$AB,0))&amp;"","—"))</f>
        <v/>
      </c>
      <c r="K37" s="17">
        <f>IF(A37="","",IF(OR(J37="—",J37=""),"—",IF(SUMIFS(Indices_long!$C:$C,Indices_long!$A:$A,D37,Indices_long!$B:$B,J37)&gt;0,"Oui","Non")))</f>
        <v/>
      </c>
      <c r="L37" s="17">
        <f>IF(A37="","",COUNTIFS(Révisions!$A:$A,A37,Révisions!$V:$V,"✔ Calculable",Révisions!$X:$X,"&lt;&gt;Oui"))</f>
        <v/>
      </c>
      <c r="M37" s="17">
        <f>IF(A37="","",COUNTIFS(Révisions!$A:$A,A37,Révisions!$V:$V,"❄ Gelée"))</f>
        <v/>
      </c>
      <c r="N37" s="17">
        <f>IF(A37="","",IF(L37&gt;0,"⚠ Facturer la révision ("&amp;L37&amp;" en attente)",IF(AND(I37&lt;&gt;"—",I37-TODAY()&lt;=60),IF(K37="Oui","Révision dans "&amp;INT(I37-TODAY())&amp;" j – indice publié","Révision dans "&amp;INT(I37-TODAY())&amp;" j – indice non publié"),"RAS")))</f>
        <v/>
      </c>
      <c r="O37" s="30">
        <f>IF(A37="","",IFERROR(INDEX(Révisions!$W:$W,MATCH(A37&amp;"#"&amp;(F37+1),Révisions!$AB:$AB,0))&amp;"",""))</f>
        <v/>
      </c>
    </row>
    <row r="38">
      <c r="A38" s="17">
        <f>IF(Baux!$A$38="","",Baux!$A$38)</f>
        <v/>
      </c>
      <c r="B38" s="17">
        <f>IF(A38="","",Baux!$B$38)</f>
        <v/>
      </c>
      <c r="C38" s="17">
        <f>IF(A38="","",Baux!$C$38)</f>
        <v/>
      </c>
      <c r="D38" s="17">
        <f>IF(A38="","",Baux!$M$38)</f>
        <v/>
      </c>
      <c r="E38" s="27">
        <f>IF(A38="","",Baux!$I$38)</f>
        <v/>
      </c>
      <c r="F38" s="17">
        <f>IF(A38="","",_xlfn.MAXIFS(Révisions!$C:$C,Révisions!$A:$A,A38,Révisions!$AC:$AC,1))</f>
        <v/>
      </c>
      <c r="G38" s="27">
        <f>IF(A38="","",IF(F38=0,E38,SUMIFS(Révisions!$N:$N,Révisions!$A:$A,A38,Révisions!$C:$C,F38)))</f>
        <v/>
      </c>
      <c r="H38" s="27">
        <f>IF(A38="","",G38/12)</f>
        <v/>
      </c>
      <c r="I38" s="15">
        <f>IF(A38="","",IF(_xlfn.MINIFS(Révisions!$D:$D,Révisions!$A:$A,A38,Révisions!$AD:$AD,1,Révisions!$D:$D,"&gt;"&amp;TODAY())=0,"—",_xlfn.MINIFS(Révisions!$D:$D,Révisions!$A:$A,A38,Révisions!$AD:$AD,1,Révisions!$D:$D,"&gt;"&amp;TODAY())))</f>
        <v/>
      </c>
      <c r="J38" s="17">
        <f>IF(A38="","",IFERROR(INDEX(Révisions!$F:$F,MATCH(A38&amp;"#"&amp;(F38+1),Révisions!$AB:$AB,0))&amp;"","—"))</f>
        <v/>
      </c>
      <c r="K38" s="17">
        <f>IF(A38="","",IF(OR(J38="—",J38=""),"—",IF(SUMIFS(Indices_long!$C:$C,Indices_long!$A:$A,D38,Indices_long!$B:$B,J38)&gt;0,"Oui","Non")))</f>
        <v/>
      </c>
      <c r="L38" s="17">
        <f>IF(A38="","",COUNTIFS(Révisions!$A:$A,A38,Révisions!$V:$V,"✔ Calculable",Révisions!$X:$X,"&lt;&gt;Oui"))</f>
        <v/>
      </c>
      <c r="M38" s="17">
        <f>IF(A38="","",COUNTIFS(Révisions!$A:$A,A38,Révisions!$V:$V,"❄ Gelée"))</f>
        <v/>
      </c>
      <c r="N38" s="17">
        <f>IF(A38="","",IF(L38&gt;0,"⚠ Facturer la révision ("&amp;L38&amp;" en attente)",IF(AND(I38&lt;&gt;"—",I38-TODAY()&lt;=60),IF(K38="Oui","Révision dans "&amp;INT(I38-TODAY())&amp;" j – indice publié","Révision dans "&amp;INT(I38-TODAY())&amp;" j – indice non publié"),"RAS")))</f>
        <v/>
      </c>
      <c r="O38" s="30">
        <f>IF(A38="","",IFERROR(INDEX(Révisions!$W:$W,MATCH(A38&amp;"#"&amp;(F38+1),Révisions!$AB:$AB,0))&amp;"",""))</f>
        <v/>
      </c>
    </row>
    <row r="39">
      <c r="A39" s="17">
        <f>IF(Baux!$A$39="","",Baux!$A$39)</f>
        <v/>
      </c>
      <c r="B39" s="17">
        <f>IF(A39="","",Baux!$B$39)</f>
        <v/>
      </c>
      <c r="C39" s="17">
        <f>IF(A39="","",Baux!$C$39)</f>
        <v/>
      </c>
      <c r="D39" s="17">
        <f>IF(A39="","",Baux!$M$39)</f>
        <v/>
      </c>
      <c r="E39" s="27">
        <f>IF(A39="","",Baux!$I$39)</f>
        <v/>
      </c>
      <c r="F39" s="17">
        <f>IF(A39="","",_xlfn.MAXIFS(Révisions!$C:$C,Révisions!$A:$A,A39,Révisions!$AC:$AC,1))</f>
        <v/>
      </c>
      <c r="G39" s="27">
        <f>IF(A39="","",IF(F39=0,E39,SUMIFS(Révisions!$N:$N,Révisions!$A:$A,A39,Révisions!$C:$C,F39)))</f>
        <v/>
      </c>
      <c r="H39" s="27">
        <f>IF(A39="","",G39/12)</f>
        <v/>
      </c>
      <c r="I39" s="15">
        <f>IF(A39="","",IF(_xlfn.MINIFS(Révisions!$D:$D,Révisions!$A:$A,A39,Révisions!$AD:$AD,1,Révisions!$D:$D,"&gt;"&amp;TODAY())=0,"—",_xlfn.MINIFS(Révisions!$D:$D,Révisions!$A:$A,A39,Révisions!$AD:$AD,1,Révisions!$D:$D,"&gt;"&amp;TODAY())))</f>
        <v/>
      </c>
      <c r="J39" s="17">
        <f>IF(A39="","",IFERROR(INDEX(Révisions!$F:$F,MATCH(A39&amp;"#"&amp;(F39+1),Révisions!$AB:$AB,0))&amp;"","—"))</f>
        <v/>
      </c>
      <c r="K39" s="17">
        <f>IF(A39="","",IF(OR(J39="—",J39=""),"—",IF(SUMIFS(Indices_long!$C:$C,Indices_long!$A:$A,D39,Indices_long!$B:$B,J39)&gt;0,"Oui","Non")))</f>
        <v/>
      </c>
      <c r="L39" s="17">
        <f>IF(A39="","",COUNTIFS(Révisions!$A:$A,A39,Révisions!$V:$V,"✔ Calculable",Révisions!$X:$X,"&lt;&gt;Oui"))</f>
        <v/>
      </c>
      <c r="M39" s="17">
        <f>IF(A39="","",COUNTIFS(Révisions!$A:$A,A39,Révisions!$V:$V,"❄ Gelée"))</f>
        <v/>
      </c>
      <c r="N39" s="17">
        <f>IF(A39="","",IF(L39&gt;0,"⚠ Facturer la révision ("&amp;L39&amp;" en attente)",IF(AND(I39&lt;&gt;"—",I39-TODAY()&lt;=60),IF(K39="Oui","Révision dans "&amp;INT(I39-TODAY())&amp;" j – indice publié","Révision dans "&amp;INT(I39-TODAY())&amp;" j – indice non publié"),"RAS")))</f>
        <v/>
      </c>
      <c r="O39" s="30">
        <f>IF(A39="","",IFERROR(INDEX(Révisions!$W:$W,MATCH(A39&amp;"#"&amp;(F39+1),Révisions!$AB:$AB,0))&amp;"",""))</f>
        <v/>
      </c>
    </row>
    <row r="40">
      <c r="A40" s="17">
        <f>IF(Baux!$A$40="","",Baux!$A$40)</f>
        <v/>
      </c>
      <c r="B40" s="17">
        <f>IF(A40="","",Baux!$B$40)</f>
        <v/>
      </c>
      <c r="C40" s="17">
        <f>IF(A40="","",Baux!$C$40)</f>
        <v/>
      </c>
      <c r="D40" s="17">
        <f>IF(A40="","",Baux!$M$40)</f>
        <v/>
      </c>
      <c r="E40" s="27">
        <f>IF(A40="","",Baux!$I$40)</f>
        <v/>
      </c>
      <c r="F40" s="17">
        <f>IF(A40="","",_xlfn.MAXIFS(Révisions!$C:$C,Révisions!$A:$A,A40,Révisions!$AC:$AC,1))</f>
        <v/>
      </c>
      <c r="G40" s="27">
        <f>IF(A40="","",IF(F40=0,E40,SUMIFS(Révisions!$N:$N,Révisions!$A:$A,A40,Révisions!$C:$C,F40)))</f>
        <v/>
      </c>
      <c r="H40" s="27">
        <f>IF(A40="","",G40/12)</f>
        <v/>
      </c>
      <c r="I40" s="15">
        <f>IF(A40="","",IF(_xlfn.MINIFS(Révisions!$D:$D,Révisions!$A:$A,A40,Révisions!$AD:$AD,1,Révisions!$D:$D,"&gt;"&amp;TODAY())=0,"—",_xlfn.MINIFS(Révisions!$D:$D,Révisions!$A:$A,A40,Révisions!$AD:$AD,1,Révisions!$D:$D,"&gt;"&amp;TODAY())))</f>
        <v/>
      </c>
      <c r="J40" s="17">
        <f>IF(A40="","",IFERROR(INDEX(Révisions!$F:$F,MATCH(A40&amp;"#"&amp;(F40+1),Révisions!$AB:$AB,0))&amp;"","—"))</f>
        <v/>
      </c>
      <c r="K40" s="17">
        <f>IF(A40="","",IF(OR(J40="—",J40=""),"—",IF(SUMIFS(Indices_long!$C:$C,Indices_long!$A:$A,D40,Indices_long!$B:$B,J40)&gt;0,"Oui","Non")))</f>
        <v/>
      </c>
      <c r="L40" s="17">
        <f>IF(A40="","",COUNTIFS(Révisions!$A:$A,A40,Révisions!$V:$V,"✔ Calculable",Révisions!$X:$X,"&lt;&gt;Oui"))</f>
        <v/>
      </c>
      <c r="M40" s="17">
        <f>IF(A40="","",COUNTIFS(Révisions!$A:$A,A40,Révisions!$V:$V,"❄ Gelée"))</f>
        <v/>
      </c>
      <c r="N40" s="17">
        <f>IF(A40="","",IF(L40&gt;0,"⚠ Facturer la révision ("&amp;L40&amp;" en attente)",IF(AND(I40&lt;&gt;"—",I40-TODAY()&lt;=60),IF(K40="Oui","Révision dans "&amp;INT(I40-TODAY())&amp;" j – indice publié","Révision dans "&amp;INT(I40-TODAY())&amp;" j – indice non publié"),"RAS")))</f>
        <v/>
      </c>
      <c r="O40" s="30">
        <f>IF(A40="","",IFERROR(INDEX(Révisions!$W:$W,MATCH(A40&amp;"#"&amp;(F40+1),Révisions!$AB:$AB,0))&amp;"",""))</f>
        <v/>
      </c>
    </row>
    <row r="41">
      <c r="A41" s="17">
        <f>IF(Baux!$A$41="","",Baux!$A$41)</f>
        <v/>
      </c>
      <c r="B41" s="17">
        <f>IF(A41="","",Baux!$B$41)</f>
        <v/>
      </c>
      <c r="C41" s="17">
        <f>IF(A41="","",Baux!$C$41)</f>
        <v/>
      </c>
      <c r="D41" s="17">
        <f>IF(A41="","",Baux!$M$41)</f>
        <v/>
      </c>
      <c r="E41" s="27">
        <f>IF(A41="","",Baux!$I$41)</f>
        <v/>
      </c>
      <c r="F41" s="17">
        <f>IF(A41="","",_xlfn.MAXIFS(Révisions!$C:$C,Révisions!$A:$A,A41,Révisions!$AC:$AC,1))</f>
        <v/>
      </c>
      <c r="G41" s="27">
        <f>IF(A41="","",IF(F41=0,E41,SUMIFS(Révisions!$N:$N,Révisions!$A:$A,A41,Révisions!$C:$C,F41)))</f>
        <v/>
      </c>
      <c r="H41" s="27">
        <f>IF(A41="","",G41/12)</f>
        <v/>
      </c>
      <c r="I41" s="15">
        <f>IF(A41="","",IF(_xlfn.MINIFS(Révisions!$D:$D,Révisions!$A:$A,A41,Révisions!$AD:$AD,1,Révisions!$D:$D,"&gt;"&amp;TODAY())=0,"—",_xlfn.MINIFS(Révisions!$D:$D,Révisions!$A:$A,A41,Révisions!$AD:$AD,1,Révisions!$D:$D,"&gt;"&amp;TODAY())))</f>
        <v/>
      </c>
      <c r="J41" s="17">
        <f>IF(A41="","",IFERROR(INDEX(Révisions!$F:$F,MATCH(A41&amp;"#"&amp;(F41+1),Révisions!$AB:$AB,0))&amp;"","—"))</f>
        <v/>
      </c>
      <c r="K41" s="17">
        <f>IF(A41="","",IF(OR(J41="—",J41=""),"—",IF(SUMIFS(Indices_long!$C:$C,Indices_long!$A:$A,D41,Indices_long!$B:$B,J41)&gt;0,"Oui","Non")))</f>
        <v/>
      </c>
      <c r="L41" s="17">
        <f>IF(A41="","",COUNTIFS(Révisions!$A:$A,A41,Révisions!$V:$V,"✔ Calculable",Révisions!$X:$X,"&lt;&gt;Oui"))</f>
        <v/>
      </c>
      <c r="M41" s="17">
        <f>IF(A41="","",COUNTIFS(Révisions!$A:$A,A41,Révisions!$V:$V,"❄ Gelée"))</f>
        <v/>
      </c>
      <c r="N41" s="17">
        <f>IF(A41="","",IF(L41&gt;0,"⚠ Facturer la révision ("&amp;L41&amp;" en attente)",IF(AND(I41&lt;&gt;"—",I41-TODAY()&lt;=60),IF(K41="Oui","Révision dans "&amp;INT(I41-TODAY())&amp;" j – indice publié","Révision dans "&amp;INT(I41-TODAY())&amp;" j – indice non publié"),"RAS")))</f>
        <v/>
      </c>
      <c r="O41" s="30">
        <f>IF(A41="","",IFERROR(INDEX(Révisions!$W:$W,MATCH(A41&amp;"#"&amp;(F41+1),Révisions!$AB:$AB,0))&amp;"",""))</f>
        <v/>
      </c>
    </row>
  </sheetData>
  <autoFilter ref="A1:O41"/>
  <conditionalFormatting sqref="N2:N41">
    <cfRule type="expression" priority="1" dxfId="1">
      <formula>LEFT(N2,1)="⚠"</formula>
    </cfRule>
    <cfRule type="expression" priority="2" dxfId="6">
      <formula>LEFT(N2,8)="Révision"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2" customWidth="1" min="3" max="3"/>
    <col width="10" customWidth="1" min="4" max="4"/>
    <col width="30" customWidth="1" min="5" max="5"/>
    <col width="12" customWidth="1" min="6" max="6"/>
    <col width="10" customWidth="1" min="7" max="7"/>
    <col width="7" customWidth="1" min="8" max="8"/>
    <col width="9" customWidth="1" min="9" max="9"/>
    <col width="13" customWidth="1" min="10" max="10"/>
    <col width="12" customWidth="1" min="11" max="11"/>
    <col width="7" customWidth="1" min="12" max="12"/>
    <col width="9" customWidth="1" min="13" max="13"/>
    <col width="16" customWidth="1" min="14" max="14"/>
    <col width="15" customWidth="1" min="15" max="15"/>
    <col width="13" customWidth="1" min="16" max="16"/>
    <col width="12" customWidth="1" min="17" max="17"/>
    <col width="12" customWidth="1" min="18" max="18"/>
    <col width="100" customWidth="1" min="19" max="19"/>
  </cols>
  <sheetData>
    <row r="1" ht="42" customHeight="1">
      <c r="A1" s="12" t="inlineStr">
        <is>
          <t>ID bail</t>
        </is>
      </c>
      <c r="B1" s="12" t="inlineStr">
        <is>
          <t>Locataire</t>
        </is>
      </c>
      <c r="C1" s="12" t="inlineStr">
        <is>
          <t>customer_id</t>
        </is>
      </c>
      <c r="D1" s="12" t="inlineStr">
        <is>
          <t>product_id</t>
        </is>
      </c>
      <c r="E1" s="12" t="inlineStr">
        <is>
          <t>label (abonnement)</t>
        </is>
      </c>
      <c r="F1" s="12" t="inlineStr">
        <is>
          <t>Périodicité</t>
        </is>
      </c>
      <c r="G1" s="12" t="inlineStr">
        <is>
          <t>recurring_rule.type</t>
        </is>
      </c>
      <c r="H1" s="12" t="inlineStr">
        <is>
          <t>interval</t>
        </is>
      </c>
      <c r="I1" s="12" t="inlineStr">
        <is>
          <t>unit</t>
        </is>
      </c>
      <c r="J1" s="12" t="inlineStr">
        <is>
          <t>Prix unitaire HT / échéance</t>
        </is>
      </c>
      <c r="K1" s="12" t="inlineStr">
        <is>
          <t>Charges HT / échéance</t>
        </is>
      </c>
      <c r="L1" s="12" t="inlineStr">
        <is>
          <t>TVA (%)</t>
        </is>
      </c>
      <c r="M1" s="12" t="inlineStr">
        <is>
          <t>vat_rate</t>
        </is>
      </c>
      <c r="N1" s="12" t="inlineStr">
        <is>
          <t>mode</t>
        </is>
      </c>
      <c r="O1" s="12" t="inlineStr">
        <is>
          <t>payment_conditions</t>
        </is>
      </c>
      <c r="P1" s="12" t="inlineStr">
        <is>
          <t>payment_method</t>
        </is>
      </c>
      <c r="Q1" s="12" t="inlineStr">
        <is>
          <t>start (1er du mois suivant)</t>
        </is>
      </c>
      <c r="R1" s="12" t="inlineStr">
        <is>
          <t>subscription_id existant</t>
        </is>
      </c>
      <c r="S1" s="12" t="inlineStr">
        <is>
          <t>Corps JSON – POST /api/external/v2/billing_subscriptions</t>
        </is>
      </c>
    </row>
    <row r="2">
      <c r="A2" s="17">
        <f>IF(Baux!$A$2="","",Baux!$A$2)</f>
        <v/>
      </c>
      <c r="B2" s="17">
        <f>IF(A2="","",Baux!$C$2)</f>
        <v/>
      </c>
      <c r="C2" s="17">
        <f>IF(A2="","",IF(Baux!$R$2="","À RENSEIGNER",Baux!$R$2))</f>
        <v/>
      </c>
      <c r="D2" s="17">
        <f>IF(OR(A2="",Baux!$S$2=""),"",Baux!$S$2)</f>
        <v/>
      </c>
      <c r="E2" s="17">
        <f>IF(A2="","","Loyer "&amp;Baux!$B$2)</f>
        <v/>
      </c>
      <c r="F2" s="17">
        <f>IF(A2="","",Baux!$L$2)</f>
        <v/>
      </c>
      <c r="G2" s="17">
        <f>IF(A2="","",IF(F2="Annuelle","yearly","monthly"))</f>
        <v/>
      </c>
      <c r="H2" s="17">
        <f>IF(A2="","",IF(F2="Mensuelle",1,IF(F2="Trimestrielle",3,IF(F2="Semestrielle",6,1))))</f>
        <v/>
      </c>
      <c r="I2" s="17">
        <f>IF(A2="","",IF(F2="Mensuelle","mois",IF(F2="Trimestrielle","trimestre",IF(F2="Semestrielle","semestre","an"))))</f>
        <v/>
      </c>
      <c r="J2" s="27">
        <f>IF(A2="","",ROUND(Alertes!$G$2/IF(F2="Mensuelle",12,IF(F2="Trimestrielle",4,IF(F2="Semestrielle",2,1))),2))</f>
        <v/>
      </c>
      <c r="K2" s="27">
        <f>IF(A2="","",ROUND(IF(Baux!$J$2="",0,Baux!$J$2)/IF(F2="Mensuelle",12,IF(F2="Trimestrielle",4,IF(F2="Semestrielle",2,1))),2))</f>
        <v/>
      </c>
      <c r="L2" s="17">
        <f>IF(A2="","",Baux!$K$2)</f>
        <v/>
      </c>
      <c r="M2" s="17">
        <f>IF(A2="","",IF(L2=20,"FR_200",IF(L2=10,"FR_100",IF(L2=5.5,"FR_55",IF(L2=2.1,"FR_21","exempt")))))</f>
        <v/>
      </c>
      <c r="N2" s="17">
        <f>IF(A2="","",Société!$B$11)</f>
        <v/>
      </c>
      <c r="O2" s="17">
        <f>IF(A2="","",Société!$B$12)</f>
        <v/>
      </c>
      <c r="P2" s="17">
        <f>IF(A2="","",Société!$B$13)</f>
        <v/>
      </c>
      <c r="Q2" s="15">
        <f>IF(A2="","",DATE(YEAR(TODAY()),MONTH(TODAY())+1,1))</f>
        <v/>
      </c>
      <c r="R2" s="17">
        <f>IF(OR(A2="",Baux!$T$2=""),"",Baux!$T$2)</f>
        <v/>
      </c>
      <c r="S2" s="17">
        <f>IF(A2="","","{""customer_id"": "&amp;C2&amp;", ""label"": """&amp;E2&amp;""", ""start"": """&amp;YEAR(Q2)&amp;"-"&amp;TEXT(MONTH(Q2),"00")&amp;"-"&amp;TEXT(DAY(Q2),"00")&amp;""", ""mode"": {""type"": """&amp;N2&amp;"""}, ""payment_conditions"": """&amp;O2&amp;""", ""payment_method"": """&amp;P2&amp;""", ""recurring_rule"": "&amp;"{""type"": """&amp;G2&amp;""", ""interval"": "&amp;H2&amp;IF(G2="monthly",", ""day_of_month"": 1","")&amp;"}"&amp;", ""customer_invoice_data"": {""currency"": ""EUR"", ""language"": ""fr_FR"", ""pdf_invoice_subject"": """&amp;E2&amp;""", ""invoice_lines"": ["&amp;"{""label"": ""Loyer "&amp;LOWER(F2)&amp;" – "&amp;Baux!$B$2&amp;""", ""quantity"": 1, ""unit"": """&amp;I2&amp;""", ""raw_currency_unit_price"": """&amp;SUBSTITUTE(TEXT(J2,"0.00"),",",".")&amp;""", ""vat_rate"": """&amp;M2&amp;""""&amp;IF(D2&lt;&gt;"",", ""product_id"": "&amp;D2,"")&amp;"}"&amp;IF(K2&gt;0,", {""label"": ""Provision sur charges"", ""quantity"": 1, ""unit"": """&amp;I2&amp;""", ""raw_currency_unit_price"": """&amp;SUBSTITUTE(TEXT(K2,"0.00"),",",".")&amp;""", ""vat_rate"": """&amp;M2&amp;"""}","")&amp;"]}}")</f>
        <v/>
      </c>
    </row>
    <row r="3">
      <c r="A3" s="17">
        <f>IF(Baux!$A$3="","",Baux!$A$3)</f>
        <v/>
      </c>
      <c r="B3" s="17">
        <f>IF(A3="","",Baux!$C$3)</f>
        <v/>
      </c>
      <c r="C3" s="17">
        <f>IF(A3="","",IF(Baux!$R$3="","À RENSEIGNER",Baux!$R$3))</f>
        <v/>
      </c>
      <c r="D3" s="17">
        <f>IF(OR(A3="",Baux!$S$3=""),"",Baux!$S$3)</f>
        <v/>
      </c>
      <c r="E3" s="17">
        <f>IF(A3="","","Loyer "&amp;Baux!$B$3)</f>
        <v/>
      </c>
      <c r="F3" s="17">
        <f>IF(A3="","",Baux!$L$3)</f>
        <v/>
      </c>
      <c r="G3" s="17">
        <f>IF(A3="","",IF(F3="Annuelle","yearly","monthly"))</f>
        <v/>
      </c>
      <c r="H3" s="17">
        <f>IF(A3="","",IF(F3="Mensuelle",1,IF(F3="Trimestrielle",3,IF(F3="Semestrielle",6,1))))</f>
        <v/>
      </c>
      <c r="I3" s="17">
        <f>IF(A3="","",IF(F3="Mensuelle","mois",IF(F3="Trimestrielle","trimestre",IF(F3="Semestrielle","semestre","an"))))</f>
        <v/>
      </c>
      <c r="J3" s="27">
        <f>IF(A3="","",ROUND(Alertes!$G$3/IF(F3="Mensuelle",12,IF(F3="Trimestrielle",4,IF(F3="Semestrielle",2,1))),2))</f>
        <v/>
      </c>
      <c r="K3" s="27">
        <f>IF(A3="","",ROUND(IF(Baux!$J$3="",0,Baux!$J$3)/IF(F3="Mensuelle",12,IF(F3="Trimestrielle",4,IF(F3="Semestrielle",2,1))),2))</f>
        <v/>
      </c>
      <c r="L3" s="17">
        <f>IF(A3="","",Baux!$K$3)</f>
        <v/>
      </c>
      <c r="M3" s="17">
        <f>IF(A3="","",IF(L3=20,"FR_200",IF(L3=10,"FR_100",IF(L3=5.5,"FR_55",IF(L3=2.1,"FR_21","exempt")))))</f>
        <v/>
      </c>
      <c r="N3" s="17">
        <f>IF(A3="","",Société!$B$11)</f>
        <v/>
      </c>
      <c r="O3" s="17">
        <f>IF(A3="","",Société!$B$12)</f>
        <v/>
      </c>
      <c r="P3" s="17">
        <f>IF(A3="","",Société!$B$13)</f>
        <v/>
      </c>
      <c r="Q3" s="15">
        <f>IF(A3="","",DATE(YEAR(TODAY()),MONTH(TODAY())+1,1))</f>
        <v/>
      </c>
      <c r="R3" s="17">
        <f>IF(OR(A3="",Baux!$T$3=""),"",Baux!$T$3)</f>
        <v/>
      </c>
      <c r="S3" s="17">
        <f>IF(A3="","","{""customer_id"": "&amp;C3&amp;", ""label"": """&amp;E3&amp;""", ""start"": """&amp;YEAR(Q3)&amp;"-"&amp;TEXT(MONTH(Q3),"00")&amp;"-"&amp;TEXT(DAY(Q3),"00")&amp;""", ""mode"": {""type"": """&amp;N3&amp;"""}, ""payment_conditions"": """&amp;O3&amp;""", ""payment_method"": """&amp;P3&amp;""", ""recurring_rule"": "&amp;"{""type"": """&amp;G3&amp;""", ""interval"": "&amp;H3&amp;IF(G3="monthly",", ""day_of_month"": 1","")&amp;"}"&amp;", ""customer_invoice_data"": {""currency"": ""EUR"", ""language"": ""fr_FR"", ""pdf_invoice_subject"": """&amp;E3&amp;""", ""invoice_lines"": ["&amp;"{""label"": ""Loyer "&amp;LOWER(F3)&amp;" – "&amp;Baux!$B$3&amp;""", ""quantity"": 1, ""unit"": """&amp;I3&amp;""", ""raw_currency_unit_price"": """&amp;SUBSTITUTE(TEXT(J3,"0.00"),",",".")&amp;""", ""vat_rate"": """&amp;M3&amp;""""&amp;IF(D3&lt;&gt;"",", ""product_id"": "&amp;D3,"")&amp;"}"&amp;IF(K3&gt;0,", {""label"": ""Provision sur charges"", ""quantity"": 1, ""unit"": """&amp;I3&amp;""", ""raw_currency_unit_price"": """&amp;SUBSTITUTE(TEXT(K3,"0.00"),",",".")&amp;""", ""vat_rate"": """&amp;M3&amp;"""}","")&amp;"]}}")</f>
        <v/>
      </c>
    </row>
    <row r="4">
      <c r="A4" s="17">
        <f>IF(Baux!$A$4="","",Baux!$A$4)</f>
        <v/>
      </c>
      <c r="B4" s="17">
        <f>IF(A4="","",Baux!$C$4)</f>
        <v/>
      </c>
      <c r="C4" s="17">
        <f>IF(A4="","",IF(Baux!$R$4="","À RENSEIGNER",Baux!$R$4))</f>
        <v/>
      </c>
      <c r="D4" s="17">
        <f>IF(OR(A4="",Baux!$S$4=""),"",Baux!$S$4)</f>
        <v/>
      </c>
      <c r="E4" s="17">
        <f>IF(A4="","","Loyer "&amp;Baux!$B$4)</f>
        <v/>
      </c>
      <c r="F4" s="17">
        <f>IF(A4="","",Baux!$L$4)</f>
        <v/>
      </c>
      <c r="G4" s="17">
        <f>IF(A4="","",IF(F4="Annuelle","yearly","monthly"))</f>
        <v/>
      </c>
      <c r="H4" s="17">
        <f>IF(A4="","",IF(F4="Mensuelle",1,IF(F4="Trimestrielle",3,IF(F4="Semestrielle",6,1))))</f>
        <v/>
      </c>
      <c r="I4" s="17">
        <f>IF(A4="","",IF(F4="Mensuelle","mois",IF(F4="Trimestrielle","trimestre",IF(F4="Semestrielle","semestre","an"))))</f>
        <v/>
      </c>
      <c r="J4" s="27">
        <f>IF(A4="","",ROUND(Alertes!$G$4/IF(F4="Mensuelle",12,IF(F4="Trimestrielle",4,IF(F4="Semestrielle",2,1))),2))</f>
        <v/>
      </c>
      <c r="K4" s="27">
        <f>IF(A4="","",ROUND(IF(Baux!$J$4="",0,Baux!$J$4)/IF(F4="Mensuelle",12,IF(F4="Trimestrielle",4,IF(F4="Semestrielle",2,1))),2))</f>
        <v/>
      </c>
      <c r="L4" s="17">
        <f>IF(A4="","",Baux!$K$4)</f>
        <v/>
      </c>
      <c r="M4" s="17">
        <f>IF(A4="","",IF(L4=20,"FR_200",IF(L4=10,"FR_100",IF(L4=5.5,"FR_55",IF(L4=2.1,"FR_21","exempt")))))</f>
        <v/>
      </c>
      <c r="N4" s="17">
        <f>IF(A4="","",Société!$B$11)</f>
        <v/>
      </c>
      <c r="O4" s="17">
        <f>IF(A4="","",Société!$B$12)</f>
        <v/>
      </c>
      <c r="P4" s="17">
        <f>IF(A4="","",Société!$B$13)</f>
        <v/>
      </c>
      <c r="Q4" s="15">
        <f>IF(A4="","",DATE(YEAR(TODAY()),MONTH(TODAY())+1,1))</f>
        <v/>
      </c>
      <c r="R4" s="17">
        <f>IF(OR(A4="",Baux!$T$4=""),"",Baux!$T$4)</f>
        <v/>
      </c>
      <c r="S4" s="17">
        <f>IF(A4="","","{""customer_id"": "&amp;C4&amp;", ""label"": """&amp;E4&amp;""", ""start"": """&amp;YEAR(Q4)&amp;"-"&amp;TEXT(MONTH(Q4),"00")&amp;"-"&amp;TEXT(DAY(Q4),"00")&amp;""", ""mode"": {""type"": """&amp;N4&amp;"""}, ""payment_conditions"": """&amp;O4&amp;""", ""payment_method"": """&amp;P4&amp;""", ""recurring_rule"": "&amp;"{""type"": """&amp;G4&amp;""", ""interval"": "&amp;H4&amp;IF(G4="monthly",", ""day_of_month"": 1","")&amp;"}"&amp;", ""customer_invoice_data"": {""currency"": ""EUR"", ""language"": ""fr_FR"", ""pdf_invoice_subject"": """&amp;E4&amp;""", ""invoice_lines"": ["&amp;"{""label"": ""Loyer "&amp;LOWER(F4)&amp;" – "&amp;Baux!$B$4&amp;""", ""quantity"": 1, ""unit"": """&amp;I4&amp;""", ""raw_currency_unit_price"": """&amp;SUBSTITUTE(TEXT(J4,"0.00"),",",".")&amp;""", ""vat_rate"": """&amp;M4&amp;""""&amp;IF(D4&lt;&gt;"",", ""product_id"": "&amp;D4,"")&amp;"}"&amp;IF(K4&gt;0,", {""label"": ""Provision sur charges"", ""quantity"": 1, ""unit"": """&amp;I4&amp;""", ""raw_currency_unit_price"": """&amp;SUBSTITUTE(TEXT(K4,"0.00"),",",".")&amp;""", ""vat_rate"": """&amp;M4&amp;"""}","")&amp;"]}}")</f>
        <v/>
      </c>
    </row>
    <row r="5">
      <c r="A5" s="17">
        <f>IF(Baux!$A$5="","",Baux!$A$5)</f>
        <v/>
      </c>
      <c r="B5" s="17">
        <f>IF(A5="","",Baux!$C$5)</f>
        <v/>
      </c>
      <c r="C5" s="17">
        <f>IF(A5="","",IF(Baux!$R$5="","À RENSEIGNER",Baux!$R$5))</f>
        <v/>
      </c>
      <c r="D5" s="17">
        <f>IF(OR(A5="",Baux!$S$5=""),"",Baux!$S$5)</f>
        <v/>
      </c>
      <c r="E5" s="17">
        <f>IF(A5="","","Loyer "&amp;Baux!$B$5)</f>
        <v/>
      </c>
      <c r="F5" s="17">
        <f>IF(A5="","",Baux!$L$5)</f>
        <v/>
      </c>
      <c r="G5" s="17">
        <f>IF(A5="","",IF(F5="Annuelle","yearly","monthly"))</f>
        <v/>
      </c>
      <c r="H5" s="17">
        <f>IF(A5="","",IF(F5="Mensuelle",1,IF(F5="Trimestrielle",3,IF(F5="Semestrielle",6,1))))</f>
        <v/>
      </c>
      <c r="I5" s="17">
        <f>IF(A5="","",IF(F5="Mensuelle","mois",IF(F5="Trimestrielle","trimestre",IF(F5="Semestrielle","semestre","an"))))</f>
        <v/>
      </c>
      <c r="J5" s="27">
        <f>IF(A5="","",ROUND(Alertes!$G$5/IF(F5="Mensuelle",12,IF(F5="Trimestrielle",4,IF(F5="Semestrielle",2,1))),2))</f>
        <v/>
      </c>
      <c r="K5" s="27">
        <f>IF(A5="","",ROUND(IF(Baux!$J$5="",0,Baux!$J$5)/IF(F5="Mensuelle",12,IF(F5="Trimestrielle",4,IF(F5="Semestrielle",2,1))),2))</f>
        <v/>
      </c>
      <c r="L5" s="17">
        <f>IF(A5="","",Baux!$K$5)</f>
        <v/>
      </c>
      <c r="M5" s="17">
        <f>IF(A5="","",IF(L5=20,"FR_200",IF(L5=10,"FR_100",IF(L5=5.5,"FR_55",IF(L5=2.1,"FR_21","exempt")))))</f>
        <v/>
      </c>
      <c r="N5" s="17">
        <f>IF(A5="","",Société!$B$11)</f>
        <v/>
      </c>
      <c r="O5" s="17">
        <f>IF(A5="","",Société!$B$12)</f>
        <v/>
      </c>
      <c r="P5" s="17">
        <f>IF(A5="","",Société!$B$13)</f>
        <v/>
      </c>
      <c r="Q5" s="15">
        <f>IF(A5="","",DATE(YEAR(TODAY()),MONTH(TODAY())+1,1))</f>
        <v/>
      </c>
      <c r="R5" s="17">
        <f>IF(OR(A5="",Baux!$T$5=""),"",Baux!$T$5)</f>
        <v/>
      </c>
      <c r="S5" s="17">
        <f>IF(A5="","","{""customer_id"": "&amp;C5&amp;", ""label"": """&amp;E5&amp;""", ""start"": """&amp;YEAR(Q5)&amp;"-"&amp;TEXT(MONTH(Q5),"00")&amp;"-"&amp;TEXT(DAY(Q5),"00")&amp;""", ""mode"": {""type"": """&amp;N5&amp;"""}, ""payment_conditions"": """&amp;O5&amp;""", ""payment_method"": """&amp;P5&amp;""", ""recurring_rule"": "&amp;"{""type"": """&amp;G5&amp;""", ""interval"": "&amp;H5&amp;IF(G5="monthly",", ""day_of_month"": 1","")&amp;"}"&amp;", ""customer_invoice_data"": {""currency"": ""EUR"", ""language"": ""fr_FR"", ""pdf_invoice_subject"": """&amp;E5&amp;""", ""invoice_lines"": ["&amp;"{""label"": ""Loyer "&amp;LOWER(F5)&amp;" – "&amp;Baux!$B$5&amp;""", ""quantity"": 1, ""unit"": """&amp;I5&amp;""", ""raw_currency_unit_price"": """&amp;SUBSTITUTE(TEXT(J5,"0.00"),",",".")&amp;""", ""vat_rate"": """&amp;M5&amp;""""&amp;IF(D5&lt;&gt;"",", ""product_id"": "&amp;D5,"")&amp;"}"&amp;IF(K5&gt;0,", {""label"": ""Provision sur charges"", ""quantity"": 1, ""unit"": """&amp;I5&amp;""", ""raw_currency_unit_price"": """&amp;SUBSTITUTE(TEXT(K5,"0.00"),",",".")&amp;""", ""vat_rate"": """&amp;M5&amp;"""}","")&amp;"]}}")</f>
        <v/>
      </c>
    </row>
    <row r="6">
      <c r="A6" s="17">
        <f>IF(Baux!$A$6="","",Baux!$A$6)</f>
        <v/>
      </c>
      <c r="B6" s="17">
        <f>IF(A6="","",Baux!$C$6)</f>
        <v/>
      </c>
      <c r="C6" s="17">
        <f>IF(A6="","",IF(Baux!$R$6="","À RENSEIGNER",Baux!$R$6))</f>
        <v/>
      </c>
      <c r="D6" s="17">
        <f>IF(OR(A6="",Baux!$S$6=""),"",Baux!$S$6)</f>
        <v/>
      </c>
      <c r="E6" s="17">
        <f>IF(A6="","","Loyer "&amp;Baux!$B$6)</f>
        <v/>
      </c>
      <c r="F6" s="17">
        <f>IF(A6="","",Baux!$L$6)</f>
        <v/>
      </c>
      <c r="G6" s="17">
        <f>IF(A6="","",IF(F6="Annuelle","yearly","monthly"))</f>
        <v/>
      </c>
      <c r="H6" s="17">
        <f>IF(A6="","",IF(F6="Mensuelle",1,IF(F6="Trimestrielle",3,IF(F6="Semestrielle",6,1))))</f>
        <v/>
      </c>
      <c r="I6" s="17">
        <f>IF(A6="","",IF(F6="Mensuelle","mois",IF(F6="Trimestrielle","trimestre",IF(F6="Semestrielle","semestre","an"))))</f>
        <v/>
      </c>
      <c r="J6" s="27">
        <f>IF(A6="","",ROUND(Alertes!$G$6/IF(F6="Mensuelle",12,IF(F6="Trimestrielle",4,IF(F6="Semestrielle",2,1))),2))</f>
        <v/>
      </c>
      <c r="K6" s="27">
        <f>IF(A6="","",ROUND(IF(Baux!$J$6="",0,Baux!$J$6)/IF(F6="Mensuelle",12,IF(F6="Trimestrielle",4,IF(F6="Semestrielle",2,1))),2))</f>
        <v/>
      </c>
      <c r="L6" s="17">
        <f>IF(A6="","",Baux!$K$6)</f>
        <v/>
      </c>
      <c r="M6" s="17">
        <f>IF(A6="","",IF(L6=20,"FR_200",IF(L6=10,"FR_100",IF(L6=5.5,"FR_55",IF(L6=2.1,"FR_21","exempt")))))</f>
        <v/>
      </c>
      <c r="N6" s="17">
        <f>IF(A6="","",Société!$B$11)</f>
        <v/>
      </c>
      <c r="O6" s="17">
        <f>IF(A6="","",Société!$B$12)</f>
        <v/>
      </c>
      <c r="P6" s="17">
        <f>IF(A6="","",Société!$B$13)</f>
        <v/>
      </c>
      <c r="Q6" s="15">
        <f>IF(A6="","",DATE(YEAR(TODAY()),MONTH(TODAY())+1,1))</f>
        <v/>
      </c>
      <c r="R6" s="17">
        <f>IF(OR(A6="",Baux!$T$6=""),"",Baux!$T$6)</f>
        <v/>
      </c>
      <c r="S6" s="17">
        <f>IF(A6="","","{""customer_id"": "&amp;C6&amp;", ""label"": """&amp;E6&amp;""", ""start"": """&amp;YEAR(Q6)&amp;"-"&amp;TEXT(MONTH(Q6),"00")&amp;"-"&amp;TEXT(DAY(Q6),"00")&amp;""", ""mode"": {""type"": """&amp;N6&amp;"""}, ""payment_conditions"": """&amp;O6&amp;""", ""payment_method"": """&amp;P6&amp;""", ""recurring_rule"": "&amp;"{""type"": """&amp;G6&amp;""", ""interval"": "&amp;H6&amp;IF(G6="monthly",", ""day_of_month"": 1","")&amp;"}"&amp;", ""customer_invoice_data"": {""currency"": ""EUR"", ""language"": ""fr_FR"", ""pdf_invoice_subject"": """&amp;E6&amp;""", ""invoice_lines"": ["&amp;"{""label"": ""Loyer "&amp;LOWER(F6)&amp;" – "&amp;Baux!$B$6&amp;""", ""quantity"": 1, ""unit"": """&amp;I6&amp;""", ""raw_currency_unit_price"": """&amp;SUBSTITUTE(TEXT(J6,"0.00"),",",".")&amp;""", ""vat_rate"": """&amp;M6&amp;""""&amp;IF(D6&lt;&gt;"",", ""product_id"": "&amp;D6,"")&amp;"}"&amp;IF(K6&gt;0,", {""label"": ""Provision sur charges"", ""quantity"": 1, ""unit"": """&amp;I6&amp;""", ""raw_currency_unit_price"": """&amp;SUBSTITUTE(TEXT(K6,"0.00"),",",".")&amp;""", ""vat_rate"": """&amp;M6&amp;"""}","")&amp;"]}}")</f>
        <v/>
      </c>
    </row>
    <row r="7">
      <c r="A7" s="17">
        <f>IF(Baux!$A$7="","",Baux!$A$7)</f>
        <v/>
      </c>
      <c r="B7" s="17">
        <f>IF(A7="","",Baux!$C$7)</f>
        <v/>
      </c>
      <c r="C7" s="17">
        <f>IF(A7="","",IF(Baux!$R$7="","À RENSEIGNER",Baux!$R$7))</f>
        <v/>
      </c>
      <c r="D7" s="17">
        <f>IF(OR(A7="",Baux!$S$7=""),"",Baux!$S$7)</f>
        <v/>
      </c>
      <c r="E7" s="17">
        <f>IF(A7="","","Loyer "&amp;Baux!$B$7)</f>
        <v/>
      </c>
      <c r="F7" s="17">
        <f>IF(A7="","",Baux!$L$7)</f>
        <v/>
      </c>
      <c r="G7" s="17">
        <f>IF(A7="","",IF(F7="Annuelle","yearly","monthly"))</f>
        <v/>
      </c>
      <c r="H7" s="17">
        <f>IF(A7="","",IF(F7="Mensuelle",1,IF(F7="Trimestrielle",3,IF(F7="Semestrielle",6,1))))</f>
        <v/>
      </c>
      <c r="I7" s="17">
        <f>IF(A7="","",IF(F7="Mensuelle","mois",IF(F7="Trimestrielle","trimestre",IF(F7="Semestrielle","semestre","an"))))</f>
        <v/>
      </c>
      <c r="J7" s="27">
        <f>IF(A7="","",ROUND(Alertes!$G$7/IF(F7="Mensuelle",12,IF(F7="Trimestrielle",4,IF(F7="Semestrielle",2,1))),2))</f>
        <v/>
      </c>
      <c r="K7" s="27">
        <f>IF(A7="","",ROUND(IF(Baux!$J$7="",0,Baux!$J$7)/IF(F7="Mensuelle",12,IF(F7="Trimestrielle",4,IF(F7="Semestrielle",2,1))),2))</f>
        <v/>
      </c>
      <c r="L7" s="17">
        <f>IF(A7="","",Baux!$K$7)</f>
        <v/>
      </c>
      <c r="M7" s="17">
        <f>IF(A7="","",IF(L7=20,"FR_200",IF(L7=10,"FR_100",IF(L7=5.5,"FR_55",IF(L7=2.1,"FR_21","exempt")))))</f>
        <v/>
      </c>
      <c r="N7" s="17">
        <f>IF(A7="","",Société!$B$11)</f>
        <v/>
      </c>
      <c r="O7" s="17">
        <f>IF(A7="","",Société!$B$12)</f>
        <v/>
      </c>
      <c r="P7" s="17">
        <f>IF(A7="","",Société!$B$13)</f>
        <v/>
      </c>
      <c r="Q7" s="15">
        <f>IF(A7="","",DATE(YEAR(TODAY()),MONTH(TODAY())+1,1))</f>
        <v/>
      </c>
      <c r="R7" s="17">
        <f>IF(OR(A7="",Baux!$T$7=""),"",Baux!$T$7)</f>
        <v/>
      </c>
      <c r="S7" s="17">
        <f>IF(A7="","","{""customer_id"": "&amp;C7&amp;", ""label"": """&amp;E7&amp;""", ""start"": """&amp;YEAR(Q7)&amp;"-"&amp;TEXT(MONTH(Q7),"00")&amp;"-"&amp;TEXT(DAY(Q7),"00")&amp;""", ""mode"": {""type"": """&amp;N7&amp;"""}, ""payment_conditions"": """&amp;O7&amp;""", ""payment_method"": """&amp;P7&amp;""", ""recurring_rule"": "&amp;"{""type"": """&amp;G7&amp;""", ""interval"": "&amp;H7&amp;IF(G7="monthly",", ""day_of_month"": 1","")&amp;"}"&amp;", ""customer_invoice_data"": {""currency"": ""EUR"", ""language"": ""fr_FR"", ""pdf_invoice_subject"": """&amp;E7&amp;""", ""invoice_lines"": ["&amp;"{""label"": ""Loyer "&amp;LOWER(F7)&amp;" – "&amp;Baux!$B$7&amp;""", ""quantity"": 1, ""unit"": """&amp;I7&amp;""", ""raw_currency_unit_price"": """&amp;SUBSTITUTE(TEXT(J7,"0.00"),",",".")&amp;""", ""vat_rate"": """&amp;M7&amp;""""&amp;IF(D7&lt;&gt;"",", ""product_id"": "&amp;D7,"")&amp;"}"&amp;IF(K7&gt;0,", {""label"": ""Provision sur charges"", ""quantity"": 1, ""unit"": """&amp;I7&amp;""", ""raw_currency_unit_price"": """&amp;SUBSTITUTE(TEXT(K7,"0.00"),",",".")&amp;""", ""vat_rate"": """&amp;M7&amp;"""}","")&amp;"]}}")</f>
        <v/>
      </c>
    </row>
    <row r="8">
      <c r="A8" s="17">
        <f>IF(Baux!$A$8="","",Baux!$A$8)</f>
        <v/>
      </c>
      <c r="B8" s="17">
        <f>IF(A8="","",Baux!$C$8)</f>
        <v/>
      </c>
      <c r="C8" s="17">
        <f>IF(A8="","",IF(Baux!$R$8="","À RENSEIGNER",Baux!$R$8))</f>
        <v/>
      </c>
      <c r="D8" s="17">
        <f>IF(OR(A8="",Baux!$S$8=""),"",Baux!$S$8)</f>
        <v/>
      </c>
      <c r="E8" s="17">
        <f>IF(A8="","","Loyer "&amp;Baux!$B$8)</f>
        <v/>
      </c>
      <c r="F8" s="17">
        <f>IF(A8="","",Baux!$L$8)</f>
        <v/>
      </c>
      <c r="G8" s="17">
        <f>IF(A8="","",IF(F8="Annuelle","yearly","monthly"))</f>
        <v/>
      </c>
      <c r="H8" s="17">
        <f>IF(A8="","",IF(F8="Mensuelle",1,IF(F8="Trimestrielle",3,IF(F8="Semestrielle",6,1))))</f>
        <v/>
      </c>
      <c r="I8" s="17">
        <f>IF(A8="","",IF(F8="Mensuelle","mois",IF(F8="Trimestrielle","trimestre",IF(F8="Semestrielle","semestre","an"))))</f>
        <v/>
      </c>
      <c r="J8" s="27">
        <f>IF(A8="","",ROUND(Alertes!$G$8/IF(F8="Mensuelle",12,IF(F8="Trimestrielle",4,IF(F8="Semestrielle",2,1))),2))</f>
        <v/>
      </c>
      <c r="K8" s="27">
        <f>IF(A8="","",ROUND(IF(Baux!$J$8="",0,Baux!$J$8)/IF(F8="Mensuelle",12,IF(F8="Trimestrielle",4,IF(F8="Semestrielle",2,1))),2))</f>
        <v/>
      </c>
      <c r="L8" s="17">
        <f>IF(A8="","",Baux!$K$8)</f>
        <v/>
      </c>
      <c r="M8" s="17">
        <f>IF(A8="","",IF(L8=20,"FR_200",IF(L8=10,"FR_100",IF(L8=5.5,"FR_55",IF(L8=2.1,"FR_21","exempt")))))</f>
        <v/>
      </c>
      <c r="N8" s="17">
        <f>IF(A8="","",Société!$B$11)</f>
        <v/>
      </c>
      <c r="O8" s="17">
        <f>IF(A8="","",Société!$B$12)</f>
        <v/>
      </c>
      <c r="P8" s="17">
        <f>IF(A8="","",Société!$B$13)</f>
        <v/>
      </c>
      <c r="Q8" s="15">
        <f>IF(A8="","",DATE(YEAR(TODAY()),MONTH(TODAY())+1,1))</f>
        <v/>
      </c>
      <c r="R8" s="17">
        <f>IF(OR(A8="",Baux!$T$8=""),"",Baux!$T$8)</f>
        <v/>
      </c>
      <c r="S8" s="17">
        <f>IF(A8="","","{""customer_id"": "&amp;C8&amp;", ""label"": """&amp;E8&amp;""", ""start"": """&amp;YEAR(Q8)&amp;"-"&amp;TEXT(MONTH(Q8),"00")&amp;"-"&amp;TEXT(DAY(Q8),"00")&amp;""", ""mode"": {""type"": """&amp;N8&amp;"""}, ""payment_conditions"": """&amp;O8&amp;""", ""payment_method"": """&amp;P8&amp;""", ""recurring_rule"": "&amp;"{""type"": """&amp;G8&amp;""", ""interval"": "&amp;H8&amp;IF(G8="monthly",", ""day_of_month"": 1","")&amp;"}"&amp;", ""customer_invoice_data"": {""currency"": ""EUR"", ""language"": ""fr_FR"", ""pdf_invoice_subject"": """&amp;E8&amp;""", ""invoice_lines"": ["&amp;"{""label"": ""Loyer "&amp;LOWER(F8)&amp;" – "&amp;Baux!$B$8&amp;""", ""quantity"": 1, ""unit"": """&amp;I8&amp;""", ""raw_currency_unit_price"": """&amp;SUBSTITUTE(TEXT(J8,"0.00"),",",".")&amp;""", ""vat_rate"": """&amp;M8&amp;""""&amp;IF(D8&lt;&gt;"",", ""product_id"": "&amp;D8,"")&amp;"}"&amp;IF(K8&gt;0,", {""label"": ""Provision sur charges"", ""quantity"": 1, ""unit"": """&amp;I8&amp;""", ""raw_currency_unit_price"": """&amp;SUBSTITUTE(TEXT(K8,"0.00"),",",".")&amp;""", ""vat_rate"": """&amp;M8&amp;"""}","")&amp;"]}}")</f>
        <v/>
      </c>
    </row>
    <row r="9">
      <c r="A9" s="17">
        <f>IF(Baux!$A$9="","",Baux!$A$9)</f>
        <v/>
      </c>
      <c r="B9" s="17">
        <f>IF(A9="","",Baux!$C$9)</f>
        <v/>
      </c>
      <c r="C9" s="17">
        <f>IF(A9="","",IF(Baux!$R$9="","À RENSEIGNER",Baux!$R$9))</f>
        <v/>
      </c>
      <c r="D9" s="17">
        <f>IF(OR(A9="",Baux!$S$9=""),"",Baux!$S$9)</f>
        <v/>
      </c>
      <c r="E9" s="17">
        <f>IF(A9="","","Loyer "&amp;Baux!$B$9)</f>
        <v/>
      </c>
      <c r="F9" s="17">
        <f>IF(A9="","",Baux!$L$9)</f>
        <v/>
      </c>
      <c r="G9" s="17">
        <f>IF(A9="","",IF(F9="Annuelle","yearly","monthly"))</f>
        <v/>
      </c>
      <c r="H9" s="17">
        <f>IF(A9="","",IF(F9="Mensuelle",1,IF(F9="Trimestrielle",3,IF(F9="Semestrielle",6,1))))</f>
        <v/>
      </c>
      <c r="I9" s="17">
        <f>IF(A9="","",IF(F9="Mensuelle","mois",IF(F9="Trimestrielle","trimestre",IF(F9="Semestrielle","semestre","an"))))</f>
        <v/>
      </c>
      <c r="J9" s="27">
        <f>IF(A9="","",ROUND(Alertes!$G$9/IF(F9="Mensuelle",12,IF(F9="Trimestrielle",4,IF(F9="Semestrielle",2,1))),2))</f>
        <v/>
      </c>
      <c r="K9" s="27">
        <f>IF(A9="","",ROUND(IF(Baux!$J$9="",0,Baux!$J$9)/IF(F9="Mensuelle",12,IF(F9="Trimestrielle",4,IF(F9="Semestrielle",2,1))),2))</f>
        <v/>
      </c>
      <c r="L9" s="17">
        <f>IF(A9="","",Baux!$K$9)</f>
        <v/>
      </c>
      <c r="M9" s="17">
        <f>IF(A9="","",IF(L9=20,"FR_200",IF(L9=10,"FR_100",IF(L9=5.5,"FR_55",IF(L9=2.1,"FR_21","exempt")))))</f>
        <v/>
      </c>
      <c r="N9" s="17">
        <f>IF(A9="","",Société!$B$11)</f>
        <v/>
      </c>
      <c r="O9" s="17">
        <f>IF(A9="","",Société!$B$12)</f>
        <v/>
      </c>
      <c r="P9" s="17">
        <f>IF(A9="","",Société!$B$13)</f>
        <v/>
      </c>
      <c r="Q9" s="15">
        <f>IF(A9="","",DATE(YEAR(TODAY()),MONTH(TODAY())+1,1))</f>
        <v/>
      </c>
      <c r="R9" s="17">
        <f>IF(OR(A9="",Baux!$T$9=""),"",Baux!$T$9)</f>
        <v/>
      </c>
      <c r="S9" s="17">
        <f>IF(A9="","","{""customer_id"": "&amp;C9&amp;", ""label"": """&amp;E9&amp;""", ""start"": """&amp;YEAR(Q9)&amp;"-"&amp;TEXT(MONTH(Q9),"00")&amp;"-"&amp;TEXT(DAY(Q9),"00")&amp;""", ""mode"": {""type"": """&amp;N9&amp;"""}, ""payment_conditions"": """&amp;O9&amp;""", ""payment_method"": """&amp;P9&amp;""", ""recurring_rule"": "&amp;"{""type"": """&amp;G9&amp;""", ""interval"": "&amp;H9&amp;IF(G9="monthly",", ""day_of_month"": 1","")&amp;"}"&amp;", ""customer_invoice_data"": {""currency"": ""EUR"", ""language"": ""fr_FR"", ""pdf_invoice_subject"": """&amp;E9&amp;""", ""invoice_lines"": ["&amp;"{""label"": ""Loyer "&amp;LOWER(F9)&amp;" – "&amp;Baux!$B$9&amp;""", ""quantity"": 1, ""unit"": """&amp;I9&amp;""", ""raw_currency_unit_price"": """&amp;SUBSTITUTE(TEXT(J9,"0.00"),",",".")&amp;""", ""vat_rate"": """&amp;M9&amp;""""&amp;IF(D9&lt;&gt;"",", ""product_id"": "&amp;D9,"")&amp;"}"&amp;IF(K9&gt;0,", {""label"": ""Provision sur charges"", ""quantity"": 1, ""unit"": """&amp;I9&amp;""", ""raw_currency_unit_price"": """&amp;SUBSTITUTE(TEXT(K9,"0.00"),",",".")&amp;""", ""vat_rate"": """&amp;M9&amp;"""}","")&amp;"]}}")</f>
        <v/>
      </c>
    </row>
    <row r="10">
      <c r="A10" s="17">
        <f>IF(Baux!$A$10="","",Baux!$A$10)</f>
        <v/>
      </c>
      <c r="B10" s="17">
        <f>IF(A10="","",Baux!$C$10)</f>
        <v/>
      </c>
      <c r="C10" s="17">
        <f>IF(A10="","",IF(Baux!$R$10="","À RENSEIGNER",Baux!$R$10))</f>
        <v/>
      </c>
      <c r="D10" s="17">
        <f>IF(OR(A10="",Baux!$S$10=""),"",Baux!$S$10)</f>
        <v/>
      </c>
      <c r="E10" s="17">
        <f>IF(A10="","","Loyer "&amp;Baux!$B$10)</f>
        <v/>
      </c>
      <c r="F10" s="17">
        <f>IF(A10="","",Baux!$L$10)</f>
        <v/>
      </c>
      <c r="G10" s="17">
        <f>IF(A10="","",IF(F10="Annuelle","yearly","monthly"))</f>
        <v/>
      </c>
      <c r="H10" s="17">
        <f>IF(A10="","",IF(F10="Mensuelle",1,IF(F10="Trimestrielle",3,IF(F10="Semestrielle",6,1))))</f>
        <v/>
      </c>
      <c r="I10" s="17">
        <f>IF(A10="","",IF(F10="Mensuelle","mois",IF(F10="Trimestrielle","trimestre",IF(F10="Semestrielle","semestre","an"))))</f>
        <v/>
      </c>
      <c r="J10" s="27">
        <f>IF(A10="","",ROUND(Alertes!$G$10/IF(F10="Mensuelle",12,IF(F10="Trimestrielle",4,IF(F10="Semestrielle",2,1))),2))</f>
        <v/>
      </c>
      <c r="K10" s="27">
        <f>IF(A10="","",ROUND(IF(Baux!$J$10="",0,Baux!$J$10)/IF(F10="Mensuelle",12,IF(F10="Trimestrielle",4,IF(F10="Semestrielle",2,1))),2))</f>
        <v/>
      </c>
      <c r="L10" s="17">
        <f>IF(A10="","",Baux!$K$10)</f>
        <v/>
      </c>
      <c r="M10" s="17">
        <f>IF(A10="","",IF(L10=20,"FR_200",IF(L10=10,"FR_100",IF(L10=5.5,"FR_55",IF(L10=2.1,"FR_21","exempt")))))</f>
        <v/>
      </c>
      <c r="N10" s="17">
        <f>IF(A10="","",Société!$B$11)</f>
        <v/>
      </c>
      <c r="O10" s="17">
        <f>IF(A10="","",Société!$B$12)</f>
        <v/>
      </c>
      <c r="P10" s="17">
        <f>IF(A10="","",Société!$B$13)</f>
        <v/>
      </c>
      <c r="Q10" s="15">
        <f>IF(A10="","",DATE(YEAR(TODAY()),MONTH(TODAY())+1,1))</f>
        <v/>
      </c>
      <c r="R10" s="17">
        <f>IF(OR(A10="",Baux!$T$10=""),"",Baux!$T$10)</f>
        <v/>
      </c>
      <c r="S10" s="17">
        <f>IF(A10="","","{""customer_id"": "&amp;C10&amp;", ""label"": """&amp;E10&amp;""", ""start"": """&amp;YEAR(Q10)&amp;"-"&amp;TEXT(MONTH(Q10),"00")&amp;"-"&amp;TEXT(DAY(Q10),"00")&amp;""", ""mode"": {""type"": """&amp;N10&amp;"""}, ""payment_conditions"": """&amp;O10&amp;""", ""payment_method"": """&amp;P10&amp;""", ""recurring_rule"": "&amp;"{""type"": """&amp;G10&amp;""", ""interval"": "&amp;H10&amp;IF(G10="monthly",", ""day_of_month"": 1","")&amp;"}"&amp;", ""customer_invoice_data"": {""currency"": ""EUR"", ""language"": ""fr_FR"", ""pdf_invoice_subject"": """&amp;E10&amp;""", ""invoice_lines"": ["&amp;"{""label"": ""Loyer "&amp;LOWER(F10)&amp;" – "&amp;Baux!$B$10&amp;""", ""quantity"": 1, ""unit"": """&amp;I10&amp;""", ""raw_currency_unit_price"": """&amp;SUBSTITUTE(TEXT(J10,"0.00"),",",".")&amp;""", ""vat_rate"": """&amp;M10&amp;""""&amp;IF(D10&lt;&gt;"",", ""product_id"": "&amp;D10,"")&amp;"}"&amp;IF(K10&gt;0,", {""label"": ""Provision sur charges"", ""quantity"": 1, ""unit"": """&amp;I10&amp;""", ""raw_currency_unit_price"": """&amp;SUBSTITUTE(TEXT(K10,"0.00"),",",".")&amp;""", ""vat_rate"": """&amp;M10&amp;"""}","")&amp;"]}}")</f>
        <v/>
      </c>
    </row>
    <row r="11">
      <c r="A11" s="17">
        <f>IF(Baux!$A$11="","",Baux!$A$11)</f>
        <v/>
      </c>
      <c r="B11" s="17">
        <f>IF(A11="","",Baux!$C$11)</f>
        <v/>
      </c>
      <c r="C11" s="17">
        <f>IF(A11="","",IF(Baux!$R$11="","À RENSEIGNER",Baux!$R$11))</f>
        <v/>
      </c>
      <c r="D11" s="17">
        <f>IF(OR(A11="",Baux!$S$11=""),"",Baux!$S$11)</f>
        <v/>
      </c>
      <c r="E11" s="17">
        <f>IF(A11="","","Loyer "&amp;Baux!$B$11)</f>
        <v/>
      </c>
      <c r="F11" s="17">
        <f>IF(A11="","",Baux!$L$11)</f>
        <v/>
      </c>
      <c r="G11" s="17">
        <f>IF(A11="","",IF(F11="Annuelle","yearly","monthly"))</f>
        <v/>
      </c>
      <c r="H11" s="17">
        <f>IF(A11="","",IF(F11="Mensuelle",1,IF(F11="Trimestrielle",3,IF(F11="Semestrielle",6,1))))</f>
        <v/>
      </c>
      <c r="I11" s="17">
        <f>IF(A11="","",IF(F11="Mensuelle","mois",IF(F11="Trimestrielle","trimestre",IF(F11="Semestrielle","semestre","an"))))</f>
        <v/>
      </c>
      <c r="J11" s="27">
        <f>IF(A11="","",ROUND(Alertes!$G$11/IF(F11="Mensuelle",12,IF(F11="Trimestrielle",4,IF(F11="Semestrielle",2,1))),2))</f>
        <v/>
      </c>
      <c r="K11" s="27">
        <f>IF(A11="","",ROUND(IF(Baux!$J$11="",0,Baux!$J$11)/IF(F11="Mensuelle",12,IF(F11="Trimestrielle",4,IF(F11="Semestrielle",2,1))),2))</f>
        <v/>
      </c>
      <c r="L11" s="17">
        <f>IF(A11="","",Baux!$K$11)</f>
        <v/>
      </c>
      <c r="M11" s="17">
        <f>IF(A11="","",IF(L11=20,"FR_200",IF(L11=10,"FR_100",IF(L11=5.5,"FR_55",IF(L11=2.1,"FR_21","exempt")))))</f>
        <v/>
      </c>
      <c r="N11" s="17">
        <f>IF(A11="","",Société!$B$11)</f>
        <v/>
      </c>
      <c r="O11" s="17">
        <f>IF(A11="","",Société!$B$12)</f>
        <v/>
      </c>
      <c r="P11" s="17">
        <f>IF(A11="","",Société!$B$13)</f>
        <v/>
      </c>
      <c r="Q11" s="15">
        <f>IF(A11="","",DATE(YEAR(TODAY()),MONTH(TODAY())+1,1))</f>
        <v/>
      </c>
      <c r="R11" s="17">
        <f>IF(OR(A11="",Baux!$T$11=""),"",Baux!$T$11)</f>
        <v/>
      </c>
      <c r="S11" s="17">
        <f>IF(A11="","","{""customer_id"": "&amp;C11&amp;", ""label"": """&amp;E11&amp;""", ""start"": """&amp;YEAR(Q11)&amp;"-"&amp;TEXT(MONTH(Q11),"00")&amp;"-"&amp;TEXT(DAY(Q11),"00")&amp;""", ""mode"": {""type"": """&amp;N11&amp;"""}, ""payment_conditions"": """&amp;O11&amp;""", ""payment_method"": """&amp;P11&amp;""", ""recurring_rule"": "&amp;"{""type"": """&amp;G11&amp;""", ""interval"": "&amp;H11&amp;IF(G11="monthly",", ""day_of_month"": 1","")&amp;"}"&amp;", ""customer_invoice_data"": {""currency"": ""EUR"", ""language"": ""fr_FR"", ""pdf_invoice_subject"": """&amp;E11&amp;""", ""invoice_lines"": ["&amp;"{""label"": ""Loyer "&amp;LOWER(F11)&amp;" – "&amp;Baux!$B$11&amp;""", ""quantity"": 1, ""unit"": """&amp;I11&amp;""", ""raw_currency_unit_price"": """&amp;SUBSTITUTE(TEXT(J11,"0.00"),",",".")&amp;""", ""vat_rate"": """&amp;M11&amp;""""&amp;IF(D11&lt;&gt;"",", ""product_id"": "&amp;D11,"")&amp;"}"&amp;IF(K11&gt;0,", {""label"": ""Provision sur charges"", ""quantity"": 1, ""unit"": """&amp;I11&amp;""", ""raw_currency_unit_price"": """&amp;SUBSTITUTE(TEXT(K11,"0.00"),",",".")&amp;""", ""vat_rate"": """&amp;M11&amp;"""}","")&amp;"]}}")</f>
        <v/>
      </c>
    </row>
    <row r="12">
      <c r="A12" s="17">
        <f>IF(Baux!$A$12="","",Baux!$A$12)</f>
        <v/>
      </c>
      <c r="B12" s="17">
        <f>IF(A12="","",Baux!$C$12)</f>
        <v/>
      </c>
      <c r="C12" s="17">
        <f>IF(A12="","",IF(Baux!$R$12="","À RENSEIGNER",Baux!$R$12))</f>
        <v/>
      </c>
      <c r="D12" s="17">
        <f>IF(OR(A12="",Baux!$S$12=""),"",Baux!$S$12)</f>
        <v/>
      </c>
      <c r="E12" s="17">
        <f>IF(A12="","","Loyer "&amp;Baux!$B$12)</f>
        <v/>
      </c>
      <c r="F12" s="17">
        <f>IF(A12="","",Baux!$L$12)</f>
        <v/>
      </c>
      <c r="G12" s="17">
        <f>IF(A12="","",IF(F12="Annuelle","yearly","monthly"))</f>
        <v/>
      </c>
      <c r="H12" s="17">
        <f>IF(A12="","",IF(F12="Mensuelle",1,IF(F12="Trimestrielle",3,IF(F12="Semestrielle",6,1))))</f>
        <v/>
      </c>
      <c r="I12" s="17">
        <f>IF(A12="","",IF(F12="Mensuelle","mois",IF(F12="Trimestrielle","trimestre",IF(F12="Semestrielle","semestre","an"))))</f>
        <v/>
      </c>
      <c r="J12" s="27">
        <f>IF(A12="","",ROUND(Alertes!$G$12/IF(F12="Mensuelle",12,IF(F12="Trimestrielle",4,IF(F12="Semestrielle",2,1))),2))</f>
        <v/>
      </c>
      <c r="K12" s="27">
        <f>IF(A12="","",ROUND(IF(Baux!$J$12="",0,Baux!$J$12)/IF(F12="Mensuelle",12,IF(F12="Trimestrielle",4,IF(F12="Semestrielle",2,1))),2))</f>
        <v/>
      </c>
      <c r="L12" s="17">
        <f>IF(A12="","",Baux!$K$12)</f>
        <v/>
      </c>
      <c r="M12" s="17">
        <f>IF(A12="","",IF(L12=20,"FR_200",IF(L12=10,"FR_100",IF(L12=5.5,"FR_55",IF(L12=2.1,"FR_21","exempt")))))</f>
        <v/>
      </c>
      <c r="N12" s="17">
        <f>IF(A12="","",Société!$B$11)</f>
        <v/>
      </c>
      <c r="O12" s="17">
        <f>IF(A12="","",Société!$B$12)</f>
        <v/>
      </c>
      <c r="P12" s="17">
        <f>IF(A12="","",Société!$B$13)</f>
        <v/>
      </c>
      <c r="Q12" s="15">
        <f>IF(A12="","",DATE(YEAR(TODAY()),MONTH(TODAY())+1,1))</f>
        <v/>
      </c>
      <c r="R12" s="17">
        <f>IF(OR(A12="",Baux!$T$12=""),"",Baux!$T$12)</f>
        <v/>
      </c>
      <c r="S12" s="17">
        <f>IF(A12="","","{""customer_id"": "&amp;C12&amp;", ""label"": """&amp;E12&amp;""", ""start"": """&amp;YEAR(Q12)&amp;"-"&amp;TEXT(MONTH(Q12),"00")&amp;"-"&amp;TEXT(DAY(Q12),"00")&amp;""", ""mode"": {""type"": """&amp;N12&amp;"""}, ""payment_conditions"": """&amp;O12&amp;""", ""payment_method"": """&amp;P12&amp;""", ""recurring_rule"": "&amp;"{""type"": """&amp;G12&amp;""", ""interval"": "&amp;H12&amp;IF(G12="monthly",", ""day_of_month"": 1","")&amp;"}"&amp;", ""customer_invoice_data"": {""currency"": ""EUR"", ""language"": ""fr_FR"", ""pdf_invoice_subject"": """&amp;E12&amp;""", ""invoice_lines"": ["&amp;"{""label"": ""Loyer "&amp;LOWER(F12)&amp;" – "&amp;Baux!$B$12&amp;""", ""quantity"": 1, ""unit"": """&amp;I12&amp;""", ""raw_currency_unit_price"": """&amp;SUBSTITUTE(TEXT(J12,"0.00"),",",".")&amp;""", ""vat_rate"": """&amp;M12&amp;""""&amp;IF(D12&lt;&gt;"",", ""product_id"": "&amp;D12,"")&amp;"}"&amp;IF(K12&gt;0,", {""label"": ""Provision sur charges"", ""quantity"": 1, ""unit"": """&amp;I12&amp;""", ""raw_currency_unit_price"": """&amp;SUBSTITUTE(TEXT(K12,"0.00"),",",".")&amp;""", ""vat_rate"": """&amp;M12&amp;"""}","")&amp;"]}}")</f>
        <v/>
      </c>
    </row>
    <row r="13">
      <c r="A13" s="17">
        <f>IF(Baux!$A$13="","",Baux!$A$13)</f>
        <v/>
      </c>
      <c r="B13" s="17">
        <f>IF(A13="","",Baux!$C$13)</f>
        <v/>
      </c>
      <c r="C13" s="17">
        <f>IF(A13="","",IF(Baux!$R$13="","À RENSEIGNER",Baux!$R$13))</f>
        <v/>
      </c>
      <c r="D13" s="17">
        <f>IF(OR(A13="",Baux!$S$13=""),"",Baux!$S$13)</f>
        <v/>
      </c>
      <c r="E13" s="17">
        <f>IF(A13="","","Loyer "&amp;Baux!$B$13)</f>
        <v/>
      </c>
      <c r="F13" s="17">
        <f>IF(A13="","",Baux!$L$13)</f>
        <v/>
      </c>
      <c r="G13" s="17">
        <f>IF(A13="","",IF(F13="Annuelle","yearly","monthly"))</f>
        <v/>
      </c>
      <c r="H13" s="17">
        <f>IF(A13="","",IF(F13="Mensuelle",1,IF(F13="Trimestrielle",3,IF(F13="Semestrielle",6,1))))</f>
        <v/>
      </c>
      <c r="I13" s="17">
        <f>IF(A13="","",IF(F13="Mensuelle","mois",IF(F13="Trimestrielle","trimestre",IF(F13="Semestrielle","semestre","an"))))</f>
        <v/>
      </c>
      <c r="J13" s="27">
        <f>IF(A13="","",ROUND(Alertes!$G$13/IF(F13="Mensuelle",12,IF(F13="Trimestrielle",4,IF(F13="Semestrielle",2,1))),2))</f>
        <v/>
      </c>
      <c r="K13" s="27">
        <f>IF(A13="","",ROUND(IF(Baux!$J$13="",0,Baux!$J$13)/IF(F13="Mensuelle",12,IF(F13="Trimestrielle",4,IF(F13="Semestrielle",2,1))),2))</f>
        <v/>
      </c>
      <c r="L13" s="17">
        <f>IF(A13="","",Baux!$K$13)</f>
        <v/>
      </c>
      <c r="M13" s="17">
        <f>IF(A13="","",IF(L13=20,"FR_200",IF(L13=10,"FR_100",IF(L13=5.5,"FR_55",IF(L13=2.1,"FR_21","exempt")))))</f>
        <v/>
      </c>
      <c r="N13" s="17">
        <f>IF(A13="","",Société!$B$11)</f>
        <v/>
      </c>
      <c r="O13" s="17">
        <f>IF(A13="","",Société!$B$12)</f>
        <v/>
      </c>
      <c r="P13" s="17">
        <f>IF(A13="","",Société!$B$13)</f>
        <v/>
      </c>
      <c r="Q13" s="15">
        <f>IF(A13="","",DATE(YEAR(TODAY()),MONTH(TODAY())+1,1))</f>
        <v/>
      </c>
      <c r="R13" s="17">
        <f>IF(OR(A13="",Baux!$T$13=""),"",Baux!$T$13)</f>
        <v/>
      </c>
      <c r="S13" s="17">
        <f>IF(A13="","","{""customer_id"": "&amp;C13&amp;", ""label"": """&amp;E13&amp;""", ""start"": """&amp;YEAR(Q13)&amp;"-"&amp;TEXT(MONTH(Q13),"00")&amp;"-"&amp;TEXT(DAY(Q13),"00")&amp;""", ""mode"": {""type"": """&amp;N13&amp;"""}, ""payment_conditions"": """&amp;O13&amp;""", ""payment_method"": """&amp;P13&amp;""", ""recurring_rule"": "&amp;"{""type"": """&amp;G13&amp;""", ""interval"": "&amp;H13&amp;IF(G13="monthly",", ""day_of_month"": 1","")&amp;"}"&amp;", ""customer_invoice_data"": {""currency"": ""EUR"", ""language"": ""fr_FR"", ""pdf_invoice_subject"": """&amp;E13&amp;""", ""invoice_lines"": ["&amp;"{""label"": ""Loyer "&amp;LOWER(F13)&amp;" – "&amp;Baux!$B$13&amp;""", ""quantity"": 1, ""unit"": """&amp;I13&amp;""", ""raw_currency_unit_price"": """&amp;SUBSTITUTE(TEXT(J13,"0.00"),",",".")&amp;""", ""vat_rate"": """&amp;M13&amp;""""&amp;IF(D13&lt;&gt;"",", ""product_id"": "&amp;D13,"")&amp;"}"&amp;IF(K13&gt;0,", {""label"": ""Provision sur charges"", ""quantity"": 1, ""unit"": """&amp;I13&amp;""", ""raw_currency_unit_price"": """&amp;SUBSTITUTE(TEXT(K13,"0.00"),",",".")&amp;""", ""vat_rate"": """&amp;M13&amp;"""}","")&amp;"]}}")</f>
        <v/>
      </c>
    </row>
    <row r="14">
      <c r="A14" s="17">
        <f>IF(Baux!$A$14="","",Baux!$A$14)</f>
        <v/>
      </c>
      <c r="B14" s="17">
        <f>IF(A14="","",Baux!$C$14)</f>
        <v/>
      </c>
      <c r="C14" s="17">
        <f>IF(A14="","",IF(Baux!$R$14="","À RENSEIGNER",Baux!$R$14))</f>
        <v/>
      </c>
      <c r="D14" s="17">
        <f>IF(OR(A14="",Baux!$S$14=""),"",Baux!$S$14)</f>
        <v/>
      </c>
      <c r="E14" s="17">
        <f>IF(A14="","","Loyer "&amp;Baux!$B$14)</f>
        <v/>
      </c>
      <c r="F14" s="17">
        <f>IF(A14="","",Baux!$L$14)</f>
        <v/>
      </c>
      <c r="G14" s="17">
        <f>IF(A14="","",IF(F14="Annuelle","yearly","monthly"))</f>
        <v/>
      </c>
      <c r="H14" s="17">
        <f>IF(A14="","",IF(F14="Mensuelle",1,IF(F14="Trimestrielle",3,IF(F14="Semestrielle",6,1))))</f>
        <v/>
      </c>
      <c r="I14" s="17">
        <f>IF(A14="","",IF(F14="Mensuelle","mois",IF(F14="Trimestrielle","trimestre",IF(F14="Semestrielle","semestre","an"))))</f>
        <v/>
      </c>
      <c r="J14" s="27">
        <f>IF(A14="","",ROUND(Alertes!$G$14/IF(F14="Mensuelle",12,IF(F14="Trimestrielle",4,IF(F14="Semestrielle",2,1))),2))</f>
        <v/>
      </c>
      <c r="K14" s="27">
        <f>IF(A14="","",ROUND(IF(Baux!$J$14="",0,Baux!$J$14)/IF(F14="Mensuelle",12,IF(F14="Trimestrielle",4,IF(F14="Semestrielle",2,1))),2))</f>
        <v/>
      </c>
      <c r="L14" s="17">
        <f>IF(A14="","",Baux!$K$14)</f>
        <v/>
      </c>
      <c r="M14" s="17">
        <f>IF(A14="","",IF(L14=20,"FR_200",IF(L14=10,"FR_100",IF(L14=5.5,"FR_55",IF(L14=2.1,"FR_21","exempt")))))</f>
        <v/>
      </c>
      <c r="N14" s="17">
        <f>IF(A14="","",Société!$B$11)</f>
        <v/>
      </c>
      <c r="O14" s="17">
        <f>IF(A14="","",Société!$B$12)</f>
        <v/>
      </c>
      <c r="P14" s="17">
        <f>IF(A14="","",Société!$B$13)</f>
        <v/>
      </c>
      <c r="Q14" s="15">
        <f>IF(A14="","",DATE(YEAR(TODAY()),MONTH(TODAY())+1,1))</f>
        <v/>
      </c>
      <c r="R14" s="17">
        <f>IF(OR(A14="",Baux!$T$14=""),"",Baux!$T$14)</f>
        <v/>
      </c>
      <c r="S14" s="17">
        <f>IF(A14="","","{""customer_id"": "&amp;C14&amp;", ""label"": """&amp;E14&amp;""", ""start"": """&amp;YEAR(Q14)&amp;"-"&amp;TEXT(MONTH(Q14),"00")&amp;"-"&amp;TEXT(DAY(Q14),"00")&amp;""", ""mode"": {""type"": """&amp;N14&amp;"""}, ""payment_conditions"": """&amp;O14&amp;""", ""payment_method"": """&amp;P14&amp;""", ""recurring_rule"": "&amp;"{""type"": """&amp;G14&amp;""", ""interval"": "&amp;H14&amp;IF(G14="monthly",", ""day_of_month"": 1","")&amp;"}"&amp;", ""customer_invoice_data"": {""currency"": ""EUR"", ""language"": ""fr_FR"", ""pdf_invoice_subject"": """&amp;E14&amp;""", ""invoice_lines"": ["&amp;"{""label"": ""Loyer "&amp;LOWER(F14)&amp;" – "&amp;Baux!$B$14&amp;""", ""quantity"": 1, ""unit"": """&amp;I14&amp;""", ""raw_currency_unit_price"": """&amp;SUBSTITUTE(TEXT(J14,"0.00"),",",".")&amp;""", ""vat_rate"": """&amp;M14&amp;""""&amp;IF(D14&lt;&gt;"",", ""product_id"": "&amp;D14,"")&amp;"}"&amp;IF(K14&gt;0,", {""label"": ""Provision sur charges"", ""quantity"": 1, ""unit"": """&amp;I14&amp;""", ""raw_currency_unit_price"": """&amp;SUBSTITUTE(TEXT(K14,"0.00"),",",".")&amp;""", ""vat_rate"": """&amp;M14&amp;"""}","")&amp;"]}}")</f>
        <v/>
      </c>
    </row>
    <row r="15">
      <c r="A15" s="17">
        <f>IF(Baux!$A$15="","",Baux!$A$15)</f>
        <v/>
      </c>
      <c r="B15" s="17">
        <f>IF(A15="","",Baux!$C$15)</f>
        <v/>
      </c>
      <c r="C15" s="17">
        <f>IF(A15="","",IF(Baux!$R$15="","À RENSEIGNER",Baux!$R$15))</f>
        <v/>
      </c>
      <c r="D15" s="17">
        <f>IF(OR(A15="",Baux!$S$15=""),"",Baux!$S$15)</f>
        <v/>
      </c>
      <c r="E15" s="17">
        <f>IF(A15="","","Loyer "&amp;Baux!$B$15)</f>
        <v/>
      </c>
      <c r="F15" s="17">
        <f>IF(A15="","",Baux!$L$15)</f>
        <v/>
      </c>
      <c r="G15" s="17">
        <f>IF(A15="","",IF(F15="Annuelle","yearly","monthly"))</f>
        <v/>
      </c>
      <c r="H15" s="17">
        <f>IF(A15="","",IF(F15="Mensuelle",1,IF(F15="Trimestrielle",3,IF(F15="Semestrielle",6,1))))</f>
        <v/>
      </c>
      <c r="I15" s="17">
        <f>IF(A15="","",IF(F15="Mensuelle","mois",IF(F15="Trimestrielle","trimestre",IF(F15="Semestrielle","semestre","an"))))</f>
        <v/>
      </c>
      <c r="J15" s="27">
        <f>IF(A15="","",ROUND(Alertes!$G$15/IF(F15="Mensuelle",12,IF(F15="Trimestrielle",4,IF(F15="Semestrielle",2,1))),2))</f>
        <v/>
      </c>
      <c r="K15" s="27">
        <f>IF(A15="","",ROUND(IF(Baux!$J$15="",0,Baux!$J$15)/IF(F15="Mensuelle",12,IF(F15="Trimestrielle",4,IF(F15="Semestrielle",2,1))),2))</f>
        <v/>
      </c>
      <c r="L15" s="17">
        <f>IF(A15="","",Baux!$K$15)</f>
        <v/>
      </c>
      <c r="M15" s="17">
        <f>IF(A15="","",IF(L15=20,"FR_200",IF(L15=10,"FR_100",IF(L15=5.5,"FR_55",IF(L15=2.1,"FR_21","exempt")))))</f>
        <v/>
      </c>
      <c r="N15" s="17">
        <f>IF(A15="","",Société!$B$11)</f>
        <v/>
      </c>
      <c r="O15" s="17">
        <f>IF(A15="","",Société!$B$12)</f>
        <v/>
      </c>
      <c r="P15" s="17">
        <f>IF(A15="","",Société!$B$13)</f>
        <v/>
      </c>
      <c r="Q15" s="15">
        <f>IF(A15="","",DATE(YEAR(TODAY()),MONTH(TODAY())+1,1))</f>
        <v/>
      </c>
      <c r="R15" s="17">
        <f>IF(OR(A15="",Baux!$T$15=""),"",Baux!$T$15)</f>
        <v/>
      </c>
      <c r="S15" s="17">
        <f>IF(A15="","","{""customer_id"": "&amp;C15&amp;", ""label"": """&amp;E15&amp;""", ""start"": """&amp;YEAR(Q15)&amp;"-"&amp;TEXT(MONTH(Q15),"00")&amp;"-"&amp;TEXT(DAY(Q15),"00")&amp;""", ""mode"": {""type"": """&amp;N15&amp;"""}, ""payment_conditions"": """&amp;O15&amp;""", ""payment_method"": """&amp;P15&amp;""", ""recurring_rule"": "&amp;"{""type"": """&amp;G15&amp;""", ""interval"": "&amp;H15&amp;IF(G15="monthly",", ""day_of_month"": 1","")&amp;"}"&amp;", ""customer_invoice_data"": {""currency"": ""EUR"", ""language"": ""fr_FR"", ""pdf_invoice_subject"": """&amp;E15&amp;""", ""invoice_lines"": ["&amp;"{""label"": ""Loyer "&amp;LOWER(F15)&amp;" – "&amp;Baux!$B$15&amp;""", ""quantity"": 1, ""unit"": """&amp;I15&amp;""", ""raw_currency_unit_price"": """&amp;SUBSTITUTE(TEXT(J15,"0.00"),",",".")&amp;""", ""vat_rate"": """&amp;M15&amp;""""&amp;IF(D15&lt;&gt;"",", ""product_id"": "&amp;D15,"")&amp;"}"&amp;IF(K15&gt;0,", {""label"": ""Provision sur charges"", ""quantity"": 1, ""unit"": """&amp;I15&amp;""", ""raw_currency_unit_price"": """&amp;SUBSTITUTE(TEXT(K15,"0.00"),",",".")&amp;""", ""vat_rate"": """&amp;M15&amp;"""}","")&amp;"]}}")</f>
        <v/>
      </c>
    </row>
    <row r="16">
      <c r="A16" s="17">
        <f>IF(Baux!$A$16="","",Baux!$A$16)</f>
        <v/>
      </c>
      <c r="B16" s="17">
        <f>IF(A16="","",Baux!$C$16)</f>
        <v/>
      </c>
      <c r="C16" s="17">
        <f>IF(A16="","",IF(Baux!$R$16="","À RENSEIGNER",Baux!$R$16))</f>
        <v/>
      </c>
      <c r="D16" s="17">
        <f>IF(OR(A16="",Baux!$S$16=""),"",Baux!$S$16)</f>
        <v/>
      </c>
      <c r="E16" s="17">
        <f>IF(A16="","","Loyer "&amp;Baux!$B$16)</f>
        <v/>
      </c>
      <c r="F16" s="17">
        <f>IF(A16="","",Baux!$L$16)</f>
        <v/>
      </c>
      <c r="G16" s="17">
        <f>IF(A16="","",IF(F16="Annuelle","yearly","monthly"))</f>
        <v/>
      </c>
      <c r="H16" s="17">
        <f>IF(A16="","",IF(F16="Mensuelle",1,IF(F16="Trimestrielle",3,IF(F16="Semestrielle",6,1))))</f>
        <v/>
      </c>
      <c r="I16" s="17">
        <f>IF(A16="","",IF(F16="Mensuelle","mois",IF(F16="Trimestrielle","trimestre",IF(F16="Semestrielle","semestre","an"))))</f>
        <v/>
      </c>
      <c r="J16" s="27">
        <f>IF(A16="","",ROUND(Alertes!$G$16/IF(F16="Mensuelle",12,IF(F16="Trimestrielle",4,IF(F16="Semestrielle",2,1))),2))</f>
        <v/>
      </c>
      <c r="K16" s="27">
        <f>IF(A16="","",ROUND(IF(Baux!$J$16="",0,Baux!$J$16)/IF(F16="Mensuelle",12,IF(F16="Trimestrielle",4,IF(F16="Semestrielle",2,1))),2))</f>
        <v/>
      </c>
      <c r="L16" s="17">
        <f>IF(A16="","",Baux!$K$16)</f>
        <v/>
      </c>
      <c r="M16" s="17">
        <f>IF(A16="","",IF(L16=20,"FR_200",IF(L16=10,"FR_100",IF(L16=5.5,"FR_55",IF(L16=2.1,"FR_21","exempt")))))</f>
        <v/>
      </c>
      <c r="N16" s="17">
        <f>IF(A16="","",Société!$B$11)</f>
        <v/>
      </c>
      <c r="O16" s="17">
        <f>IF(A16="","",Société!$B$12)</f>
        <v/>
      </c>
      <c r="P16" s="17">
        <f>IF(A16="","",Société!$B$13)</f>
        <v/>
      </c>
      <c r="Q16" s="15">
        <f>IF(A16="","",DATE(YEAR(TODAY()),MONTH(TODAY())+1,1))</f>
        <v/>
      </c>
      <c r="R16" s="17">
        <f>IF(OR(A16="",Baux!$T$16=""),"",Baux!$T$16)</f>
        <v/>
      </c>
      <c r="S16" s="17">
        <f>IF(A16="","","{""customer_id"": "&amp;C16&amp;", ""label"": """&amp;E16&amp;""", ""start"": """&amp;YEAR(Q16)&amp;"-"&amp;TEXT(MONTH(Q16),"00")&amp;"-"&amp;TEXT(DAY(Q16),"00")&amp;""", ""mode"": {""type"": """&amp;N16&amp;"""}, ""payment_conditions"": """&amp;O16&amp;""", ""payment_method"": """&amp;P16&amp;""", ""recurring_rule"": "&amp;"{""type"": """&amp;G16&amp;""", ""interval"": "&amp;H16&amp;IF(G16="monthly",", ""day_of_month"": 1","")&amp;"}"&amp;", ""customer_invoice_data"": {""currency"": ""EUR"", ""language"": ""fr_FR"", ""pdf_invoice_subject"": """&amp;E16&amp;""", ""invoice_lines"": ["&amp;"{""label"": ""Loyer "&amp;LOWER(F16)&amp;" – "&amp;Baux!$B$16&amp;""", ""quantity"": 1, ""unit"": """&amp;I16&amp;""", ""raw_currency_unit_price"": """&amp;SUBSTITUTE(TEXT(J16,"0.00"),",",".")&amp;""", ""vat_rate"": """&amp;M16&amp;""""&amp;IF(D16&lt;&gt;"",", ""product_id"": "&amp;D16,"")&amp;"}"&amp;IF(K16&gt;0,", {""label"": ""Provision sur charges"", ""quantity"": 1, ""unit"": """&amp;I16&amp;""", ""raw_currency_unit_price"": """&amp;SUBSTITUTE(TEXT(K16,"0.00"),",",".")&amp;""", ""vat_rate"": """&amp;M16&amp;"""}","")&amp;"]}}")</f>
        <v/>
      </c>
    </row>
    <row r="17">
      <c r="A17" s="17">
        <f>IF(Baux!$A$17="","",Baux!$A$17)</f>
        <v/>
      </c>
      <c r="B17" s="17">
        <f>IF(A17="","",Baux!$C$17)</f>
        <v/>
      </c>
      <c r="C17" s="17">
        <f>IF(A17="","",IF(Baux!$R$17="","À RENSEIGNER",Baux!$R$17))</f>
        <v/>
      </c>
      <c r="D17" s="17">
        <f>IF(OR(A17="",Baux!$S$17=""),"",Baux!$S$17)</f>
        <v/>
      </c>
      <c r="E17" s="17">
        <f>IF(A17="","","Loyer "&amp;Baux!$B$17)</f>
        <v/>
      </c>
      <c r="F17" s="17">
        <f>IF(A17="","",Baux!$L$17)</f>
        <v/>
      </c>
      <c r="G17" s="17">
        <f>IF(A17="","",IF(F17="Annuelle","yearly","monthly"))</f>
        <v/>
      </c>
      <c r="H17" s="17">
        <f>IF(A17="","",IF(F17="Mensuelle",1,IF(F17="Trimestrielle",3,IF(F17="Semestrielle",6,1))))</f>
        <v/>
      </c>
      <c r="I17" s="17">
        <f>IF(A17="","",IF(F17="Mensuelle","mois",IF(F17="Trimestrielle","trimestre",IF(F17="Semestrielle","semestre","an"))))</f>
        <v/>
      </c>
      <c r="J17" s="27">
        <f>IF(A17="","",ROUND(Alertes!$G$17/IF(F17="Mensuelle",12,IF(F17="Trimestrielle",4,IF(F17="Semestrielle",2,1))),2))</f>
        <v/>
      </c>
      <c r="K17" s="27">
        <f>IF(A17="","",ROUND(IF(Baux!$J$17="",0,Baux!$J$17)/IF(F17="Mensuelle",12,IF(F17="Trimestrielle",4,IF(F17="Semestrielle",2,1))),2))</f>
        <v/>
      </c>
      <c r="L17" s="17">
        <f>IF(A17="","",Baux!$K$17)</f>
        <v/>
      </c>
      <c r="M17" s="17">
        <f>IF(A17="","",IF(L17=20,"FR_200",IF(L17=10,"FR_100",IF(L17=5.5,"FR_55",IF(L17=2.1,"FR_21","exempt")))))</f>
        <v/>
      </c>
      <c r="N17" s="17">
        <f>IF(A17="","",Société!$B$11)</f>
        <v/>
      </c>
      <c r="O17" s="17">
        <f>IF(A17="","",Société!$B$12)</f>
        <v/>
      </c>
      <c r="P17" s="17">
        <f>IF(A17="","",Société!$B$13)</f>
        <v/>
      </c>
      <c r="Q17" s="15">
        <f>IF(A17="","",DATE(YEAR(TODAY()),MONTH(TODAY())+1,1))</f>
        <v/>
      </c>
      <c r="R17" s="17">
        <f>IF(OR(A17="",Baux!$T$17=""),"",Baux!$T$17)</f>
        <v/>
      </c>
      <c r="S17" s="17">
        <f>IF(A17="","","{""customer_id"": "&amp;C17&amp;", ""label"": """&amp;E17&amp;""", ""start"": """&amp;YEAR(Q17)&amp;"-"&amp;TEXT(MONTH(Q17),"00")&amp;"-"&amp;TEXT(DAY(Q17),"00")&amp;""", ""mode"": {""type"": """&amp;N17&amp;"""}, ""payment_conditions"": """&amp;O17&amp;""", ""payment_method"": """&amp;P17&amp;""", ""recurring_rule"": "&amp;"{""type"": """&amp;G17&amp;""", ""interval"": "&amp;H17&amp;IF(G17="monthly",", ""day_of_month"": 1","")&amp;"}"&amp;", ""customer_invoice_data"": {""currency"": ""EUR"", ""language"": ""fr_FR"", ""pdf_invoice_subject"": """&amp;E17&amp;""", ""invoice_lines"": ["&amp;"{""label"": ""Loyer "&amp;LOWER(F17)&amp;" – "&amp;Baux!$B$17&amp;""", ""quantity"": 1, ""unit"": """&amp;I17&amp;""", ""raw_currency_unit_price"": """&amp;SUBSTITUTE(TEXT(J17,"0.00"),",",".")&amp;""", ""vat_rate"": """&amp;M17&amp;""""&amp;IF(D17&lt;&gt;"",", ""product_id"": "&amp;D17,"")&amp;"}"&amp;IF(K17&gt;0,", {""label"": ""Provision sur charges"", ""quantity"": 1, ""unit"": """&amp;I17&amp;""", ""raw_currency_unit_price"": """&amp;SUBSTITUTE(TEXT(K17,"0.00"),",",".")&amp;""", ""vat_rate"": """&amp;M17&amp;"""}","")&amp;"]}}")</f>
        <v/>
      </c>
    </row>
    <row r="18">
      <c r="A18" s="17">
        <f>IF(Baux!$A$18="","",Baux!$A$18)</f>
        <v/>
      </c>
      <c r="B18" s="17">
        <f>IF(A18="","",Baux!$C$18)</f>
        <v/>
      </c>
      <c r="C18" s="17">
        <f>IF(A18="","",IF(Baux!$R$18="","À RENSEIGNER",Baux!$R$18))</f>
        <v/>
      </c>
      <c r="D18" s="17">
        <f>IF(OR(A18="",Baux!$S$18=""),"",Baux!$S$18)</f>
        <v/>
      </c>
      <c r="E18" s="17">
        <f>IF(A18="","","Loyer "&amp;Baux!$B$18)</f>
        <v/>
      </c>
      <c r="F18" s="17">
        <f>IF(A18="","",Baux!$L$18)</f>
        <v/>
      </c>
      <c r="G18" s="17">
        <f>IF(A18="","",IF(F18="Annuelle","yearly","monthly"))</f>
        <v/>
      </c>
      <c r="H18" s="17">
        <f>IF(A18="","",IF(F18="Mensuelle",1,IF(F18="Trimestrielle",3,IF(F18="Semestrielle",6,1))))</f>
        <v/>
      </c>
      <c r="I18" s="17">
        <f>IF(A18="","",IF(F18="Mensuelle","mois",IF(F18="Trimestrielle","trimestre",IF(F18="Semestrielle","semestre","an"))))</f>
        <v/>
      </c>
      <c r="J18" s="27">
        <f>IF(A18="","",ROUND(Alertes!$G$18/IF(F18="Mensuelle",12,IF(F18="Trimestrielle",4,IF(F18="Semestrielle",2,1))),2))</f>
        <v/>
      </c>
      <c r="K18" s="27">
        <f>IF(A18="","",ROUND(IF(Baux!$J$18="",0,Baux!$J$18)/IF(F18="Mensuelle",12,IF(F18="Trimestrielle",4,IF(F18="Semestrielle",2,1))),2))</f>
        <v/>
      </c>
      <c r="L18" s="17">
        <f>IF(A18="","",Baux!$K$18)</f>
        <v/>
      </c>
      <c r="M18" s="17">
        <f>IF(A18="","",IF(L18=20,"FR_200",IF(L18=10,"FR_100",IF(L18=5.5,"FR_55",IF(L18=2.1,"FR_21","exempt")))))</f>
        <v/>
      </c>
      <c r="N18" s="17">
        <f>IF(A18="","",Société!$B$11)</f>
        <v/>
      </c>
      <c r="O18" s="17">
        <f>IF(A18="","",Société!$B$12)</f>
        <v/>
      </c>
      <c r="P18" s="17">
        <f>IF(A18="","",Société!$B$13)</f>
        <v/>
      </c>
      <c r="Q18" s="15">
        <f>IF(A18="","",DATE(YEAR(TODAY()),MONTH(TODAY())+1,1))</f>
        <v/>
      </c>
      <c r="R18" s="17">
        <f>IF(OR(A18="",Baux!$T$18=""),"",Baux!$T$18)</f>
        <v/>
      </c>
      <c r="S18" s="17">
        <f>IF(A18="","","{""customer_id"": "&amp;C18&amp;", ""label"": """&amp;E18&amp;""", ""start"": """&amp;YEAR(Q18)&amp;"-"&amp;TEXT(MONTH(Q18),"00")&amp;"-"&amp;TEXT(DAY(Q18),"00")&amp;""", ""mode"": {""type"": """&amp;N18&amp;"""}, ""payment_conditions"": """&amp;O18&amp;""", ""payment_method"": """&amp;P18&amp;""", ""recurring_rule"": "&amp;"{""type"": """&amp;G18&amp;""", ""interval"": "&amp;H18&amp;IF(G18="monthly",", ""day_of_month"": 1","")&amp;"}"&amp;", ""customer_invoice_data"": {""currency"": ""EUR"", ""language"": ""fr_FR"", ""pdf_invoice_subject"": """&amp;E18&amp;""", ""invoice_lines"": ["&amp;"{""label"": ""Loyer "&amp;LOWER(F18)&amp;" – "&amp;Baux!$B$18&amp;""", ""quantity"": 1, ""unit"": """&amp;I18&amp;""", ""raw_currency_unit_price"": """&amp;SUBSTITUTE(TEXT(J18,"0.00"),",",".")&amp;""", ""vat_rate"": """&amp;M18&amp;""""&amp;IF(D18&lt;&gt;"",", ""product_id"": "&amp;D18,"")&amp;"}"&amp;IF(K18&gt;0,", {""label"": ""Provision sur charges"", ""quantity"": 1, ""unit"": """&amp;I18&amp;""", ""raw_currency_unit_price"": """&amp;SUBSTITUTE(TEXT(K18,"0.00"),",",".")&amp;""", ""vat_rate"": """&amp;M18&amp;"""}","")&amp;"]}}")</f>
        <v/>
      </c>
    </row>
    <row r="19">
      <c r="A19" s="17">
        <f>IF(Baux!$A$19="","",Baux!$A$19)</f>
        <v/>
      </c>
      <c r="B19" s="17">
        <f>IF(A19="","",Baux!$C$19)</f>
        <v/>
      </c>
      <c r="C19" s="17">
        <f>IF(A19="","",IF(Baux!$R$19="","À RENSEIGNER",Baux!$R$19))</f>
        <v/>
      </c>
      <c r="D19" s="17">
        <f>IF(OR(A19="",Baux!$S$19=""),"",Baux!$S$19)</f>
        <v/>
      </c>
      <c r="E19" s="17">
        <f>IF(A19="","","Loyer "&amp;Baux!$B$19)</f>
        <v/>
      </c>
      <c r="F19" s="17">
        <f>IF(A19="","",Baux!$L$19)</f>
        <v/>
      </c>
      <c r="G19" s="17">
        <f>IF(A19="","",IF(F19="Annuelle","yearly","monthly"))</f>
        <v/>
      </c>
      <c r="H19" s="17">
        <f>IF(A19="","",IF(F19="Mensuelle",1,IF(F19="Trimestrielle",3,IF(F19="Semestrielle",6,1))))</f>
        <v/>
      </c>
      <c r="I19" s="17">
        <f>IF(A19="","",IF(F19="Mensuelle","mois",IF(F19="Trimestrielle","trimestre",IF(F19="Semestrielle","semestre","an"))))</f>
        <v/>
      </c>
      <c r="J19" s="27">
        <f>IF(A19="","",ROUND(Alertes!$G$19/IF(F19="Mensuelle",12,IF(F19="Trimestrielle",4,IF(F19="Semestrielle",2,1))),2))</f>
        <v/>
      </c>
      <c r="K19" s="27">
        <f>IF(A19="","",ROUND(IF(Baux!$J$19="",0,Baux!$J$19)/IF(F19="Mensuelle",12,IF(F19="Trimestrielle",4,IF(F19="Semestrielle",2,1))),2))</f>
        <v/>
      </c>
      <c r="L19" s="17">
        <f>IF(A19="","",Baux!$K$19)</f>
        <v/>
      </c>
      <c r="M19" s="17">
        <f>IF(A19="","",IF(L19=20,"FR_200",IF(L19=10,"FR_100",IF(L19=5.5,"FR_55",IF(L19=2.1,"FR_21","exempt")))))</f>
        <v/>
      </c>
      <c r="N19" s="17">
        <f>IF(A19="","",Société!$B$11)</f>
        <v/>
      </c>
      <c r="O19" s="17">
        <f>IF(A19="","",Société!$B$12)</f>
        <v/>
      </c>
      <c r="P19" s="17">
        <f>IF(A19="","",Société!$B$13)</f>
        <v/>
      </c>
      <c r="Q19" s="15">
        <f>IF(A19="","",DATE(YEAR(TODAY()),MONTH(TODAY())+1,1))</f>
        <v/>
      </c>
      <c r="R19" s="17">
        <f>IF(OR(A19="",Baux!$T$19=""),"",Baux!$T$19)</f>
        <v/>
      </c>
      <c r="S19" s="17">
        <f>IF(A19="","","{""customer_id"": "&amp;C19&amp;", ""label"": """&amp;E19&amp;""", ""start"": """&amp;YEAR(Q19)&amp;"-"&amp;TEXT(MONTH(Q19),"00")&amp;"-"&amp;TEXT(DAY(Q19),"00")&amp;""", ""mode"": {""type"": """&amp;N19&amp;"""}, ""payment_conditions"": """&amp;O19&amp;""", ""payment_method"": """&amp;P19&amp;""", ""recurring_rule"": "&amp;"{""type"": """&amp;G19&amp;""", ""interval"": "&amp;H19&amp;IF(G19="monthly",", ""day_of_month"": 1","")&amp;"}"&amp;", ""customer_invoice_data"": {""currency"": ""EUR"", ""language"": ""fr_FR"", ""pdf_invoice_subject"": """&amp;E19&amp;""", ""invoice_lines"": ["&amp;"{""label"": ""Loyer "&amp;LOWER(F19)&amp;" – "&amp;Baux!$B$19&amp;""", ""quantity"": 1, ""unit"": """&amp;I19&amp;""", ""raw_currency_unit_price"": """&amp;SUBSTITUTE(TEXT(J19,"0.00"),",",".")&amp;""", ""vat_rate"": """&amp;M19&amp;""""&amp;IF(D19&lt;&gt;"",", ""product_id"": "&amp;D19,"")&amp;"}"&amp;IF(K19&gt;0,", {""label"": ""Provision sur charges"", ""quantity"": 1, ""unit"": """&amp;I19&amp;""", ""raw_currency_unit_price"": """&amp;SUBSTITUTE(TEXT(K19,"0.00"),",",".")&amp;""", ""vat_rate"": """&amp;M19&amp;"""}","")&amp;"]}}")</f>
        <v/>
      </c>
    </row>
    <row r="20">
      <c r="A20" s="17">
        <f>IF(Baux!$A$20="","",Baux!$A$20)</f>
        <v/>
      </c>
      <c r="B20" s="17">
        <f>IF(A20="","",Baux!$C$20)</f>
        <v/>
      </c>
      <c r="C20" s="17">
        <f>IF(A20="","",IF(Baux!$R$20="","À RENSEIGNER",Baux!$R$20))</f>
        <v/>
      </c>
      <c r="D20" s="17">
        <f>IF(OR(A20="",Baux!$S$20=""),"",Baux!$S$20)</f>
        <v/>
      </c>
      <c r="E20" s="17">
        <f>IF(A20="","","Loyer "&amp;Baux!$B$20)</f>
        <v/>
      </c>
      <c r="F20" s="17">
        <f>IF(A20="","",Baux!$L$20)</f>
        <v/>
      </c>
      <c r="G20" s="17">
        <f>IF(A20="","",IF(F20="Annuelle","yearly","monthly"))</f>
        <v/>
      </c>
      <c r="H20" s="17">
        <f>IF(A20="","",IF(F20="Mensuelle",1,IF(F20="Trimestrielle",3,IF(F20="Semestrielle",6,1))))</f>
        <v/>
      </c>
      <c r="I20" s="17">
        <f>IF(A20="","",IF(F20="Mensuelle","mois",IF(F20="Trimestrielle","trimestre",IF(F20="Semestrielle","semestre","an"))))</f>
        <v/>
      </c>
      <c r="J20" s="27">
        <f>IF(A20="","",ROUND(Alertes!$G$20/IF(F20="Mensuelle",12,IF(F20="Trimestrielle",4,IF(F20="Semestrielle",2,1))),2))</f>
        <v/>
      </c>
      <c r="K20" s="27">
        <f>IF(A20="","",ROUND(IF(Baux!$J$20="",0,Baux!$J$20)/IF(F20="Mensuelle",12,IF(F20="Trimestrielle",4,IF(F20="Semestrielle",2,1))),2))</f>
        <v/>
      </c>
      <c r="L20" s="17">
        <f>IF(A20="","",Baux!$K$20)</f>
        <v/>
      </c>
      <c r="M20" s="17">
        <f>IF(A20="","",IF(L20=20,"FR_200",IF(L20=10,"FR_100",IF(L20=5.5,"FR_55",IF(L20=2.1,"FR_21","exempt")))))</f>
        <v/>
      </c>
      <c r="N20" s="17">
        <f>IF(A20="","",Société!$B$11)</f>
        <v/>
      </c>
      <c r="O20" s="17">
        <f>IF(A20="","",Société!$B$12)</f>
        <v/>
      </c>
      <c r="P20" s="17">
        <f>IF(A20="","",Société!$B$13)</f>
        <v/>
      </c>
      <c r="Q20" s="15">
        <f>IF(A20="","",DATE(YEAR(TODAY()),MONTH(TODAY())+1,1))</f>
        <v/>
      </c>
      <c r="R20" s="17">
        <f>IF(OR(A20="",Baux!$T$20=""),"",Baux!$T$20)</f>
        <v/>
      </c>
      <c r="S20" s="17">
        <f>IF(A20="","","{""customer_id"": "&amp;C20&amp;", ""label"": """&amp;E20&amp;""", ""start"": """&amp;YEAR(Q20)&amp;"-"&amp;TEXT(MONTH(Q20),"00")&amp;"-"&amp;TEXT(DAY(Q20),"00")&amp;""", ""mode"": {""type"": """&amp;N20&amp;"""}, ""payment_conditions"": """&amp;O20&amp;""", ""payment_method"": """&amp;P20&amp;""", ""recurring_rule"": "&amp;"{""type"": """&amp;G20&amp;""", ""interval"": "&amp;H20&amp;IF(G20="monthly",", ""day_of_month"": 1","")&amp;"}"&amp;", ""customer_invoice_data"": {""currency"": ""EUR"", ""language"": ""fr_FR"", ""pdf_invoice_subject"": """&amp;E20&amp;""", ""invoice_lines"": ["&amp;"{""label"": ""Loyer "&amp;LOWER(F20)&amp;" – "&amp;Baux!$B$20&amp;""", ""quantity"": 1, ""unit"": """&amp;I20&amp;""", ""raw_currency_unit_price"": """&amp;SUBSTITUTE(TEXT(J20,"0.00"),",",".")&amp;""", ""vat_rate"": """&amp;M20&amp;""""&amp;IF(D20&lt;&gt;"",", ""product_id"": "&amp;D20,"")&amp;"}"&amp;IF(K20&gt;0,", {""label"": ""Provision sur charges"", ""quantity"": 1, ""unit"": """&amp;I20&amp;""", ""raw_currency_unit_price"": """&amp;SUBSTITUTE(TEXT(K20,"0.00"),",",".")&amp;""", ""vat_rate"": """&amp;M20&amp;"""}","")&amp;"]}}")</f>
        <v/>
      </c>
    </row>
    <row r="21">
      <c r="A21" s="17">
        <f>IF(Baux!$A$21="","",Baux!$A$21)</f>
        <v/>
      </c>
      <c r="B21" s="17">
        <f>IF(A21="","",Baux!$C$21)</f>
        <v/>
      </c>
      <c r="C21" s="17">
        <f>IF(A21="","",IF(Baux!$R$21="","À RENSEIGNER",Baux!$R$21))</f>
        <v/>
      </c>
      <c r="D21" s="17">
        <f>IF(OR(A21="",Baux!$S$21=""),"",Baux!$S$21)</f>
        <v/>
      </c>
      <c r="E21" s="17">
        <f>IF(A21="","","Loyer "&amp;Baux!$B$21)</f>
        <v/>
      </c>
      <c r="F21" s="17">
        <f>IF(A21="","",Baux!$L$21)</f>
        <v/>
      </c>
      <c r="G21" s="17">
        <f>IF(A21="","",IF(F21="Annuelle","yearly","monthly"))</f>
        <v/>
      </c>
      <c r="H21" s="17">
        <f>IF(A21="","",IF(F21="Mensuelle",1,IF(F21="Trimestrielle",3,IF(F21="Semestrielle",6,1))))</f>
        <v/>
      </c>
      <c r="I21" s="17">
        <f>IF(A21="","",IF(F21="Mensuelle","mois",IF(F21="Trimestrielle","trimestre",IF(F21="Semestrielle","semestre","an"))))</f>
        <v/>
      </c>
      <c r="J21" s="27">
        <f>IF(A21="","",ROUND(Alertes!$G$21/IF(F21="Mensuelle",12,IF(F21="Trimestrielle",4,IF(F21="Semestrielle",2,1))),2))</f>
        <v/>
      </c>
      <c r="K21" s="27">
        <f>IF(A21="","",ROUND(IF(Baux!$J$21="",0,Baux!$J$21)/IF(F21="Mensuelle",12,IF(F21="Trimestrielle",4,IF(F21="Semestrielle",2,1))),2))</f>
        <v/>
      </c>
      <c r="L21" s="17">
        <f>IF(A21="","",Baux!$K$21)</f>
        <v/>
      </c>
      <c r="M21" s="17">
        <f>IF(A21="","",IF(L21=20,"FR_200",IF(L21=10,"FR_100",IF(L21=5.5,"FR_55",IF(L21=2.1,"FR_21","exempt")))))</f>
        <v/>
      </c>
      <c r="N21" s="17">
        <f>IF(A21="","",Société!$B$11)</f>
        <v/>
      </c>
      <c r="O21" s="17">
        <f>IF(A21="","",Société!$B$12)</f>
        <v/>
      </c>
      <c r="P21" s="17">
        <f>IF(A21="","",Société!$B$13)</f>
        <v/>
      </c>
      <c r="Q21" s="15">
        <f>IF(A21="","",DATE(YEAR(TODAY()),MONTH(TODAY())+1,1))</f>
        <v/>
      </c>
      <c r="R21" s="17">
        <f>IF(OR(A21="",Baux!$T$21=""),"",Baux!$T$21)</f>
        <v/>
      </c>
      <c r="S21" s="17">
        <f>IF(A21="","","{""customer_id"": "&amp;C21&amp;", ""label"": """&amp;E21&amp;""", ""start"": """&amp;YEAR(Q21)&amp;"-"&amp;TEXT(MONTH(Q21),"00")&amp;"-"&amp;TEXT(DAY(Q21),"00")&amp;""", ""mode"": {""type"": """&amp;N21&amp;"""}, ""payment_conditions"": """&amp;O21&amp;""", ""payment_method"": """&amp;P21&amp;""", ""recurring_rule"": "&amp;"{""type"": """&amp;G21&amp;""", ""interval"": "&amp;H21&amp;IF(G21="monthly",", ""day_of_month"": 1","")&amp;"}"&amp;", ""customer_invoice_data"": {""currency"": ""EUR"", ""language"": ""fr_FR"", ""pdf_invoice_subject"": """&amp;E21&amp;""", ""invoice_lines"": ["&amp;"{""label"": ""Loyer "&amp;LOWER(F21)&amp;" – "&amp;Baux!$B$21&amp;""", ""quantity"": 1, ""unit"": """&amp;I21&amp;""", ""raw_currency_unit_price"": """&amp;SUBSTITUTE(TEXT(J21,"0.00"),",",".")&amp;""", ""vat_rate"": """&amp;M21&amp;""""&amp;IF(D21&lt;&gt;"",", ""product_id"": "&amp;D21,"")&amp;"}"&amp;IF(K21&gt;0,", {""label"": ""Provision sur charges"", ""quantity"": 1, ""unit"": """&amp;I21&amp;""", ""raw_currency_unit_price"": """&amp;SUBSTITUTE(TEXT(K21,"0.00"),",",".")&amp;""", ""vat_rate"": """&amp;M21&amp;"""}","")&amp;"]}}")</f>
        <v/>
      </c>
    </row>
    <row r="22">
      <c r="A22" s="17">
        <f>IF(Baux!$A$22="","",Baux!$A$22)</f>
        <v/>
      </c>
      <c r="B22" s="17">
        <f>IF(A22="","",Baux!$C$22)</f>
        <v/>
      </c>
      <c r="C22" s="17">
        <f>IF(A22="","",IF(Baux!$R$22="","À RENSEIGNER",Baux!$R$22))</f>
        <v/>
      </c>
      <c r="D22" s="17">
        <f>IF(OR(A22="",Baux!$S$22=""),"",Baux!$S$22)</f>
        <v/>
      </c>
      <c r="E22" s="17">
        <f>IF(A22="","","Loyer "&amp;Baux!$B$22)</f>
        <v/>
      </c>
      <c r="F22" s="17">
        <f>IF(A22="","",Baux!$L$22)</f>
        <v/>
      </c>
      <c r="G22" s="17">
        <f>IF(A22="","",IF(F22="Annuelle","yearly","monthly"))</f>
        <v/>
      </c>
      <c r="H22" s="17">
        <f>IF(A22="","",IF(F22="Mensuelle",1,IF(F22="Trimestrielle",3,IF(F22="Semestrielle",6,1))))</f>
        <v/>
      </c>
      <c r="I22" s="17">
        <f>IF(A22="","",IF(F22="Mensuelle","mois",IF(F22="Trimestrielle","trimestre",IF(F22="Semestrielle","semestre","an"))))</f>
        <v/>
      </c>
      <c r="J22" s="27">
        <f>IF(A22="","",ROUND(Alertes!$G$22/IF(F22="Mensuelle",12,IF(F22="Trimestrielle",4,IF(F22="Semestrielle",2,1))),2))</f>
        <v/>
      </c>
      <c r="K22" s="27">
        <f>IF(A22="","",ROUND(IF(Baux!$J$22="",0,Baux!$J$22)/IF(F22="Mensuelle",12,IF(F22="Trimestrielle",4,IF(F22="Semestrielle",2,1))),2))</f>
        <v/>
      </c>
      <c r="L22" s="17">
        <f>IF(A22="","",Baux!$K$22)</f>
        <v/>
      </c>
      <c r="M22" s="17">
        <f>IF(A22="","",IF(L22=20,"FR_200",IF(L22=10,"FR_100",IF(L22=5.5,"FR_55",IF(L22=2.1,"FR_21","exempt")))))</f>
        <v/>
      </c>
      <c r="N22" s="17">
        <f>IF(A22="","",Société!$B$11)</f>
        <v/>
      </c>
      <c r="O22" s="17">
        <f>IF(A22="","",Société!$B$12)</f>
        <v/>
      </c>
      <c r="P22" s="17">
        <f>IF(A22="","",Société!$B$13)</f>
        <v/>
      </c>
      <c r="Q22" s="15">
        <f>IF(A22="","",DATE(YEAR(TODAY()),MONTH(TODAY())+1,1))</f>
        <v/>
      </c>
      <c r="R22" s="17">
        <f>IF(OR(A22="",Baux!$T$22=""),"",Baux!$T$22)</f>
        <v/>
      </c>
      <c r="S22" s="17">
        <f>IF(A22="","","{""customer_id"": "&amp;C22&amp;", ""label"": """&amp;E22&amp;""", ""start"": """&amp;YEAR(Q22)&amp;"-"&amp;TEXT(MONTH(Q22),"00")&amp;"-"&amp;TEXT(DAY(Q22),"00")&amp;""", ""mode"": {""type"": """&amp;N22&amp;"""}, ""payment_conditions"": """&amp;O22&amp;""", ""payment_method"": """&amp;P22&amp;""", ""recurring_rule"": "&amp;"{""type"": """&amp;G22&amp;""", ""interval"": "&amp;H22&amp;IF(G22="monthly",", ""day_of_month"": 1","")&amp;"}"&amp;", ""customer_invoice_data"": {""currency"": ""EUR"", ""language"": ""fr_FR"", ""pdf_invoice_subject"": """&amp;E22&amp;""", ""invoice_lines"": ["&amp;"{""label"": ""Loyer "&amp;LOWER(F22)&amp;" – "&amp;Baux!$B$22&amp;""", ""quantity"": 1, ""unit"": """&amp;I22&amp;""", ""raw_currency_unit_price"": """&amp;SUBSTITUTE(TEXT(J22,"0.00"),",",".")&amp;""", ""vat_rate"": """&amp;M22&amp;""""&amp;IF(D22&lt;&gt;"",", ""product_id"": "&amp;D22,"")&amp;"}"&amp;IF(K22&gt;0,", {""label"": ""Provision sur charges"", ""quantity"": 1, ""unit"": """&amp;I22&amp;""", ""raw_currency_unit_price"": """&amp;SUBSTITUTE(TEXT(K22,"0.00"),",",".")&amp;""", ""vat_rate"": """&amp;M22&amp;"""}","")&amp;"]}}")</f>
        <v/>
      </c>
    </row>
    <row r="23">
      <c r="A23" s="17">
        <f>IF(Baux!$A$23="","",Baux!$A$23)</f>
        <v/>
      </c>
      <c r="B23" s="17">
        <f>IF(A23="","",Baux!$C$23)</f>
        <v/>
      </c>
      <c r="C23" s="17">
        <f>IF(A23="","",IF(Baux!$R$23="","À RENSEIGNER",Baux!$R$23))</f>
        <v/>
      </c>
      <c r="D23" s="17">
        <f>IF(OR(A23="",Baux!$S$23=""),"",Baux!$S$23)</f>
        <v/>
      </c>
      <c r="E23" s="17">
        <f>IF(A23="","","Loyer "&amp;Baux!$B$23)</f>
        <v/>
      </c>
      <c r="F23" s="17">
        <f>IF(A23="","",Baux!$L$23)</f>
        <v/>
      </c>
      <c r="G23" s="17">
        <f>IF(A23="","",IF(F23="Annuelle","yearly","monthly"))</f>
        <v/>
      </c>
      <c r="H23" s="17">
        <f>IF(A23="","",IF(F23="Mensuelle",1,IF(F23="Trimestrielle",3,IF(F23="Semestrielle",6,1))))</f>
        <v/>
      </c>
      <c r="I23" s="17">
        <f>IF(A23="","",IF(F23="Mensuelle","mois",IF(F23="Trimestrielle","trimestre",IF(F23="Semestrielle","semestre","an"))))</f>
        <v/>
      </c>
      <c r="J23" s="27">
        <f>IF(A23="","",ROUND(Alertes!$G$23/IF(F23="Mensuelle",12,IF(F23="Trimestrielle",4,IF(F23="Semestrielle",2,1))),2))</f>
        <v/>
      </c>
      <c r="K23" s="27">
        <f>IF(A23="","",ROUND(IF(Baux!$J$23="",0,Baux!$J$23)/IF(F23="Mensuelle",12,IF(F23="Trimestrielle",4,IF(F23="Semestrielle",2,1))),2))</f>
        <v/>
      </c>
      <c r="L23" s="17">
        <f>IF(A23="","",Baux!$K$23)</f>
        <v/>
      </c>
      <c r="M23" s="17">
        <f>IF(A23="","",IF(L23=20,"FR_200",IF(L23=10,"FR_100",IF(L23=5.5,"FR_55",IF(L23=2.1,"FR_21","exempt")))))</f>
        <v/>
      </c>
      <c r="N23" s="17">
        <f>IF(A23="","",Société!$B$11)</f>
        <v/>
      </c>
      <c r="O23" s="17">
        <f>IF(A23="","",Société!$B$12)</f>
        <v/>
      </c>
      <c r="P23" s="17">
        <f>IF(A23="","",Société!$B$13)</f>
        <v/>
      </c>
      <c r="Q23" s="15">
        <f>IF(A23="","",DATE(YEAR(TODAY()),MONTH(TODAY())+1,1))</f>
        <v/>
      </c>
      <c r="R23" s="17">
        <f>IF(OR(A23="",Baux!$T$23=""),"",Baux!$T$23)</f>
        <v/>
      </c>
      <c r="S23" s="17">
        <f>IF(A23="","","{""customer_id"": "&amp;C23&amp;", ""label"": """&amp;E23&amp;""", ""start"": """&amp;YEAR(Q23)&amp;"-"&amp;TEXT(MONTH(Q23),"00")&amp;"-"&amp;TEXT(DAY(Q23),"00")&amp;""", ""mode"": {""type"": """&amp;N23&amp;"""}, ""payment_conditions"": """&amp;O23&amp;""", ""payment_method"": """&amp;P23&amp;""", ""recurring_rule"": "&amp;"{""type"": """&amp;G23&amp;""", ""interval"": "&amp;H23&amp;IF(G23="monthly",", ""day_of_month"": 1","")&amp;"}"&amp;", ""customer_invoice_data"": {""currency"": ""EUR"", ""language"": ""fr_FR"", ""pdf_invoice_subject"": """&amp;E23&amp;""", ""invoice_lines"": ["&amp;"{""label"": ""Loyer "&amp;LOWER(F23)&amp;" – "&amp;Baux!$B$23&amp;""", ""quantity"": 1, ""unit"": """&amp;I23&amp;""", ""raw_currency_unit_price"": """&amp;SUBSTITUTE(TEXT(J23,"0.00"),",",".")&amp;""", ""vat_rate"": """&amp;M23&amp;""""&amp;IF(D23&lt;&gt;"",", ""product_id"": "&amp;D23,"")&amp;"}"&amp;IF(K23&gt;0,", {""label"": ""Provision sur charges"", ""quantity"": 1, ""unit"": """&amp;I23&amp;""", ""raw_currency_unit_price"": """&amp;SUBSTITUTE(TEXT(K23,"0.00"),",",".")&amp;""", ""vat_rate"": """&amp;M23&amp;"""}","")&amp;"]}}")</f>
        <v/>
      </c>
    </row>
    <row r="24">
      <c r="A24" s="17">
        <f>IF(Baux!$A$24="","",Baux!$A$24)</f>
        <v/>
      </c>
      <c r="B24" s="17">
        <f>IF(A24="","",Baux!$C$24)</f>
        <v/>
      </c>
      <c r="C24" s="17">
        <f>IF(A24="","",IF(Baux!$R$24="","À RENSEIGNER",Baux!$R$24))</f>
        <v/>
      </c>
      <c r="D24" s="17">
        <f>IF(OR(A24="",Baux!$S$24=""),"",Baux!$S$24)</f>
        <v/>
      </c>
      <c r="E24" s="17">
        <f>IF(A24="","","Loyer "&amp;Baux!$B$24)</f>
        <v/>
      </c>
      <c r="F24" s="17">
        <f>IF(A24="","",Baux!$L$24)</f>
        <v/>
      </c>
      <c r="G24" s="17">
        <f>IF(A24="","",IF(F24="Annuelle","yearly","monthly"))</f>
        <v/>
      </c>
      <c r="H24" s="17">
        <f>IF(A24="","",IF(F24="Mensuelle",1,IF(F24="Trimestrielle",3,IF(F24="Semestrielle",6,1))))</f>
        <v/>
      </c>
      <c r="I24" s="17">
        <f>IF(A24="","",IF(F24="Mensuelle","mois",IF(F24="Trimestrielle","trimestre",IF(F24="Semestrielle","semestre","an"))))</f>
        <v/>
      </c>
      <c r="J24" s="27">
        <f>IF(A24="","",ROUND(Alertes!$G$24/IF(F24="Mensuelle",12,IF(F24="Trimestrielle",4,IF(F24="Semestrielle",2,1))),2))</f>
        <v/>
      </c>
      <c r="K24" s="27">
        <f>IF(A24="","",ROUND(IF(Baux!$J$24="",0,Baux!$J$24)/IF(F24="Mensuelle",12,IF(F24="Trimestrielle",4,IF(F24="Semestrielle",2,1))),2))</f>
        <v/>
      </c>
      <c r="L24" s="17">
        <f>IF(A24="","",Baux!$K$24)</f>
        <v/>
      </c>
      <c r="M24" s="17">
        <f>IF(A24="","",IF(L24=20,"FR_200",IF(L24=10,"FR_100",IF(L24=5.5,"FR_55",IF(L24=2.1,"FR_21","exempt")))))</f>
        <v/>
      </c>
      <c r="N24" s="17">
        <f>IF(A24="","",Société!$B$11)</f>
        <v/>
      </c>
      <c r="O24" s="17">
        <f>IF(A24="","",Société!$B$12)</f>
        <v/>
      </c>
      <c r="P24" s="17">
        <f>IF(A24="","",Société!$B$13)</f>
        <v/>
      </c>
      <c r="Q24" s="15">
        <f>IF(A24="","",DATE(YEAR(TODAY()),MONTH(TODAY())+1,1))</f>
        <v/>
      </c>
      <c r="R24" s="17">
        <f>IF(OR(A24="",Baux!$T$24=""),"",Baux!$T$24)</f>
        <v/>
      </c>
      <c r="S24" s="17">
        <f>IF(A24="","","{""customer_id"": "&amp;C24&amp;", ""label"": """&amp;E24&amp;""", ""start"": """&amp;YEAR(Q24)&amp;"-"&amp;TEXT(MONTH(Q24),"00")&amp;"-"&amp;TEXT(DAY(Q24),"00")&amp;""", ""mode"": {""type"": """&amp;N24&amp;"""}, ""payment_conditions"": """&amp;O24&amp;""", ""payment_method"": """&amp;P24&amp;""", ""recurring_rule"": "&amp;"{""type"": """&amp;G24&amp;""", ""interval"": "&amp;H24&amp;IF(G24="monthly",", ""day_of_month"": 1","")&amp;"}"&amp;", ""customer_invoice_data"": {""currency"": ""EUR"", ""language"": ""fr_FR"", ""pdf_invoice_subject"": """&amp;E24&amp;""", ""invoice_lines"": ["&amp;"{""label"": ""Loyer "&amp;LOWER(F24)&amp;" – "&amp;Baux!$B$24&amp;""", ""quantity"": 1, ""unit"": """&amp;I24&amp;""", ""raw_currency_unit_price"": """&amp;SUBSTITUTE(TEXT(J24,"0.00"),",",".")&amp;""", ""vat_rate"": """&amp;M24&amp;""""&amp;IF(D24&lt;&gt;"",", ""product_id"": "&amp;D24,"")&amp;"}"&amp;IF(K24&gt;0,", {""label"": ""Provision sur charges"", ""quantity"": 1, ""unit"": """&amp;I24&amp;""", ""raw_currency_unit_price"": """&amp;SUBSTITUTE(TEXT(K24,"0.00"),",",".")&amp;""", ""vat_rate"": """&amp;M24&amp;"""}","")&amp;"]}}")</f>
        <v/>
      </c>
    </row>
    <row r="25">
      <c r="A25" s="17">
        <f>IF(Baux!$A$25="","",Baux!$A$25)</f>
        <v/>
      </c>
      <c r="B25" s="17">
        <f>IF(A25="","",Baux!$C$25)</f>
        <v/>
      </c>
      <c r="C25" s="17">
        <f>IF(A25="","",IF(Baux!$R$25="","À RENSEIGNER",Baux!$R$25))</f>
        <v/>
      </c>
      <c r="D25" s="17">
        <f>IF(OR(A25="",Baux!$S$25=""),"",Baux!$S$25)</f>
        <v/>
      </c>
      <c r="E25" s="17">
        <f>IF(A25="","","Loyer "&amp;Baux!$B$25)</f>
        <v/>
      </c>
      <c r="F25" s="17">
        <f>IF(A25="","",Baux!$L$25)</f>
        <v/>
      </c>
      <c r="G25" s="17">
        <f>IF(A25="","",IF(F25="Annuelle","yearly","monthly"))</f>
        <v/>
      </c>
      <c r="H25" s="17">
        <f>IF(A25="","",IF(F25="Mensuelle",1,IF(F25="Trimestrielle",3,IF(F25="Semestrielle",6,1))))</f>
        <v/>
      </c>
      <c r="I25" s="17">
        <f>IF(A25="","",IF(F25="Mensuelle","mois",IF(F25="Trimestrielle","trimestre",IF(F25="Semestrielle","semestre","an"))))</f>
        <v/>
      </c>
      <c r="J25" s="27">
        <f>IF(A25="","",ROUND(Alertes!$G$25/IF(F25="Mensuelle",12,IF(F25="Trimestrielle",4,IF(F25="Semestrielle",2,1))),2))</f>
        <v/>
      </c>
      <c r="K25" s="27">
        <f>IF(A25="","",ROUND(IF(Baux!$J$25="",0,Baux!$J$25)/IF(F25="Mensuelle",12,IF(F25="Trimestrielle",4,IF(F25="Semestrielle",2,1))),2))</f>
        <v/>
      </c>
      <c r="L25" s="17">
        <f>IF(A25="","",Baux!$K$25)</f>
        <v/>
      </c>
      <c r="M25" s="17">
        <f>IF(A25="","",IF(L25=20,"FR_200",IF(L25=10,"FR_100",IF(L25=5.5,"FR_55",IF(L25=2.1,"FR_21","exempt")))))</f>
        <v/>
      </c>
      <c r="N25" s="17">
        <f>IF(A25="","",Société!$B$11)</f>
        <v/>
      </c>
      <c r="O25" s="17">
        <f>IF(A25="","",Société!$B$12)</f>
        <v/>
      </c>
      <c r="P25" s="17">
        <f>IF(A25="","",Société!$B$13)</f>
        <v/>
      </c>
      <c r="Q25" s="15">
        <f>IF(A25="","",DATE(YEAR(TODAY()),MONTH(TODAY())+1,1))</f>
        <v/>
      </c>
      <c r="R25" s="17">
        <f>IF(OR(A25="",Baux!$T$25=""),"",Baux!$T$25)</f>
        <v/>
      </c>
      <c r="S25" s="17">
        <f>IF(A25="","","{""customer_id"": "&amp;C25&amp;", ""label"": """&amp;E25&amp;""", ""start"": """&amp;YEAR(Q25)&amp;"-"&amp;TEXT(MONTH(Q25),"00")&amp;"-"&amp;TEXT(DAY(Q25),"00")&amp;""", ""mode"": {""type"": """&amp;N25&amp;"""}, ""payment_conditions"": """&amp;O25&amp;""", ""payment_method"": """&amp;P25&amp;""", ""recurring_rule"": "&amp;"{""type"": """&amp;G25&amp;""", ""interval"": "&amp;H25&amp;IF(G25="monthly",", ""day_of_month"": 1","")&amp;"}"&amp;", ""customer_invoice_data"": {""currency"": ""EUR"", ""language"": ""fr_FR"", ""pdf_invoice_subject"": """&amp;E25&amp;""", ""invoice_lines"": ["&amp;"{""label"": ""Loyer "&amp;LOWER(F25)&amp;" – "&amp;Baux!$B$25&amp;""", ""quantity"": 1, ""unit"": """&amp;I25&amp;""", ""raw_currency_unit_price"": """&amp;SUBSTITUTE(TEXT(J25,"0.00"),",",".")&amp;""", ""vat_rate"": """&amp;M25&amp;""""&amp;IF(D25&lt;&gt;"",", ""product_id"": "&amp;D25,"")&amp;"}"&amp;IF(K25&gt;0,", {""label"": ""Provision sur charges"", ""quantity"": 1, ""unit"": """&amp;I25&amp;""", ""raw_currency_unit_price"": """&amp;SUBSTITUTE(TEXT(K25,"0.00"),",",".")&amp;""", ""vat_rate"": """&amp;M25&amp;"""}","")&amp;"]}}")</f>
        <v/>
      </c>
    </row>
    <row r="26">
      <c r="A26" s="17">
        <f>IF(Baux!$A$26="","",Baux!$A$26)</f>
        <v/>
      </c>
      <c r="B26" s="17">
        <f>IF(A26="","",Baux!$C$26)</f>
        <v/>
      </c>
      <c r="C26" s="17">
        <f>IF(A26="","",IF(Baux!$R$26="","À RENSEIGNER",Baux!$R$26))</f>
        <v/>
      </c>
      <c r="D26" s="17">
        <f>IF(OR(A26="",Baux!$S$26=""),"",Baux!$S$26)</f>
        <v/>
      </c>
      <c r="E26" s="17">
        <f>IF(A26="","","Loyer "&amp;Baux!$B$26)</f>
        <v/>
      </c>
      <c r="F26" s="17">
        <f>IF(A26="","",Baux!$L$26)</f>
        <v/>
      </c>
      <c r="G26" s="17">
        <f>IF(A26="","",IF(F26="Annuelle","yearly","monthly"))</f>
        <v/>
      </c>
      <c r="H26" s="17">
        <f>IF(A26="","",IF(F26="Mensuelle",1,IF(F26="Trimestrielle",3,IF(F26="Semestrielle",6,1))))</f>
        <v/>
      </c>
      <c r="I26" s="17">
        <f>IF(A26="","",IF(F26="Mensuelle","mois",IF(F26="Trimestrielle","trimestre",IF(F26="Semestrielle","semestre","an"))))</f>
        <v/>
      </c>
      <c r="J26" s="27">
        <f>IF(A26="","",ROUND(Alertes!$G$26/IF(F26="Mensuelle",12,IF(F26="Trimestrielle",4,IF(F26="Semestrielle",2,1))),2))</f>
        <v/>
      </c>
      <c r="K26" s="27">
        <f>IF(A26="","",ROUND(IF(Baux!$J$26="",0,Baux!$J$26)/IF(F26="Mensuelle",12,IF(F26="Trimestrielle",4,IF(F26="Semestrielle",2,1))),2))</f>
        <v/>
      </c>
      <c r="L26" s="17">
        <f>IF(A26="","",Baux!$K$26)</f>
        <v/>
      </c>
      <c r="M26" s="17">
        <f>IF(A26="","",IF(L26=20,"FR_200",IF(L26=10,"FR_100",IF(L26=5.5,"FR_55",IF(L26=2.1,"FR_21","exempt")))))</f>
        <v/>
      </c>
      <c r="N26" s="17">
        <f>IF(A26="","",Société!$B$11)</f>
        <v/>
      </c>
      <c r="O26" s="17">
        <f>IF(A26="","",Société!$B$12)</f>
        <v/>
      </c>
      <c r="P26" s="17">
        <f>IF(A26="","",Société!$B$13)</f>
        <v/>
      </c>
      <c r="Q26" s="15">
        <f>IF(A26="","",DATE(YEAR(TODAY()),MONTH(TODAY())+1,1))</f>
        <v/>
      </c>
      <c r="R26" s="17">
        <f>IF(OR(A26="",Baux!$T$26=""),"",Baux!$T$26)</f>
        <v/>
      </c>
      <c r="S26" s="17">
        <f>IF(A26="","","{""customer_id"": "&amp;C26&amp;", ""label"": """&amp;E26&amp;""", ""start"": """&amp;YEAR(Q26)&amp;"-"&amp;TEXT(MONTH(Q26),"00")&amp;"-"&amp;TEXT(DAY(Q26),"00")&amp;""", ""mode"": {""type"": """&amp;N26&amp;"""}, ""payment_conditions"": """&amp;O26&amp;""", ""payment_method"": """&amp;P26&amp;""", ""recurring_rule"": "&amp;"{""type"": """&amp;G26&amp;""", ""interval"": "&amp;H26&amp;IF(G26="monthly",", ""day_of_month"": 1","")&amp;"}"&amp;", ""customer_invoice_data"": {""currency"": ""EUR"", ""language"": ""fr_FR"", ""pdf_invoice_subject"": """&amp;E26&amp;""", ""invoice_lines"": ["&amp;"{""label"": ""Loyer "&amp;LOWER(F26)&amp;" – "&amp;Baux!$B$26&amp;""", ""quantity"": 1, ""unit"": """&amp;I26&amp;""", ""raw_currency_unit_price"": """&amp;SUBSTITUTE(TEXT(J26,"0.00"),",",".")&amp;""", ""vat_rate"": """&amp;M26&amp;""""&amp;IF(D26&lt;&gt;"",", ""product_id"": "&amp;D26,"")&amp;"}"&amp;IF(K26&gt;0,", {""label"": ""Provision sur charges"", ""quantity"": 1, ""unit"": """&amp;I26&amp;""", ""raw_currency_unit_price"": """&amp;SUBSTITUTE(TEXT(K26,"0.00"),",",".")&amp;""", ""vat_rate"": """&amp;M26&amp;"""}","")&amp;"]}}")</f>
        <v/>
      </c>
    </row>
    <row r="27">
      <c r="A27" s="17">
        <f>IF(Baux!$A$27="","",Baux!$A$27)</f>
        <v/>
      </c>
      <c r="B27" s="17">
        <f>IF(A27="","",Baux!$C$27)</f>
        <v/>
      </c>
      <c r="C27" s="17">
        <f>IF(A27="","",IF(Baux!$R$27="","À RENSEIGNER",Baux!$R$27))</f>
        <v/>
      </c>
      <c r="D27" s="17">
        <f>IF(OR(A27="",Baux!$S$27=""),"",Baux!$S$27)</f>
        <v/>
      </c>
      <c r="E27" s="17">
        <f>IF(A27="","","Loyer "&amp;Baux!$B$27)</f>
        <v/>
      </c>
      <c r="F27" s="17">
        <f>IF(A27="","",Baux!$L$27)</f>
        <v/>
      </c>
      <c r="G27" s="17">
        <f>IF(A27="","",IF(F27="Annuelle","yearly","monthly"))</f>
        <v/>
      </c>
      <c r="H27" s="17">
        <f>IF(A27="","",IF(F27="Mensuelle",1,IF(F27="Trimestrielle",3,IF(F27="Semestrielle",6,1))))</f>
        <v/>
      </c>
      <c r="I27" s="17">
        <f>IF(A27="","",IF(F27="Mensuelle","mois",IF(F27="Trimestrielle","trimestre",IF(F27="Semestrielle","semestre","an"))))</f>
        <v/>
      </c>
      <c r="J27" s="27">
        <f>IF(A27="","",ROUND(Alertes!$G$27/IF(F27="Mensuelle",12,IF(F27="Trimestrielle",4,IF(F27="Semestrielle",2,1))),2))</f>
        <v/>
      </c>
      <c r="K27" s="27">
        <f>IF(A27="","",ROUND(IF(Baux!$J$27="",0,Baux!$J$27)/IF(F27="Mensuelle",12,IF(F27="Trimestrielle",4,IF(F27="Semestrielle",2,1))),2))</f>
        <v/>
      </c>
      <c r="L27" s="17">
        <f>IF(A27="","",Baux!$K$27)</f>
        <v/>
      </c>
      <c r="M27" s="17">
        <f>IF(A27="","",IF(L27=20,"FR_200",IF(L27=10,"FR_100",IF(L27=5.5,"FR_55",IF(L27=2.1,"FR_21","exempt")))))</f>
        <v/>
      </c>
      <c r="N27" s="17">
        <f>IF(A27="","",Société!$B$11)</f>
        <v/>
      </c>
      <c r="O27" s="17">
        <f>IF(A27="","",Société!$B$12)</f>
        <v/>
      </c>
      <c r="P27" s="17">
        <f>IF(A27="","",Société!$B$13)</f>
        <v/>
      </c>
      <c r="Q27" s="15">
        <f>IF(A27="","",DATE(YEAR(TODAY()),MONTH(TODAY())+1,1))</f>
        <v/>
      </c>
      <c r="R27" s="17">
        <f>IF(OR(A27="",Baux!$T$27=""),"",Baux!$T$27)</f>
        <v/>
      </c>
      <c r="S27" s="17">
        <f>IF(A27="","","{""customer_id"": "&amp;C27&amp;", ""label"": """&amp;E27&amp;""", ""start"": """&amp;YEAR(Q27)&amp;"-"&amp;TEXT(MONTH(Q27),"00")&amp;"-"&amp;TEXT(DAY(Q27),"00")&amp;""", ""mode"": {""type"": """&amp;N27&amp;"""}, ""payment_conditions"": """&amp;O27&amp;""", ""payment_method"": """&amp;P27&amp;""", ""recurring_rule"": "&amp;"{""type"": """&amp;G27&amp;""", ""interval"": "&amp;H27&amp;IF(G27="monthly",", ""day_of_month"": 1","")&amp;"}"&amp;", ""customer_invoice_data"": {""currency"": ""EUR"", ""language"": ""fr_FR"", ""pdf_invoice_subject"": """&amp;E27&amp;""", ""invoice_lines"": ["&amp;"{""label"": ""Loyer "&amp;LOWER(F27)&amp;" – "&amp;Baux!$B$27&amp;""", ""quantity"": 1, ""unit"": """&amp;I27&amp;""", ""raw_currency_unit_price"": """&amp;SUBSTITUTE(TEXT(J27,"0.00"),",",".")&amp;""", ""vat_rate"": """&amp;M27&amp;""""&amp;IF(D27&lt;&gt;"",", ""product_id"": "&amp;D27,"")&amp;"}"&amp;IF(K27&gt;0,", {""label"": ""Provision sur charges"", ""quantity"": 1, ""unit"": """&amp;I27&amp;""", ""raw_currency_unit_price"": """&amp;SUBSTITUTE(TEXT(K27,"0.00"),",",".")&amp;""", ""vat_rate"": """&amp;M27&amp;"""}","")&amp;"]}}")</f>
        <v/>
      </c>
    </row>
    <row r="28">
      <c r="A28" s="17">
        <f>IF(Baux!$A$28="","",Baux!$A$28)</f>
        <v/>
      </c>
      <c r="B28" s="17">
        <f>IF(A28="","",Baux!$C$28)</f>
        <v/>
      </c>
      <c r="C28" s="17">
        <f>IF(A28="","",IF(Baux!$R$28="","À RENSEIGNER",Baux!$R$28))</f>
        <v/>
      </c>
      <c r="D28" s="17">
        <f>IF(OR(A28="",Baux!$S$28=""),"",Baux!$S$28)</f>
        <v/>
      </c>
      <c r="E28" s="17">
        <f>IF(A28="","","Loyer "&amp;Baux!$B$28)</f>
        <v/>
      </c>
      <c r="F28" s="17">
        <f>IF(A28="","",Baux!$L$28)</f>
        <v/>
      </c>
      <c r="G28" s="17">
        <f>IF(A28="","",IF(F28="Annuelle","yearly","monthly"))</f>
        <v/>
      </c>
      <c r="H28" s="17">
        <f>IF(A28="","",IF(F28="Mensuelle",1,IF(F28="Trimestrielle",3,IF(F28="Semestrielle",6,1))))</f>
        <v/>
      </c>
      <c r="I28" s="17">
        <f>IF(A28="","",IF(F28="Mensuelle","mois",IF(F28="Trimestrielle","trimestre",IF(F28="Semestrielle","semestre","an"))))</f>
        <v/>
      </c>
      <c r="J28" s="27">
        <f>IF(A28="","",ROUND(Alertes!$G$28/IF(F28="Mensuelle",12,IF(F28="Trimestrielle",4,IF(F28="Semestrielle",2,1))),2))</f>
        <v/>
      </c>
      <c r="K28" s="27">
        <f>IF(A28="","",ROUND(IF(Baux!$J$28="",0,Baux!$J$28)/IF(F28="Mensuelle",12,IF(F28="Trimestrielle",4,IF(F28="Semestrielle",2,1))),2))</f>
        <v/>
      </c>
      <c r="L28" s="17">
        <f>IF(A28="","",Baux!$K$28)</f>
        <v/>
      </c>
      <c r="M28" s="17">
        <f>IF(A28="","",IF(L28=20,"FR_200",IF(L28=10,"FR_100",IF(L28=5.5,"FR_55",IF(L28=2.1,"FR_21","exempt")))))</f>
        <v/>
      </c>
      <c r="N28" s="17">
        <f>IF(A28="","",Société!$B$11)</f>
        <v/>
      </c>
      <c r="O28" s="17">
        <f>IF(A28="","",Société!$B$12)</f>
        <v/>
      </c>
      <c r="P28" s="17">
        <f>IF(A28="","",Société!$B$13)</f>
        <v/>
      </c>
      <c r="Q28" s="15">
        <f>IF(A28="","",DATE(YEAR(TODAY()),MONTH(TODAY())+1,1))</f>
        <v/>
      </c>
      <c r="R28" s="17">
        <f>IF(OR(A28="",Baux!$T$28=""),"",Baux!$T$28)</f>
        <v/>
      </c>
      <c r="S28" s="17">
        <f>IF(A28="","","{""customer_id"": "&amp;C28&amp;", ""label"": """&amp;E28&amp;""", ""start"": """&amp;YEAR(Q28)&amp;"-"&amp;TEXT(MONTH(Q28),"00")&amp;"-"&amp;TEXT(DAY(Q28),"00")&amp;""", ""mode"": {""type"": """&amp;N28&amp;"""}, ""payment_conditions"": """&amp;O28&amp;""", ""payment_method"": """&amp;P28&amp;""", ""recurring_rule"": "&amp;"{""type"": """&amp;G28&amp;""", ""interval"": "&amp;H28&amp;IF(G28="monthly",", ""day_of_month"": 1","")&amp;"}"&amp;", ""customer_invoice_data"": {""currency"": ""EUR"", ""language"": ""fr_FR"", ""pdf_invoice_subject"": """&amp;E28&amp;""", ""invoice_lines"": ["&amp;"{""label"": ""Loyer "&amp;LOWER(F28)&amp;" – "&amp;Baux!$B$28&amp;""", ""quantity"": 1, ""unit"": """&amp;I28&amp;""", ""raw_currency_unit_price"": """&amp;SUBSTITUTE(TEXT(J28,"0.00"),",",".")&amp;""", ""vat_rate"": """&amp;M28&amp;""""&amp;IF(D28&lt;&gt;"",", ""product_id"": "&amp;D28,"")&amp;"}"&amp;IF(K28&gt;0,", {""label"": ""Provision sur charges"", ""quantity"": 1, ""unit"": """&amp;I28&amp;""", ""raw_currency_unit_price"": """&amp;SUBSTITUTE(TEXT(K28,"0.00"),",",".")&amp;""", ""vat_rate"": """&amp;M28&amp;"""}","")&amp;"]}}")</f>
        <v/>
      </c>
    </row>
    <row r="29">
      <c r="A29" s="17">
        <f>IF(Baux!$A$29="","",Baux!$A$29)</f>
        <v/>
      </c>
      <c r="B29" s="17">
        <f>IF(A29="","",Baux!$C$29)</f>
        <v/>
      </c>
      <c r="C29" s="17">
        <f>IF(A29="","",IF(Baux!$R$29="","À RENSEIGNER",Baux!$R$29))</f>
        <v/>
      </c>
      <c r="D29" s="17">
        <f>IF(OR(A29="",Baux!$S$29=""),"",Baux!$S$29)</f>
        <v/>
      </c>
      <c r="E29" s="17">
        <f>IF(A29="","","Loyer "&amp;Baux!$B$29)</f>
        <v/>
      </c>
      <c r="F29" s="17">
        <f>IF(A29="","",Baux!$L$29)</f>
        <v/>
      </c>
      <c r="G29" s="17">
        <f>IF(A29="","",IF(F29="Annuelle","yearly","monthly"))</f>
        <v/>
      </c>
      <c r="H29" s="17">
        <f>IF(A29="","",IF(F29="Mensuelle",1,IF(F29="Trimestrielle",3,IF(F29="Semestrielle",6,1))))</f>
        <v/>
      </c>
      <c r="I29" s="17">
        <f>IF(A29="","",IF(F29="Mensuelle","mois",IF(F29="Trimestrielle","trimestre",IF(F29="Semestrielle","semestre","an"))))</f>
        <v/>
      </c>
      <c r="J29" s="27">
        <f>IF(A29="","",ROUND(Alertes!$G$29/IF(F29="Mensuelle",12,IF(F29="Trimestrielle",4,IF(F29="Semestrielle",2,1))),2))</f>
        <v/>
      </c>
      <c r="K29" s="27">
        <f>IF(A29="","",ROUND(IF(Baux!$J$29="",0,Baux!$J$29)/IF(F29="Mensuelle",12,IF(F29="Trimestrielle",4,IF(F29="Semestrielle",2,1))),2))</f>
        <v/>
      </c>
      <c r="L29" s="17">
        <f>IF(A29="","",Baux!$K$29)</f>
        <v/>
      </c>
      <c r="M29" s="17">
        <f>IF(A29="","",IF(L29=20,"FR_200",IF(L29=10,"FR_100",IF(L29=5.5,"FR_55",IF(L29=2.1,"FR_21","exempt")))))</f>
        <v/>
      </c>
      <c r="N29" s="17">
        <f>IF(A29="","",Société!$B$11)</f>
        <v/>
      </c>
      <c r="O29" s="17">
        <f>IF(A29="","",Société!$B$12)</f>
        <v/>
      </c>
      <c r="P29" s="17">
        <f>IF(A29="","",Société!$B$13)</f>
        <v/>
      </c>
      <c r="Q29" s="15">
        <f>IF(A29="","",DATE(YEAR(TODAY()),MONTH(TODAY())+1,1))</f>
        <v/>
      </c>
      <c r="R29" s="17">
        <f>IF(OR(A29="",Baux!$T$29=""),"",Baux!$T$29)</f>
        <v/>
      </c>
      <c r="S29" s="17">
        <f>IF(A29="","","{""customer_id"": "&amp;C29&amp;", ""label"": """&amp;E29&amp;""", ""start"": """&amp;YEAR(Q29)&amp;"-"&amp;TEXT(MONTH(Q29),"00")&amp;"-"&amp;TEXT(DAY(Q29),"00")&amp;""", ""mode"": {""type"": """&amp;N29&amp;"""}, ""payment_conditions"": """&amp;O29&amp;""", ""payment_method"": """&amp;P29&amp;""", ""recurring_rule"": "&amp;"{""type"": """&amp;G29&amp;""", ""interval"": "&amp;H29&amp;IF(G29="monthly",", ""day_of_month"": 1","")&amp;"}"&amp;", ""customer_invoice_data"": {""currency"": ""EUR"", ""language"": ""fr_FR"", ""pdf_invoice_subject"": """&amp;E29&amp;""", ""invoice_lines"": ["&amp;"{""label"": ""Loyer "&amp;LOWER(F29)&amp;" – "&amp;Baux!$B$29&amp;""", ""quantity"": 1, ""unit"": """&amp;I29&amp;""", ""raw_currency_unit_price"": """&amp;SUBSTITUTE(TEXT(J29,"0.00"),",",".")&amp;""", ""vat_rate"": """&amp;M29&amp;""""&amp;IF(D29&lt;&gt;"",", ""product_id"": "&amp;D29,"")&amp;"}"&amp;IF(K29&gt;0,", {""label"": ""Provision sur charges"", ""quantity"": 1, ""unit"": """&amp;I29&amp;""", ""raw_currency_unit_price"": """&amp;SUBSTITUTE(TEXT(K29,"0.00"),",",".")&amp;""", ""vat_rate"": """&amp;M29&amp;"""}","")&amp;"]}}")</f>
        <v/>
      </c>
    </row>
    <row r="30">
      <c r="A30" s="17">
        <f>IF(Baux!$A$30="","",Baux!$A$30)</f>
        <v/>
      </c>
      <c r="B30" s="17">
        <f>IF(A30="","",Baux!$C$30)</f>
        <v/>
      </c>
      <c r="C30" s="17">
        <f>IF(A30="","",IF(Baux!$R$30="","À RENSEIGNER",Baux!$R$30))</f>
        <v/>
      </c>
      <c r="D30" s="17">
        <f>IF(OR(A30="",Baux!$S$30=""),"",Baux!$S$30)</f>
        <v/>
      </c>
      <c r="E30" s="17">
        <f>IF(A30="","","Loyer "&amp;Baux!$B$30)</f>
        <v/>
      </c>
      <c r="F30" s="17">
        <f>IF(A30="","",Baux!$L$30)</f>
        <v/>
      </c>
      <c r="G30" s="17">
        <f>IF(A30="","",IF(F30="Annuelle","yearly","monthly"))</f>
        <v/>
      </c>
      <c r="H30" s="17">
        <f>IF(A30="","",IF(F30="Mensuelle",1,IF(F30="Trimestrielle",3,IF(F30="Semestrielle",6,1))))</f>
        <v/>
      </c>
      <c r="I30" s="17">
        <f>IF(A30="","",IF(F30="Mensuelle","mois",IF(F30="Trimestrielle","trimestre",IF(F30="Semestrielle","semestre","an"))))</f>
        <v/>
      </c>
      <c r="J30" s="27">
        <f>IF(A30="","",ROUND(Alertes!$G$30/IF(F30="Mensuelle",12,IF(F30="Trimestrielle",4,IF(F30="Semestrielle",2,1))),2))</f>
        <v/>
      </c>
      <c r="K30" s="27">
        <f>IF(A30="","",ROUND(IF(Baux!$J$30="",0,Baux!$J$30)/IF(F30="Mensuelle",12,IF(F30="Trimestrielle",4,IF(F30="Semestrielle",2,1))),2))</f>
        <v/>
      </c>
      <c r="L30" s="17">
        <f>IF(A30="","",Baux!$K$30)</f>
        <v/>
      </c>
      <c r="M30" s="17">
        <f>IF(A30="","",IF(L30=20,"FR_200",IF(L30=10,"FR_100",IF(L30=5.5,"FR_55",IF(L30=2.1,"FR_21","exempt")))))</f>
        <v/>
      </c>
      <c r="N30" s="17">
        <f>IF(A30="","",Société!$B$11)</f>
        <v/>
      </c>
      <c r="O30" s="17">
        <f>IF(A30="","",Société!$B$12)</f>
        <v/>
      </c>
      <c r="P30" s="17">
        <f>IF(A30="","",Société!$B$13)</f>
        <v/>
      </c>
      <c r="Q30" s="15">
        <f>IF(A30="","",DATE(YEAR(TODAY()),MONTH(TODAY())+1,1))</f>
        <v/>
      </c>
      <c r="R30" s="17">
        <f>IF(OR(A30="",Baux!$T$30=""),"",Baux!$T$30)</f>
        <v/>
      </c>
      <c r="S30" s="17">
        <f>IF(A30="","","{""customer_id"": "&amp;C30&amp;", ""label"": """&amp;E30&amp;""", ""start"": """&amp;YEAR(Q30)&amp;"-"&amp;TEXT(MONTH(Q30),"00")&amp;"-"&amp;TEXT(DAY(Q30),"00")&amp;""", ""mode"": {""type"": """&amp;N30&amp;"""}, ""payment_conditions"": """&amp;O30&amp;""", ""payment_method"": """&amp;P30&amp;""", ""recurring_rule"": "&amp;"{""type"": """&amp;G30&amp;""", ""interval"": "&amp;H30&amp;IF(G30="monthly",", ""day_of_month"": 1","")&amp;"}"&amp;", ""customer_invoice_data"": {""currency"": ""EUR"", ""language"": ""fr_FR"", ""pdf_invoice_subject"": """&amp;E30&amp;""", ""invoice_lines"": ["&amp;"{""label"": ""Loyer "&amp;LOWER(F30)&amp;" – "&amp;Baux!$B$30&amp;""", ""quantity"": 1, ""unit"": """&amp;I30&amp;""", ""raw_currency_unit_price"": """&amp;SUBSTITUTE(TEXT(J30,"0.00"),",",".")&amp;""", ""vat_rate"": """&amp;M30&amp;""""&amp;IF(D30&lt;&gt;"",", ""product_id"": "&amp;D30,"")&amp;"}"&amp;IF(K30&gt;0,", {""label"": ""Provision sur charges"", ""quantity"": 1, ""unit"": """&amp;I30&amp;""", ""raw_currency_unit_price"": """&amp;SUBSTITUTE(TEXT(K30,"0.00"),",",".")&amp;""", ""vat_rate"": """&amp;M30&amp;"""}","")&amp;"]}}")</f>
        <v/>
      </c>
    </row>
    <row r="31">
      <c r="A31" s="17">
        <f>IF(Baux!$A$31="","",Baux!$A$31)</f>
        <v/>
      </c>
      <c r="B31" s="17">
        <f>IF(A31="","",Baux!$C$31)</f>
        <v/>
      </c>
      <c r="C31" s="17">
        <f>IF(A31="","",IF(Baux!$R$31="","À RENSEIGNER",Baux!$R$31))</f>
        <v/>
      </c>
      <c r="D31" s="17">
        <f>IF(OR(A31="",Baux!$S$31=""),"",Baux!$S$31)</f>
        <v/>
      </c>
      <c r="E31" s="17">
        <f>IF(A31="","","Loyer "&amp;Baux!$B$31)</f>
        <v/>
      </c>
      <c r="F31" s="17">
        <f>IF(A31="","",Baux!$L$31)</f>
        <v/>
      </c>
      <c r="G31" s="17">
        <f>IF(A31="","",IF(F31="Annuelle","yearly","monthly"))</f>
        <v/>
      </c>
      <c r="H31" s="17">
        <f>IF(A31="","",IF(F31="Mensuelle",1,IF(F31="Trimestrielle",3,IF(F31="Semestrielle",6,1))))</f>
        <v/>
      </c>
      <c r="I31" s="17">
        <f>IF(A31="","",IF(F31="Mensuelle","mois",IF(F31="Trimestrielle","trimestre",IF(F31="Semestrielle","semestre","an"))))</f>
        <v/>
      </c>
      <c r="J31" s="27">
        <f>IF(A31="","",ROUND(Alertes!$G$31/IF(F31="Mensuelle",12,IF(F31="Trimestrielle",4,IF(F31="Semestrielle",2,1))),2))</f>
        <v/>
      </c>
      <c r="K31" s="27">
        <f>IF(A31="","",ROUND(IF(Baux!$J$31="",0,Baux!$J$31)/IF(F31="Mensuelle",12,IF(F31="Trimestrielle",4,IF(F31="Semestrielle",2,1))),2))</f>
        <v/>
      </c>
      <c r="L31" s="17">
        <f>IF(A31="","",Baux!$K$31)</f>
        <v/>
      </c>
      <c r="M31" s="17">
        <f>IF(A31="","",IF(L31=20,"FR_200",IF(L31=10,"FR_100",IF(L31=5.5,"FR_55",IF(L31=2.1,"FR_21","exempt")))))</f>
        <v/>
      </c>
      <c r="N31" s="17">
        <f>IF(A31="","",Société!$B$11)</f>
        <v/>
      </c>
      <c r="O31" s="17">
        <f>IF(A31="","",Société!$B$12)</f>
        <v/>
      </c>
      <c r="P31" s="17">
        <f>IF(A31="","",Société!$B$13)</f>
        <v/>
      </c>
      <c r="Q31" s="15">
        <f>IF(A31="","",DATE(YEAR(TODAY()),MONTH(TODAY())+1,1))</f>
        <v/>
      </c>
      <c r="R31" s="17">
        <f>IF(OR(A31="",Baux!$T$31=""),"",Baux!$T$31)</f>
        <v/>
      </c>
      <c r="S31" s="17">
        <f>IF(A31="","","{""customer_id"": "&amp;C31&amp;", ""label"": """&amp;E31&amp;""", ""start"": """&amp;YEAR(Q31)&amp;"-"&amp;TEXT(MONTH(Q31),"00")&amp;"-"&amp;TEXT(DAY(Q31),"00")&amp;""", ""mode"": {""type"": """&amp;N31&amp;"""}, ""payment_conditions"": """&amp;O31&amp;""", ""payment_method"": """&amp;P31&amp;""", ""recurring_rule"": "&amp;"{""type"": """&amp;G31&amp;""", ""interval"": "&amp;H31&amp;IF(G31="monthly",", ""day_of_month"": 1","")&amp;"}"&amp;", ""customer_invoice_data"": {""currency"": ""EUR"", ""language"": ""fr_FR"", ""pdf_invoice_subject"": """&amp;E31&amp;""", ""invoice_lines"": ["&amp;"{""label"": ""Loyer "&amp;LOWER(F31)&amp;" – "&amp;Baux!$B$31&amp;""", ""quantity"": 1, ""unit"": """&amp;I31&amp;""", ""raw_currency_unit_price"": """&amp;SUBSTITUTE(TEXT(J31,"0.00"),",",".")&amp;""", ""vat_rate"": """&amp;M31&amp;""""&amp;IF(D31&lt;&gt;"",", ""product_id"": "&amp;D31,"")&amp;"}"&amp;IF(K31&gt;0,", {""label"": ""Provision sur charges"", ""quantity"": 1, ""unit"": """&amp;I31&amp;""", ""raw_currency_unit_price"": """&amp;SUBSTITUTE(TEXT(K31,"0.00"),",",".")&amp;""", ""vat_rate"": """&amp;M31&amp;"""}","")&amp;"]}}")</f>
        <v/>
      </c>
    </row>
    <row r="32">
      <c r="A32" s="17">
        <f>IF(Baux!$A$32="","",Baux!$A$32)</f>
        <v/>
      </c>
      <c r="B32" s="17">
        <f>IF(A32="","",Baux!$C$32)</f>
        <v/>
      </c>
      <c r="C32" s="17">
        <f>IF(A32="","",IF(Baux!$R$32="","À RENSEIGNER",Baux!$R$32))</f>
        <v/>
      </c>
      <c r="D32" s="17">
        <f>IF(OR(A32="",Baux!$S$32=""),"",Baux!$S$32)</f>
        <v/>
      </c>
      <c r="E32" s="17">
        <f>IF(A32="","","Loyer "&amp;Baux!$B$32)</f>
        <v/>
      </c>
      <c r="F32" s="17">
        <f>IF(A32="","",Baux!$L$32)</f>
        <v/>
      </c>
      <c r="G32" s="17">
        <f>IF(A32="","",IF(F32="Annuelle","yearly","monthly"))</f>
        <v/>
      </c>
      <c r="H32" s="17">
        <f>IF(A32="","",IF(F32="Mensuelle",1,IF(F32="Trimestrielle",3,IF(F32="Semestrielle",6,1))))</f>
        <v/>
      </c>
      <c r="I32" s="17">
        <f>IF(A32="","",IF(F32="Mensuelle","mois",IF(F32="Trimestrielle","trimestre",IF(F32="Semestrielle","semestre","an"))))</f>
        <v/>
      </c>
      <c r="J32" s="27">
        <f>IF(A32="","",ROUND(Alertes!$G$32/IF(F32="Mensuelle",12,IF(F32="Trimestrielle",4,IF(F32="Semestrielle",2,1))),2))</f>
        <v/>
      </c>
      <c r="K32" s="27">
        <f>IF(A32="","",ROUND(IF(Baux!$J$32="",0,Baux!$J$32)/IF(F32="Mensuelle",12,IF(F32="Trimestrielle",4,IF(F32="Semestrielle",2,1))),2))</f>
        <v/>
      </c>
      <c r="L32" s="17">
        <f>IF(A32="","",Baux!$K$32)</f>
        <v/>
      </c>
      <c r="M32" s="17">
        <f>IF(A32="","",IF(L32=20,"FR_200",IF(L32=10,"FR_100",IF(L32=5.5,"FR_55",IF(L32=2.1,"FR_21","exempt")))))</f>
        <v/>
      </c>
      <c r="N32" s="17">
        <f>IF(A32="","",Société!$B$11)</f>
        <v/>
      </c>
      <c r="O32" s="17">
        <f>IF(A32="","",Société!$B$12)</f>
        <v/>
      </c>
      <c r="P32" s="17">
        <f>IF(A32="","",Société!$B$13)</f>
        <v/>
      </c>
      <c r="Q32" s="15">
        <f>IF(A32="","",DATE(YEAR(TODAY()),MONTH(TODAY())+1,1))</f>
        <v/>
      </c>
      <c r="R32" s="17">
        <f>IF(OR(A32="",Baux!$T$32=""),"",Baux!$T$32)</f>
        <v/>
      </c>
      <c r="S32" s="17">
        <f>IF(A32="","","{""customer_id"": "&amp;C32&amp;", ""label"": """&amp;E32&amp;""", ""start"": """&amp;YEAR(Q32)&amp;"-"&amp;TEXT(MONTH(Q32),"00")&amp;"-"&amp;TEXT(DAY(Q32),"00")&amp;""", ""mode"": {""type"": """&amp;N32&amp;"""}, ""payment_conditions"": """&amp;O32&amp;""", ""payment_method"": """&amp;P32&amp;""", ""recurring_rule"": "&amp;"{""type"": """&amp;G32&amp;""", ""interval"": "&amp;H32&amp;IF(G32="monthly",", ""day_of_month"": 1","")&amp;"}"&amp;", ""customer_invoice_data"": {""currency"": ""EUR"", ""language"": ""fr_FR"", ""pdf_invoice_subject"": """&amp;E32&amp;""", ""invoice_lines"": ["&amp;"{""label"": ""Loyer "&amp;LOWER(F32)&amp;" – "&amp;Baux!$B$32&amp;""", ""quantity"": 1, ""unit"": """&amp;I32&amp;""", ""raw_currency_unit_price"": """&amp;SUBSTITUTE(TEXT(J32,"0.00"),",",".")&amp;""", ""vat_rate"": """&amp;M32&amp;""""&amp;IF(D32&lt;&gt;"",", ""product_id"": "&amp;D32,"")&amp;"}"&amp;IF(K32&gt;0,", {""label"": ""Provision sur charges"", ""quantity"": 1, ""unit"": """&amp;I32&amp;""", ""raw_currency_unit_price"": """&amp;SUBSTITUTE(TEXT(K32,"0.00"),",",".")&amp;""", ""vat_rate"": """&amp;M32&amp;"""}","")&amp;"]}}")</f>
        <v/>
      </c>
    </row>
    <row r="33">
      <c r="A33" s="17">
        <f>IF(Baux!$A$33="","",Baux!$A$33)</f>
        <v/>
      </c>
      <c r="B33" s="17">
        <f>IF(A33="","",Baux!$C$33)</f>
        <v/>
      </c>
      <c r="C33" s="17">
        <f>IF(A33="","",IF(Baux!$R$33="","À RENSEIGNER",Baux!$R$33))</f>
        <v/>
      </c>
      <c r="D33" s="17">
        <f>IF(OR(A33="",Baux!$S$33=""),"",Baux!$S$33)</f>
        <v/>
      </c>
      <c r="E33" s="17">
        <f>IF(A33="","","Loyer "&amp;Baux!$B$33)</f>
        <v/>
      </c>
      <c r="F33" s="17">
        <f>IF(A33="","",Baux!$L$33)</f>
        <v/>
      </c>
      <c r="G33" s="17">
        <f>IF(A33="","",IF(F33="Annuelle","yearly","monthly"))</f>
        <v/>
      </c>
      <c r="H33" s="17">
        <f>IF(A33="","",IF(F33="Mensuelle",1,IF(F33="Trimestrielle",3,IF(F33="Semestrielle",6,1))))</f>
        <v/>
      </c>
      <c r="I33" s="17">
        <f>IF(A33="","",IF(F33="Mensuelle","mois",IF(F33="Trimestrielle","trimestre",IF(F33="Semestrielle","semestre","an"))))</f>
        <v/>
      </c>
      <c r="J33" s="27">
        <f>IF(A33="","",ROUND(Alertes!$G$33/IF(F33="Mensuelle",12,IF(F33="Trimestrielle",4,IF(F33="Semestrielle",2,1))),2))</f>
        <v/>
      </c>
      <c r="K33" s="27">
        <f>IF(A33="","",ROUND(IF(Baux!$J$33="",0,Baux!$J$33)/IF(F33="Mensuelle",12,IF(F33="Trimestrielle",4,IF(F33="Semestrielle",2,1))),2))</f>
        <v/>
      </c>
      <c r="L33" s="17">
        <f>IF(A33="","",Baux!$K$33)</f>
        <v/>
      </c>
      <c r="M33" s="17">
        <f>IF(A33="","",IF(L33=20,"FR_200",IF(L33=10,"FR_100",IF(L33=5.5,"FR_55",IF(L33=2.1,"FR_21","exempt")))))</f>
        <v/>
      </c>
      <c r="N33" s="17">
        <f>IF(A33="","",Société!$B$11)</f>
        <v/>
      </c>
      <c r="O33" s="17">
        <f>IF(A33="","",Société!$B$12)</f>
        <v/>
      </c>
      <c r="P33" s="17">
        <f>IF(A33="","",Société!$B$13)</f>
        <v/>
      </c>
      <c r="Q33" s="15">
        <f>IF(A33="","",DATE(YEAR(TODAY()),MONTH(TODAY())+1,1))</f>
        <v/>
      </c>
      <c r="R33" s="17">
        <f>IF(OR(A33="",Baux!$T$33=""),"",Baux!$T$33)</f>
        <v/>
      </c>
      <c r="S33" s="17">
        <f>IF(A33="","","{""customer_id"": "&amp;C33&amp;", ""label"": """&amp;E33&amp;""", ""start"": """&amp;YEAR(Q33)&amp;"-"&amp;TEXT(MONTH(Q33),"00")&amp;"-"&amp;TEXT(DAY(Q33),"00")&amp;""", ""mode"": {""type"": """&amp;N33&amp;"""}, ""payment_conditions"": """&amp;O33&amp;""", ""payment_method"": """&amp;P33&amp;""", ""recurring_rule"": "&amp;"{""type"": """&amp;G33&amp;""", ""interval"": "&amp;H33&amp;IF(G33="monthly",", ""day_of_month"": 1","")&amp;"}"&amp;", ""customer_invoice_data"": {""currency"": ""EUR"", ""language"": ""fr_FR"", ""pdf_invoice_subject"": """&amp;E33&amp;""", ""invoice_lines"": ["&amp;"{""label"": ""Loyer "&amp;LOWER(F33)&amp;" – "&amp;Baux!$B$33&amp;""", ""quantity"": 1, ""unit"": """&amp;I33&amp;""", ""raw_currency_unit_price"": """&amp;SUBSTITUTE(TEXT(J33,"0.00"),",",".")&amp;""", ""vat_rate"": """&amp;M33&amp;""""&amp;IF(D33&lt;&gt;"",", ""product_id"": "&amp;D33,"")&amp;"}"&amp;IF(K33&gt;0,", {""label"": ""Provision sur charges"", ""quantity"": 1, ""unit"": """&amp;I33&amp;""", ""raw_currency_unit_price"": """&amp;SUBSTITUTE(TEXT(K33,"0.00"),",",".")&amp;""", ""vat_rate"": """&amp;M33&amp;"""}","")&amp;"]}}")</f>
        <v/>
      </c>
    </row>
    <row r="34">
      <c r="A34" s="17">
        <f>IF(Baux!$A$34="","",Baux!$A$34)</f>
        <v/>
      </c>
      <c r="B34" s="17">
        <f>IF(A34="","",Baux!$C$34)</f>
        <v/>
      </c>
      <c r="C34" s="17">
        <f>IF(A34="","",IF(Baux!$R$34="","À RENSEIGNER",Baux!$R$34))</f>
        <v/>
      </c>
      <c r="D34" s="17">
        <f>IF(OR(A34="",Baux!$S$34=""),"",Baux!$S$34)</f>
        <v/>
      </c>
      <c r="E34" s="17">
        <f>IF(A34="","","Loyer "&amp;Baux!$B$34)</f>
        <v/>
      </c>
      <c r="F34" s="17">
        <f>IF(A34="","",Baux!$L$34)</f>
        <v/>
      </c>
      <c r="G34" s="17">
        <f>IF(A34="","",IF(F34="Annuelle","yearly","monthly"))</f>
        <v/>
      </c>
      <c r="H34" s="17">
        <f>IF(A34="","",IF(F34="Mensuelle",1,IF(F34="Trimestrielle",3,IF(F34="Semestrielle",6,1))))</f>
        <v/>
      </c>
      <c r="I34" s="17">
        <f>IF(A34="","",IF(F34="Mensuelle","mois",IF(F34="Trimestrielle","trimestre",IF(F34="Semestrielle","semestre","an"))))</f>
        <v/>
      </c>
      <c r="J34" s="27">
        <f>IF(A34="","",ROUND(Alertes!$G$34/IF(F34="Mensuelle",12,IF(F34="Trimestrielle",4,IF(F34="Semestrielle",2,1))),2))</f>
        <v/>
      </c>
      <c r="K34" s="27">
        <f>IF(A34="","",ROUND(IF(Baux!$J$34="",0,Baux!$J$34)/IF(F34="Mensuelle",12,IF(F34="Trimestrielle",4,IF(F34="Semestrielle",2,1))),2))</f>
        <v/>
      </c>
      <c r="L34" s="17">
        <f>IF(A34="","",Baux!$K$34)</f>
        <v/>
      </c>
      <c r="M34" s="17">
        <f>IF(A34="","",IF(L34=20,"FR_200",IF(L34=10,"FR_100",IF(L34=5.5,"FR_55",IF(L34=2.1,"FR_21","exempt")))))</f>
        <v/>
      </c>
      <c r="N34" s="17">
        <f>IF(A34="","",Société!$B$11)</f>
        <v/>
      </c>
      <c r="O34" s="17">
        <f>IF(A34="","",Société!$B$12)</f>
        <v/>
      </c>
      <c r="P34" s="17">
        <f>IF(A34="","",Société!$B$13)</f>
        <v/>
      </c>
      <c r="Q34" s="15">
        <f>IF(A34="","",DATE(YEAR(TODAY()),MONTH(TODAY())+1,1))</f>
        <v/>
      </c>
      <c r="R34" s="17">
        <f>IF(OR(A34="",Baux!$T$34=""),"",Baux!$T$34)</f>
        <v/>
      </c>
      <c r="S34" s="17">
        <f>IF(A34="","","{""customer_id"": "&amp;C34&amp;", ""label"": """&amp;E34&amp;""", ""start"": """&amp;YEAR(Q34)&amp;"-"&amp;TEXT(MONTH(Q34),"00")&amp;"-"&amp;TEXT(DAY(Q34),"00")&amp;""", ""mode"": {""type"": """&amp;N34&amp;"""}, ""payment_conditions"": """&amp;O34&amp;""", ""payment_method"": """&amp;P34&amp;""", ""recurring_rule"": "&amp;"{""type"": """&amp;G34&amp;""", ""interval"": "&amp;H34&amp;IF(G34="monthly",", ""day_of_month"": 1","")&amp;"}"&amp;", ""customer_invoice_data"": {""currency"": ""EUR"", ""language"": ""fr_FR"", ""pdf_invoice_subject"": """&amp;E34&amp;""", ""invoice_lines"": ["&amp;"{""label"": ""Loyer "&amp;LOWER(F34)&amp;" – "&amp;Baux!$B$34&amp;""", ""quantity"": 1, ""unit"": """&amp;I34&amp;""", ""raw_currency_unit_price"": """&amp;SUBSTITUTE(TEXT(J34,"0.00"),",",".")&amp;""", ""vat_rate"": """&amp;M34&amp;""""&amp;IF(D34&lt;&gt;"",", ""product_id"": "&amp;D34,"")&amp;"}"&amp;IF(K34&gt;0,", {""label"": ""Provision sur charges"", ""quantity"": 1, ""unit"": """&amp;I34&amp;""", ""raw_currency_unit_price"": """&amp;SUBSTITUTE(TEXT(K34,"0.00"),",",".")&amp;""", ""vat_rate"": """&amp;M34&amp;"""}","")&amp;"]}}")</f>
        <v/>
      </c>
    </row>
    <row r="35">
      <c r="A35" s="17">
        <f>IF(Baux!$A$35="","",Baux!$A$35)</f>
        <v/>
      </c>
      <c r="B35" s="17">
        <f>IF(A35="","",Baux!$C$35)</f>
        <v/>
      </c>
      <c r="C35" s="17">
        <f>IF(A35="","",IF(Baux!$R$35="","À RENSEIGNER",Baux!$R$35))</f>
        <v/>
      </c>
      <c r="D35" s="17">
        <f>IF(OR(A35="",Baux!$S$35=""),"",Baux!$S$35)</f>
        <v/>
      </c>
      <c r="E35" s="17">
        <f>IF(A35="","","Loyer "&amp;Baux!$B$35)</f>
        <v/>
      </c>
      <c r="F35" s="17">
        <f>IF(A35="","",Baux!$L$35)</f>
        <v/>
      </c>
      <c r="G35" s="17">
        <f>IF(A35="","",IF(F35="Annuelle","yearly","monthly"))</f>
        <v/>
      </c>
      <c r="H35" s="17">
        <f>IF(A35="","",IF(F35="Mensuelle",1,IF(F35="Trimestrielle",3,IF(F35="Semestrielle",6,1))))</f>
        <v/>
      </c>
      <c r="I35" s="17">
        <f>IF(A35="","",IF(F35="Mensuelle","mois",IF(F35="Trimestrielle","trimestre",IF(F35="Semestrielle","semestre","an"))))</f>
        <v/>
      </c>
      <c r="J35" s="27">
        <f>IF(A35="","",ROUND(Alertes!$G$35/IF(F35="Mensuelle",12,IF(F35="Trimestrielle",4,IF(F35="Semestrielle",2,1))),2))</f>
        <v/>
      </c>
      <c r="K35" s="27">
        <f>IF(A35="","",ROUND(IF(Baux!$J$35="",0,Baux!$J$35)/IF(F35="Mensuelle",12,IF(F35="Trimestrielle",4,IF(F35="Semestrielle",2,1))),2))</f>
        <v/>
      </c>
      <c r="L35" s="17">
        <f>IF(A35="","",Baux!$K$35)</f>
        <v/>
      </c>
      <c r="M35" s="17">
        <f>IF(A35="","",IF(L35=20,"FR_200",IF(L35=10,"FR_100",IF(L35=5.5,"FR_55",IF(L35=2.1,"FR_21","exempt")))))</f>
        <v/>
      </c>
      <c r="N35" s="17">
        <f>IF(A35="","",Société!$B$11)</f>
        <v/>
      </c>
      <c r="O35" s="17">
        <f>IF(A35="","",Société!$B$12)</f>
        <v/>
      </c>
      <c r="P35" s="17">
        <f>IF(A35="","",Société!$B$13)</f>
        <v/>
      </c>
      <c r="Q35" s="15">
        <f>IF(A35="","",DATE(YEAR(TODAY()),MONTH(TODAY())+1,1))</f>
        <v/>
      </c>
      <c r="R35" s="17">
        <f>IF(OR(A35="",Baux!$T$35=""),"",Baux!$T$35)</f>
        <v/>
      </c>
      <c r="S35" s="17">
        <f>IF(A35="","","{""customer_id"": "&amp;C35&amp;", ""label"": """&amp;E35&amp;""", ""start"": """&amp;YEAR(Q35)&amp;"-"&amp;TEXT(MONTH(Q35),"00")&amp;"-"&amp;TEXT(DAY(Q35),"00")&amp;""", ""mode"": {""type"": """&amp;N35&amp;"""}, ""payment_conditions"": """&amp;O35&amp;""", ""payment_method"": """&amp;P35&amp;""", ""recurring_rule"": "&amp;"{""type"": """&amp;G35&amp;""", ""interval"": "&amp;H35&amp;IF(G35="monthly",", ""day_of_month"": 1","")&amp;"}"&amp;", ""customer_invoice_data"": {""currency"": ""EUR"", ""language"": ""fr_FR"", ""pdf_invoice_subject"": """&amp;E35&amp;""", ""invoice_lines"": ["&amp;"{""label"": ""Loyer "&amp;LOWER(F35)&amp;" – "&amp;Baux!$B$35&amp;""", ""quantity"": 1, ""unit"": """&amp;I35&amp;""", ""raw_currency_unit_price"": """&amp;SUBSTITUTE(TEXT(J35,"0.00"),",",".")&amp;""", ""vat_rate"": """&amp;M35&amp;""""&amp;IF(D35&lt;&gt;"",", ""product_id"": "&amp;D35,"")&amp;"}"&amp;IF(K35&gt;0,", {""label"": ""Provision sur charges"", ""quantity"": 1, ""unit"": """&amp;I35&amp;""", ""raw_currency_unit_price"": """&amp;SUBSTITUTE(TEXT(K35,"0.00"),",",".")&amp;""", ""vat_rate"": """&amp;M35&amp;"""}","")&amp;"]}}")</f>
        <v/>
      </c>
    </row>
    <row r="36">
      <c r="A36" s="17">
        <f>IF(Baux!$A$36="","",Baux!$A$36)</f>
        <v/>
      </c>
      <c r="B36" s="17">
        <f>IF(A36="","",Baux!$C$36)</f>
        <v/>
      </c>
      <c r="C36" s="17">
        <f>IF(A36="","",IF(Baux!$R$36="","À RENSEIGNER",Baux!$R$36))</f>
        <v/>
      </c>
      <c r="D36" s="17">
        <f>IF(OR(A36="",Baux!$S$36=""),"",Baux!$S$36)</f>
        <v/>
      </c>
      <c r="E36" s="17">
        <f>IF(A36="","","Loyer "&amp;Baux!$B$36)</f>
        <v/>
      </c>
      <c r="F36" s="17">
        <f>IF(A36="","",Baux!$L$36)</f>
        <v/>
      </c>
      <c r="G36" s="17">
        <f>IF(A36="","",IF(F36="Annuelle","yearly","monthly"))</f>
        <v/>
      </c>
      <c r="H36" s="17">
        <f>IF(A36="","",IF(F36="Mensuelle",1,IF(F36="Trimestrielle",3,IF(F36="Semestrielle",6,1))))</f>
        <v/>
      </c>
      <c r="I36" s="17">
        <f>IF(A36="","",IF(F36="Mensuelle","mois",IF(F36="Trimestrielle","trimestre",IF(F36="Semestrielle","semestre","an"))))</f>
        <v/>
      </c>
      <c r="J36" s="27">
        <f>IF(A36="","",ROUND(Alertes!$G$36/IF(F36="Mensuelle",12,IF(F36="Trimestrielle",4,IF(F36="Semestrielle",2,1))),2))</f>
        <v/>
      </c>
      <c r="K36" s="27">
        <f>IF(A36="","",ROUND(IF(Baux!$J$36="",0,Baux!$J$36)/IF(F36="Mensuelle",12,IF(F36="Trimestrielle",4,IF(F36="Semestrielle",2,1))),2))</f>
        <v/>
      </c>
      <c r="L36" s="17">
        <f>IF(A36="","",Baux!$K$36)</f>
        <v/>
      </c>
      <c r="M36" s="17">
        <f>IF(A36="","",IF(L36=20,"FR_200",IF(L36=10,"FR_100",IF(L36=5.5,"FR_55",IF(L36=2.1,"FR_21","exempt")))))</f>
        <v/>
      </c>
      <c r="N36" s="17">
        <f>IF(A36="","",Société!$B$11)</f>
        <v/>
      </c>
      <c r="O36" s="17">
        <f>IF(A36="","",Société!$B$12)</f>
        <v/>
      </c>
      <c r="P36" s="17">
        <f>IF(A36="","",Société!$B$13)</f>
        <v/>
      </c>
      <c r="Q36" s="15">
        <f>IF(A36="","",DATE(YEAR(TODAY()),MONTH(TODAY())+1,1))</f>
        <v/>
      </c>
      <c r="R36" s="17">
        <f>IF(OR(A36="",Baux!$T$36=""),"",Baux!$T$36)</f>
        <v/>
      </c>
      <c r="S36" s="17">
        <f>IF(A36="","","{""customer_id"": "&amp;C36&amp;", ""label"": """&amp;E36&amp;""", ""start"": """&amp;YEAR(Q36)&amp;"-"&amp;TEXT(MONTH(Q36),"00")&amp;"-"&amp;TEXT(DAY(Q36),"00")&amp;""", ""mode"": {""type"": """&amp;N36&amp;"""}, ""payment_conditions"": """&amp;O36&amp;""", ""payment_method"": """&amp;P36&amp;""", ""recurring_rule"": "&amp;"{""type"": """&amp;G36&amp;""", ""interval"": "&amp;H36&amp;IF(G36="monthly",", ""day_of_month"": 1","")&amp;"}"&amp;", ""customer_invoice_data"": {""currency"": ""EUR"", ""language"": ""fr_FR"", ""pdf_invoice_subject"": """&amp;E36&amp;""", ""invoice_lines"": ["&amp;"{""label"": ""Loyer "&amp;LOWER(F36)&amp;" – "&amp;Baux!$B$36&amp;""", ""quantity"": 1, ""unit"": """&amp;I36&amp;""", ""raw_currency_unit_price"": """&amp;SUBSTITUTE(TEXT(J36,"0.00"),",",".")&amp;""", ""vat_rate"": """&amp;M36&amp;""""&amp;IF(D36&lt;&gt;"",", ""product_id"": "&amp;D36,"")&amp;"}"&amp;IF(K36&gt;0,", {""label"": ""Provision sur charges"", ""quantity"": 1, ""unit"": """&amp;I36&amp;""", ""raw_currency_unit_price"": """&amp;SUBSTITUTE(TEXT(K36,"0.00"),",",".")&amp;""", ""vat_rate"": """&amp;M36&amp;"""}","")&amp;"]}}")</f>
        <v/>
      </c>
    </row>
    <row r="37">
      <c r="A37" s="17">
        <f>IF(Baux!$A$37="","",Baux!$A$37)</f>
        <v/>
      </c>
      <c r="B37" s="17">
        <f>IF(A37="","",Baux!$C$37)</f>
        <v/>
      </c>
      <c r="C37" s="17">
        <f>IF(A37="","",IF(Baux!$R$37="","À RENSEIGNER",Baux!$R$37))</f>
        <v/>
      </c>
      <c r="D37" s="17">
        <f>IF(OR(A37="",Baux!$S$37=""),"",Baux!$S$37)</f>
        <v/>
      </c>
      <c r="E37" s="17">
        <f>IF(A37="","","Loyer "&amp;Baux!$B$37)</f>
        <v/>
      </c>
      <c r="F37" s="17">
        <f>IF(A37="","",Baux!$L$37)</f>
        <v/>
      </c>
      <c r="G37" s="17">
        <f>IF(A37="","",IF(F37="Annuelle","yearly","monthly"))</f>
        <v/>
      </c>
      <c r="H37" s="17">
        <f>IF(A37="","",IF(F37="Mensuelle",1,IF(F37="Trimestrielle",3,IF(F37="Semestrielle",6,1))))</f>
        <v/>
      </c>
      <c r="I37" s="17">
        <f>IF(A37="","",IF(F37="Mensuelle","mois",IF(F37="Trimestrielle","trimestre",IF(F37="Semestrielle","semestre","an"))))</f>
        <v/>
      </c>
      <c r="J37" s="27">
        <f>IF(A37="","",ROUND(Alertes!$G$37/IF(F37="Mensuelle",12,IF(F37="Trimestrielle",4,IF(F37="Semestrielle",2,1))),2))</f>
        <v/>
      </c>
      <c r="K37" s="27">
        <f>IF(A37="","",ROUND(IF(Baux!$J$37="",0,Baux!$J$37)/IF(F37="Mensuelle",12,IF(F37="Trimestrielle",4,IF(F37="Semestrielle",2,1))),2))</f>
        <v/>
      </c>
      <c r="L37" s="17">
        <f>IF(A37="","",Baux!$K$37)</f>
        <v/>
      </c>
      <c r="M37" s="17">
        <f>IF(A37="","",IF(L37=20,"FR_200",IF(L37=10,"FR_100",IF(L37=5.5,"FR_55",IF(L37=2.1,"FR_21","exempt")))))</f>
        <v/>
      </c>
      <c r="N37" s="17">
        <f>IF(A37="","",Société!$B$11)</f>
        <v/>
      </c>
      <c r="O37" s="17">
        <f>IF(A37="","",Société!$B$12)</f>
        <v/>
      </c>
      <c r="P37" s="17">
        <f>IF(A37="","",Société!$B$13)</f>
        <v/>
      </c>
      <c r="Q37" s="15">
        <f>IF(A37="","",DATE(YEAR(TODAY()),MONTH(TODAY())+1,1))</f>
        <v/>
      </c>
      <c r="R37" s="17">
        <f>IF(OR(A37="",Baux!$T$37=""),"",Baux!$T$37)</f>
        <v/>
      </c>
      <c r="S37" s="17">
        <f>IF(A37="","","{""customer_id"": "&amp;C37&amp;", ""label"": """&amp;E37&amp;""", ""start"": """&amp;YEAR(Q37)&amp;"-"&amp;TEXT(MONTH(Q37),"00")&amp;"-"&amp;TEXT(DAY(Q37),"00")&amp;""", ""mode"": {""type"": """&amp;N37&amp;"""}, ""payment_conditions"": """&amp;O37&amp;""", ""payment_method"": """&amp;P37&amp;""", ""recurring_rule"": "&amp;"{""type"": """&amp;G37&amp;""", ""interval"": "&amp;H37&amp;IF(G37="monthly",", ""day_of_month"": 1","")&amp;"}"&amp;", ""customer_invoice_data"": {""currency"": ""EUR"", ""language"": ""fr_FR"", ""pdf_invoice_subject"": """&amp;E37&amp;""", ""invoice_lines"": ["&amp;"{""label"": ""Loyer "&amp;LOWER(F37)&amp;" – "&amp;Baux!$B$37&amp;""", ""quantity"": 1, ""unit"": """&amp;I37&amp;""", ""raw_currency_unit_price"": """&amp;SUBSTITUTE(TEXT(J37,"0.00"),",",".")&amp;""", ""vat_rate"": """&amp;M37&amp;""""&amp;IF(D37&lt;&gt;"",", ""product_id"": "&amp;D37,"")&amp;"}"&amp;IF(K37&gt;0,", {""label"": ""Provision sur charges"", ""quantity"": 1, ""unit"": """&amp;I37&amp;""", ""raw_currency_unit_price"": """&amp;SUBSTITUTE(TEXT(K37,"0.00"),",",".")&amp;""", ""vat_rate"": """&amp;M37&amp;"""}","")&amp;"]}}")</f>
        <v/>
      </c>
    </row>
    <row r="38">
      <c r="A38" s="17">
        <f>IF(Baux!$A$38="","",Baux!$A$38)</f>
        <v/>
      </c>
      <c r="B38" s="17">
        <f>IF(A38="","",Baux!$C$38)</f>
        <v/>
      </c>
      <c r="C38" s="17">
        <f>IF(A38="","",IF(Baux!$R$38="","À RENSEIGNER",Baux!$R$38))</f>
        <v/>
      </c>
      <c r="D38" s="17">
        <f>IF(OR(A38="",Baux!$S$38=""),"",Baux!$S$38)</f>
        <v/>
      </c>
      <c r="E38" s="17">
        <f>IF(A38="","","Loyer "&amp;Baux!$B$38)</f>
        <v/>
      </c>
      <c r="F38" s="17">
        <f>IF(A38="","",Baux!$L$38)</f>
        <v/>
      </c>
      <c r="G38" s="17">
        <f>IF(A38="","",IF(F38="Annuelle","yearly","monthly"))</f>
        <v/>
      </c>
      <c r="H38" s="17">
        <f>IF(A38="","",IF(F38="Mensuelle",1,IF(F38="Trimestrielle",3,IF(F38="Semestrielle",6,1))))</f>
        <v/>
      </c>
      <c r="I38" s="17">
        <f>IF(A38="","",IF(F38="Mensuelle","mois",IF(F38="Trimestrielle","trimestre",IF(F38="Semestrielle","semestre","an"))))</f>
        <v/>
      </c>
      <c r="J38" s="27">
        <f>IF(A38="","",ROUND(Alertes!$G$38/IF(F38="Mensuelle",12,IF(F38="Trimestrielle",4,IF(F38="Semestrielle",2,1))),2))</f>
        <v/>
      </c>
      <c r="K38" s="27">
        <f>IF(A38="","",ROUND(IF(Baux!$J$38="",0,Baux!$J$38)/IF(F38="Mensuelle",12,IF(F38="Trimestrielle",4,IF(F38="Semestrielle",2,1))),2))</f>
        <v/>
      </c>
      <c r="L38" s="17">
        <f>IF(A38="","",Baux!$K$38)</f>
        <v/>
      </c>
      <c r="M38" s="17">
        <f>IF(A38="","",IF(L38=20,"FR_200",IF(L38=10,"FR_100",IF(L38=5.5,"FR_55",IF(L38=2.1,"FR_21","exempt")))))</f>
        <v/>
      </c>
      <c r="N38" s="17">
        <f>IF(A38="","",Société!$B$11)</f>
        <v/>
      </c>
      <c r="O38" s="17">
        <f>IF(A38="","",Société!$B$12)</f>
        <v/>
      </c>
      <c r="P38" s="17">
        <f>IF(A38="","",Société!$B$13)</f>
        <v/>
      </c>
      <c r="Q38" s="15">
        <f>IF(A38="","",DATE(YEAR(TODAY()),MONTH(TODAY())+1,1))</f>
        <v/>
      </c>
      <c r="R38" s="17">
        <f>IF(OR(A38="",Baux!$T$38=""),"",Baux!$T$38)</f>
        <v/>
      </c>
      <c r="S38" s="17">
        <f>IF(A38="","","{""customer_id"": "&amp;C38&amp;", ""label"": """&amp;E38&amp;""", ""start"": """&amp;YEAR(Q38)&amp;"-"&amp;TEXT(MONTH(Q38),"00")&amp;"-"&amp;TEXT(DAY(Q38),"00")&amp;""", ""mode"": {""type"": """&amp;N38&amp;"""}, ""payment_conditions"": """&amp;O38&amp;""", ""payment_method"": """&amp;P38&amp;""", ""recurring_rule"": "&amp;"{""type"": """&amp;G38&amp;""", ""interval"": "&amp;H38&amp;IF(G38="monthly",", ""day_of_month"": 1","")&amp;"}"&amp;", ""customer_invoice_data"": {""currency"": ""EUR"", ""language"": ""fr_FR"", ""pdf_invoice_subject"": """&amp;E38&amp;""", ""invoice_lines"": ["&amp;"{""label"": ""Loyer "&amp;LOWER(F38)&amp;" – "&amp;Baux!$B$38&amp;""", ""quantity"": 1, ""unit"": """&amp;I38&amp;""", ""raw_currency_unit_price"": """&amp;SUBSTITUTE(TEXT(J38,"0.00"),",",".")&amp;""", ""vat_rate"": """&amp;M38&amp;""""&amp;IF(D38&lt;&gt;"",", ""product_id"": "&amp;D38,"")&amp;"}"&amp;IF(K38&gt;0,", {""label"": ""Provision sur charges"", ""quantity"": 1, ""unit"": """&amp;I38&amp;""", ""raw_currency_unit_price"": """&amp;SUBSTITUTE(TEXT(K38,"0.00"),",",".")&amp;""", ""vat_rate"": """&amp;M38&amp;"""}","")&amp;"]}}")</f>
        <v/>
      </c>
    </row>
    <row r="39">
      <c r="A39" s="17">
        <f>IF(Baux!$A$39="","",Baux!$A$39)</f>
        <v/>
      </c>
      <c r="B39" s="17">
        <f>IF(A39="","",Baux!$C$39)</f>
        <v/>
      </c>
      <c r="C39" s="17">
        <f>IF(A39="","",IF(Baux!$R$39="","À RENSEIGNER",Baux!$R$39))</f>
        <v/>
      </c>
      <c r="D39" s="17">
        <f>IF(OR(A39="",Baux!$S$39=""),"",Baux!$S$39)</f>
        <v/>
      </c>
      <c r="E39" s="17">
        <f>IF(A39="","","Loyer "&amp;Baux!$B$39)</f>
        <v/>
      </c>
      <c r="F39" s="17">
        <f>IF(A39="","",Baux!$L$39)</f>
        <v/>
      </c>
      <c r="G39" s="17">
        <f>IF(A39="","",IF(F39="Annuelle","yearly","monthly"))</f>
        <v/>
      </c>
      <c r="H39" s="17">
        <f>IF(A39="","",IF(F39="Mensuelle",1,IF(F39="Trimestrielle",3,IF(F39="Semestrielle",6,1))))</f>
        <v/>
      </c>
      <c r="I39" s="17">
        <f>IF(A39="","",IF(F39="Mensuelle","mois",IF(F39="Trimestrielle","trimestre",IF(F39="Semestrielle","semestre","an"))))</f>
        <v/>
      </c>
      <c r="J39" s="27">
        <f>IF(A39="","",ROUND(Alertes!$G$39/IF(F39="Mensuelle",12,IF(F39="Trimestrielle",4,IF(F39="Semestrielle",2,1))),2))</f>
        <v/>
      </c>
      <c r="K39" s="27">
        <f>IF(A39="","",ROUND(IF(Baux!$J$39="",0,Baux!$J$39)/IF(F39="Mensuelle",12,IF(F39="Trimestrielle",4,IF(F39="Semestrielle",2,1))),2))</f>
        <v/>
      </c>
      <c r="L39" s="17">
        <f>IF(A39="","",Baux!$K$39)</f>
        <v/>
      </c>
      <c r="M39" s="17">
        <f>IF(A39="","",IF(L39=20,"FR_200",IF(L39=10,"FR_100",IF(L39=5.5,"FR_55",IF(L39=2.1,"FR_21","exempt")))))</f>
        <v/>
      </c>
      <c r="N39" s="17">
        <f>IF(A39="","",Société!$B$11)</f>
        <v/>
      </c>
      <c r="O39" s="17">
        <f>IF(A39="","",Société!$B$12)</f>
        <v/>
      </c>
      <c r="P39" s="17">
        <f>IF(A39="","",Société!$B$13)</f>
        <v/>
      </c>
      <c r="Q39" s="15">
        <f>IF(A39="","",DATE(YEAR(TODAY()),MONTH(TODAY())+1,1))</f>
        <v/>
      </c>
      <c r="R39" s="17">
        <f>IF(OR(A39="",Baux!$T$39=""),"",Baux!$T$39)</f>
        <v/>
      </c>
      <c r="S39" s="17">
        <f>IF(A39="","","{""customer_id"": "&amp;C39&amp;", ""label"": """&amp;E39&amp;""", ""start"": """&amp;YEAR(Q39)&amp;"-"&amp;TEXT(MONTH(Q39),"00")&amp;"-"&amp;TEXT(DAY(Q39),"00")&amp;""", ""mode"": {""type"": """&amp;N39&amp;"""}, ""payment_conditions"": """&amp;O39&amp;""", ""payment_method"": """&amp;P39&amp;""", ""recurring_rule"": "&amp;"{""type"": """&amp;G39&amp;""", ""interval"": "&amp;H39&amp;IF(G39="monthly",", ""day_of_month"": 1","")&amp;"}"&amp;", ""customer_invoice_data"": {""currency"": ""EUR"", ""language"": ""fr_FR"", ""pdf_invoice_subject"": """&amp;E39&amp;""", ""invoice_lines"": ["&amp;"{""label"": ""Loyer "&amp;LOWER(F39)&amp;" – "&amp;Baux!$B$39&amp;""", ""quantity"": 1, ""unit"": """&amp;I39&amp;""", ""raw_currency_unit_price"": """&amp;SUBSTITUTE(TEXT(J39,"0.00"),",",".")&amp;""", ""vat_rate"": """&amp;M39&amp;""""&amp;IF(D39&lt;&gt;"",", ""product_id"": "&amp;D39,"")&amp;"}"&amp;IF(K39&gt;0,", {""label"": ""Provision sur charges"", ""quantity"": 1, ""unit"": """&amp;I39&amp;""", ""raw_currency_unit_price"": """&amp;SUBSTITUTE(TEXT(K39,"0.00"),",",".")&amp;""", ""vat_rate"": """&amp;M39&amp;"""}","")&amp;"]}}")</f>
        <v/>
      </c>
    </row>
    <row r="40">
      <c r="A40" s="17">
        <f>IF(Baux!$A$40="","",Baux!$A$40)</f>
        <v/>
      </c>
      <c r="B40" s="17">
        <f>IF(A40="","",Baux!$C$40)</f>
        <v/>
      </c>
      <c r="C40" s="17">
        <f>IF(A40="","",IF(Baux!$R$40="","À RENSEIGNER",Baux!$R$40))</f>
        <v/>
      </c>
      <c r="D40" s="17">
        <f>IF(OR(A40="",Baux!$S$40=""),"",Baux!$S$40)</f>
        <v/>
      </c>
      <c r="E40" s="17">
        <f>IF(A40="","","Loyer "&amp;Baux!$B$40)</f>
        <v/>
      </c>
      <c r="F40" s="17">
        <f>IF(A40="","",Baux!$L$40)</f>
        <v/>
      </c>
      <c r="G40" s="17">
        <f>IF(A40="","",IF(F40="Annuelle","yearly","monthly"))</f>
        <v/>
      </c>
      <c r="H40" s="17">
        <f>IF(A40="","",IF(F40="Mensuelle",1,IF(F40="Trimestrielle",3,IF(F40="Semestrielle",6,1))))</f>
        <v/>
      </c>
      <c r="I40" s="17">
        <f>IF(A40="","",IF(F40="Mensuelle","mois",IF(F40="Trimestrielle","trimestre",IF(F40="Semestrielle","semestre","an"))))</f>
        <v/>
      </c>
      <c r="J40" s="27">
        <f>IF(A40="","",ROUND(Alertes!$G$40/IF(F40="Mensuelle",12,IF(F40="Trimestrielle",4,IF(F40="Semestrielle",2,1))),2))</f>
        <v/>
      </c>
      <c r="K40" s="27">
        <f>IF(A40="","",ROUND(IF(Baux!$J$40="",0,Baux!$J$40)/IF(F40="Mensuelle",12,IF(F40="Trimestrielle",4,IF(F40="Semestrielle",2,1))),2))</f>
        <v/>
      </c>
      <c r="L40" s="17">
        <f>IF(A40="","",Baux!$K$40)</f>
        <v/>
      </c>
      <c r="M40" s="17">
        <f>IF(A40="","",IF(L40=20,"FR_200",IF(L40=10,"FR_100",IF(L40=5.5,"FR_55",IF(L40=2.1,"FR_21","exempt")))))</f>
        <v/>
      </c>
      <c r="N40" s="17">
        <f>IF(A40="","",Société!$B$11)</f>
        <v/>
      </c>
      <c r="O40" s="17">
        <f>IF(A40="","",Société!$B$12)</f>
        <v/>
      </c>
      <c r="P40" s="17">
        <f>IF(A40="","",Société!$B$13)</f>
        <v/>
      </c>
      <c r="Q40" s="15">
        <f>IF(A40="","",DATE(YEAR(TODAY()),MONTH(TODAY())+1,1))</f>
        <v/>
      </c>
      <c r="R40" s="17">
        <f>IF(OR(A40="",Baux!$T$40=""),"",Baux!$T$40)</f>
        <v/>
      </c>
      <c r="S40" s="17">
        <f>IF(A40="","","{""customer_id"": "&amp;C40&amp;", ""label"": """&amp;E40&amp;""", ""start"": """&amp;YEAR(Q40)&amp;"-"&amp;TEXT(MONTH(Q40),"00")&amp;"-"&amp;TEXT(DAY(Q40),"00")&amp;""", ""mode"": {""type"": """&amp;N40&amp;"""}, ""payment_conditions"": """&amp;O40&amp;""", ""payment_method"": """&amp;P40&amp;""", ""recurring_rule"": "&amp;"{""type"": """&amp;G40&amp;""", ""interval"": "&amp;H40&amp;IF(G40="monthly",", ""day_of_month"": 1","")&amp;"}"&amp;", ""customer_invoice_data"": {""currency"": ""EUR"", ""language"": ""fr_FR"", ""pdf_invoice_subject"": """&amp;E40&amp;""", ""invoice_lines"": ["&amp;"{""label"": ""Loyer "&amp;LOWER(F40)&amp;" – "&amp;Baux!$B$40&amp;""", ""quantity"": 1, ""unit"": """&amp;I40&amp;""", ""raw_currency_unit_price"": """&amp;SUBSTITUTE(TEXT(J40,"0.00"),",",".")&amp;""", ""vat_rate"": """&amp;M40&amp;""""&amp;IF(D40&lt;&gt;"",", ""product_id"": "&amp;D40,"")&amp;"}"&amp;IF(K40&gt;0,", {""label"": ""Provision sur charges"", ""quantity"": 1, ""unit"": """&amp;I40&amp;""", ""raw_currency_unit_price"": """&amp;SUBSTITUTE(TEXT(K40,"0.00"),",",".")&amp;""", ""vat_rate"": """&amp;M40&amp;"""}","")&amp;"]}}")</f>
        <v/>
      </c>
    </row>
    <row r="41">
      <c r="A41" s="17">
        <f>IF(Baux!$A$41="","",Baux!$A$41)</f>
        <v/>
      </c>
      <c r="B41" s="17">
        <f>IF(A41="","",Baux!$C$41)</f>
        <v/>
      </c>
      <c r="C41" s="17">
        <f>IF(A41="","",IF(Baux!$R$41="","À RENSEIGNER",Baux!$R$41))</f>
        <v/>
      </c>
      <c r="D41" s="17">
        <f>IF(OR(A41="",Baux!$S$41=""),"",Baux!$S$41)</f>
        <v/>
      </c>
      <c r="E41" s="17">
        <f>IF(A41="","","Loyer "&amp;Baux!$B$41)</f>
        <v/>
      </c>
      <c r="F41" s="17">
        <f>IF(A41="","",Baux!$L$41)</f>
        <v/>
      </c>
      <c r="G41" s="17">
        <f>IF(A41="","",IF(F41="Annuelle","yearly","monthly"))</f>
        <v/>
      </c>
      <c r="H41" s="17">
        <f>IF(A41="","",IF(F41="Mensuelle",1,IF(F41="Trimestrielle",3,IF(F41="Semestrielle",6,1))))</f>
        <v/>
      </c>
      <c r="I41" s="17">
        <f>IF(A41="","",IF(F41="Mensuelle","mois",IF(F41="Trimestrielle","trimestre",IF(F41="Semestrielle","semestre","an"))))</f>
        <v/>
      </c>
      <c r="J41" s="27">
        <f>IF(A41="","",ROUND(Alertes!$G$41/IF(F41="Mensuelle",12,IF(F41="Trimestrielle",4,IF(F41="Semestrielle",2,1))),2))</f>
        <v/>
      </c>
      <c r="K41" s="27">
        <f>IF(A41="","",ROUND(IF(Baux!$J$41="",0,Baux!$J$41)/IF(F41="Mensuelle",12,IF(F41="Trimestrielle",4,IF(F41="Semestrielle",2,1))),2))</f>
        <v/>
      </c>
      <c r="L41" s="17">
        <f>IF(A41="","",Baux!$K$41)</f>
        <v/>
      </c>
      <c r="M41" s="17">
        <f>IF(A41="","",IF(L41=20,"FR_200",IF(L41=10,"FR_100",IF(L41=5.5,"FR_55",IF(L41=2.1,"FR_21","exempt")))))</f>
        <v/>
      </c>
      <c r="N41" s="17">
        <f>IF(A41="","",Société!$B$11)</f>
        <v/>
      </c>
      <c r="O41" s="17">
        <f>IF(A41="","",Société!$B$12)</f>
        <v/>
      </c>
      <c r="P41" s="17">
        <f>IF(A41="","",Société!$B$13)</f>
        <v/>
      </c>
      <c r="Q41" s="15">
        <f>IF(A41="","",DATE(YEAR(TODAY()),MONTH(TODAY())+1,1))</f>
        <v/>
      </c>
      <c r="R41" s="17">
        <f>IF(OR(A41="",Baux!$T$41=""),"",Baux!$T$41)</f>
        <v/>
      </c>
      <c r="S41" s="17">
        <f>IF(A41="","","{""customer_id"": "&amp;C41&amp;", ""label"": """&amp;E41&amp;""", ""start"": """&amp;YEAR(Q41)&amp;"-"&amp;TEXT(MONTH(Q41),"00")&amp;"-"&amp;TEXT(DAY(Q41),"00")&amp;""", ""mode"": {""type"": """&amp;N41&amp;"""}, ""payment_conditions"": """&amp;O41&amp;""", ""payment_method"": """&amp;P41&amp;""", ""recurring_rule"": "&amp;"{""type"": """&amp;G41&amp;""", ""interval"": "&amp;H41&amp;IF(G41="monthly",", ""day_of_month"": 1","")&amp;"}"&amp;", ""customer_invoice_data"": {""currency"": ""EUR"", ""language"": ""fr_FR"", ""pdf_invoice_subject"": """&amp;E41&amp;""", ""invoice_lines"": ["&amp;"{""label"": ""Loyer "&amp;LOWER(F41)&amp;" – "&amp;Baux!$B$41&amp;""", ""quantity"": 1, ""unit"": """&amp;I41&amp;""", ""raw_currency_unit_price"": """&amp;SUBSTITUTE(TEXT(J41,"0.00"),",",".")&amp;""", ""vat_rate"": """&amp;M41&amp;""""&amp;IF(D41&lt;&gt;"",", ""product_id"": "&amp;D41,"")&amp;"}"&amp;IF(K41&gt;0,", {""label"": ""Provision sur charges"", ""quantity"": 1, ""unit"": """&amp;I41&amp;""", ""raw_currency_unit_price"": """&amp;SUBSTITUTE(TEXT(K41,"0.00"),",",".")&amp;""", ""vat_rate"": """&amp;M41&amp;"""}","")&amp;"]}}")</f>
        <v/>
      </c>
    </row>
    <row r="43">
      <c r="A43" s="2" t="inlineStr">
        <is>
          <t>Schéma : OpenAPI Pennylane Company V2 (POST /billing_subscriptions, 2026-05-27). Réglages dans la feuille Société. Automatisation de l'envoi : étape ultérieure (commande pennylane --push).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8" customWidth="1" min="4" max="4"/>
  </cols>
  <sheetData>
    <row r="1" ht="42" customHeight="1">
      <c r="A1" s="12" t="inlineStr">
        <is>
          <t>Série</t>
        </is>
      </c>
      <c r="B1" s="12" t="inlineStr">
        <is>
          <t>Période</t>
        </is>
      </c>
      <c r="C1" s="12" t="inlineStr">
        <is>
          <t>Valeur</t>
        </is>
      </c>
      <c r="D1" s="12" t="inlineStr">
        <is>
          <t>Rang</t>
        </is>
      </c>
    </row>
    <row r="2">
      <c r="A2" t="inlineStr">
        <is>
          <t>ILC</t>
        </is>
      </c>
      <c r="B2" t="inlineStr">
        <is>
          <t>2000-T1</t>
        </is>
      </c>
      <c r="C2">
        <f>IF(Indices!B3="","",Indices!B3)</f>
        <v/>
      </c>
      <c r="D2">
        <f>IF(C2="",0,8001)</f>
        <v/>
      </c>
    </row>
    <row r="3">
      <c r="A3" t="inlineStr">
        <is>
          <t>ILC</t>
        </is>
      </c>
      <c r="B3" t="inlineStr">
        <is>
          <t>2000-T2</t>
        </is>
      </c>
      <c r="C3">
        <f>IF(Indices!C3="","",Indices!C3)</f>
        <v/>
      </c>
      <c r="D3">
        <f>IF(C3="",0,8002)</f>
        <v/>
      </c>
    </row>
    <row r="4">
      <c r="A4" t="inlineStr">
        <is>
          <t>ILC</t>
        </is>
      </c>
      <c r="B4" t="inlineStr">
        <is>
          <t>2000-T3</t>
        </is>
      </c>
      <c r="C4">
        <f>IF(Indices!D3="","",Indices!D3)</f>
        <v/>
      </c>
      <c r="D4">
        <f>IF(C4="",0,8003)</f>
        <v/>
      </c>
    </row>
    <row r="5">
      <c r="A5" t="inlineStr">
        <is>
          <t>ILC</t>
        </is>
      </c>
      <c r="B5" t="inlineStr">
        <is>
          <t>2000-T4</t>
        </is>
      </c>
      <c r="C5">
        <f>IF(Indices!E3="","",Indices!E3)</f>
        <v/>
      </c>
      <c r="D5">
        <f>IF(C5="",0,8004)</f>
        <v/>
      </c>
    </row>
    <row r="6">
      <c r="A6" t="inlineStr">
        <is>
          <t>ILC</t>
        </is>
      </c>
      <c r="B6" t="inlineStr">
        <is>
          <t>2001-T1</t>
        </is>
      </c>
      <c r="C6">
        <f>IF(Indices!B4="","",Indices!B4)</f>
        <v/>
      </c>
      <c r="D6">
        <f>IF(C6="",0,8005)</f>
        <v/>
      </c>
    </row>
    <row r="7">
      <c r="A7" t="inlineStr">
        <is>
          <t>ILC</t>
        </is>
      </c>
      <c r="B7" t="inlineStr">
        <is>
          <t>2001-T2</t>
        </is>
      </c>
      <c r="C7">
        <f>IF(Indices!C4="","",Indices!C4)</f>
        <v/>
      </c>
      <c r="D7">
        <f>IF(C7="",0,8006)</f>
        <v/>
      </c>
    </row>
    <row r="8">
      <c r="A8" t="inlineStr">
        <is>
          <t>ILC</t>
        </is>
      </c>
      <c r="B8" t="inlineStr">
        <is>
          <t>2001-T3</t>
        </is>
      </c>
      <c r="C8">
        <f>IF(Indices!D4="","",Indices!D4)</f>
        <v/>
      </c>
      <c r="D8">
        <f>IF(C8="",0,8007)</f>
        <v/>
      </c>
    </row>
    <row r="9">
      <c r="A9" t="inlineStr">
        <is>
          <t>ILC</t>
        </is>
      </c>
      <c r="B9" t="inlineStr">
        <is>
          <t>2001-T4</t>
        </is>
      </c>
      <c r="C9">
        <f>IF(Indices!E4="","",Indices!E4)</f>
        <v/>
      </c>
      <c r="D9">
        <f>IF(C9="",0,8008)</f>
        <v/>
      </c>
    </row>
    <row r="10">
      <c r="A10" t="inlineStr">
        <is>
          <t>ILC</t>
        </is>
      </c>
      <c r="B10" t="inlineStr">
        <is>
          <t>2002-T1</t>
        </is>
      </c>
      <c r="C10">
        <f>IF(Indices!B5="","",Indices!B5)</f>
        <v/>
      </c>
      <c r="D10">
        <f>IF(C10="",0,8009)</f>
        <v/>
      </c>
    </row>
    <row r="11">
      <c r="A11" t="inlineStr">
        <is>
          <t>ILC</t>
        </is>
      </c>
      <c r="B11" t="inlineStr">
        <is>
          <t>2002-T2</t>
        </is>
      </c>
      <c r="C11">
        <f>IF(Indices!C5="","",Indices!C5)</f>
        <v/>
      </c>
      <c r="D11">
        <f>IF(C11="",0,8010)</f>
        <v/>
      </c>
    </row>
    <row r="12">
      <c r="A12" t="inlineStr">
        <is>
          <t>ILC</t>
        </is>
      </c>
      <c r="B12" t="inlineStr">
        <is>
          <t>2002-T3</t>
        </is>
      </c>
      <c r="C12">
        <f>IF(Indices!D5="","",Indices!D5)</f>
        <v/>
      </c>
      <c r="D12">
        <f>IF(C12="",0,8011)</f>
        <v/>
      </c>
    </row>
    <row r="13">
      <c r="A13" t="inlineStr">
        <is>
          <t>ILC</t>
        </is>
      </c>
      <c r="B13" t="inlineStr">
        <is>
          <t>2002-T4</t>
        </is>
      </c>
      <c r="C13">
        <f>IF(Indices!E5="","",Indices!E5)</f>
        <v/>
      </c>
      <c r="D13">
        <f>IF(C13="",0,8012)</f>
        <v/>
      </c>
    </row>
    <row r="14">
      <c r="A14" t="inlineStr">
        <is>
          <t>ILC</t>
        </is>
      </c>
      <c r="B14" t="inlineStr">
        <is>
          <t>2003-T1</t>
        </is>
      </c>
      <c r="C14">
        <f>IF(Indices!B6="","",Indices!B6)</f>
        <v/>
      </c>
      <c r="D14">
        <f>IF(C14="",0,8013)</f>
        <v/>
      </c>
    </row>
    <row r="15">
      <c r="A15" t="inlineStr">
        <is>
          <t>ILC</t>
        </is>
      </c>
      <c r="B15" t="inlineStr">
        <is>
          <t>2003-T2</t>
        </is>
      </c>
      <c r="C15">
        <f>IF(Indices!C6="","",Indices!C6)</f>
        <v/>
      </c>
      <c r="D15">
        <f>IF(C15="",0,8014)</f>
        <v/>
      </c>
    </row>
    <row r="16">
      <c r="A16" t="inlineStr">
        <is>
          <t>ILC</t>
        </is>
      </c>
      <c r="B16" t="inlineStr">
        <is>
          <t>2003-T3</t>
        </is>
      </c>
      <c r="C16">
        <f>IF(Indices!D6="","",Indices!D6)</f>
        <v/>
      </c>
      <c r="D16">
        <f>IF(C16="",0,8015)</f>
        <v/>
      </c>
    </row>
    <row r="17">
      <c r="A17" t="inlineStr">
        <is>
          <t>ILC</t>
        </is>
      </c>
      <c r="B17" t="inlineStr">
        <is>
          <t>2003-T4</t>
        </is>
      </c>
      <c r="C17">
        <f>IF(Indices!E6="","",Indices!E6)</f>
        <v/>
      </c>
      <c r="D17">
        <f>IF(C17="",0,8016)</f>
        <v/>
      </c>
    </row>
    <row r="18">
      <c r="A18" t="inlineStr">
        <is>
          <t>ILC</t>
        </is>
      </c>
      <c r="B18" t="inlineStr">
        <is>
          <t>2004-T1</t>
        </is>
      </c>
      <c r="C18">
        <f>IF(Indices!B7="","",Indices!B7)</f>
        <v/>
      </c>
      <c r="D18">
        <f>IF(C18="",0,8017)</f>
        <v/>
      </c>
    </row>
    <row r="19">
      <c r="A19" t="inlineStr">
        <is>
          <t>ILC</t>
        </is>
      </c>
      <c r="B19" t="inlineStr">
        <is>
          <t>2004-T2</t>
        </is>
      </c>
      <c r="C19">
        <f>IF(Indices!C7="","",Indices!C7)</f>
        <v/>
      </c>
      <c r="D19">
        <f>IF(C19="",0,8018)</f>
        <v/>
      </c>
    </row>
    <row r="20">
      <c r="A20" t="inlineStr">
        <is>
          <t>ILC</t>
        </is>
      </c>
      <c r="B20" t="inlineStr">
        <is>
          <t>2004-T3</t>
        </is>
      </c>
      <c r="C20">
        <f>IF(Indices!D7="","",Indices!D7)</f>
        <v/>
      </c>
      <c r="D20">
        <f>IF(C20="",0,8019)</f>
        <v/>
      </c>
    </row>
    <row r="21">
      <c r="A21" t="inlineStr">
        <is>
          <t>ILC</t>
        </is>
      </c>
      <c r="B21" t="inlineStr">
        <is>
          <t>2004-T4</t>
        </is>
      </c>
      <c r="C21">
        <f>IF(Indices!E7="","",Indices!E7)</f>
        <v/>
      </c>
      <c r="D21">
        <f>IF(C21="",0,8020)</f>
        <v/>
      </c>
    </row>
    <row r="22">
      <c r="A22" t="inlineStr">
        <is>
          <t>ILC</t>
        </is>
      </c>
      <c r="B22" t="inlineStr">
        <is>
          <t>2005-T1</t>
        </is>
      </c>
      <c r="C22">
        <f>IF(Indices!B8="","",Indices!B8)</f>
        <v/>
      </c>
      <c r="D22">
        <f>IF(C22="",0,8021)</f>
        <v/>
      </c>
    </row>
    <row r="23">
      <c r="A23" t="inlineStr">
        <is>
          <t>ILC</t>
        </is>
      </c>
      <c r="B23" t="inlineStr">
        <is>
          <t>2005-T2</t>
        </is>
      </c>
      <c r="C23">
        <f>IF(Indices!C8="","",Indices!C8)</f>
        <v/>
      </c>
      <c r="D23">
        <f>IF(C23="",0,8022)</f>
        <v/>
      </c>
    </row>
    <row r="24">
      <c r="A24" t="inlineStr">
        <is>
          <t>ILC</t>
        </is>
      </c>
      <c r="B24" t="inlineStr">
        <is>
          <t>2005-T3</t>
        </is>
      </c>
      <c r="C24">
        <f>IF(Indices!D8="","",Indices!D8)</f>
        <v/>
      </c>
      <c r="D24">
        <f>IF(C24="",0,8023)</f>
        <v/>
      </c>
    </row>
    <row r="25">
      <c r="A25" t="inlineStr">
        <is>
          <t>ILC</t>
        </is>
      </c>
      <c r="B25" t="inlineStr">
        <is>
          <t>2005-T4</t>
        </is>
      </c>
      <c r="C25">
        <f>IF(Indices!E8="","",Indices!E8)</f>
        <v/>
      </c>
      <c r="D25">
        <f>IF(C25="",0,8024)</f>
        <v/>
      </c>
    </row>
    <row r="26">
      <c r="A26" t="inlineStr">
        <is>
          <t>ILC</t>
        </is>
      </c>
      <c r="B26" t="inlineStr">
        <is>
          <t>2006-T1</t>
        </is>
      </c>
      <c r="C26">
        <f>IF(Indices!B9="","",Indices!B9)</f>
        <v/>
      </c>
      <c r="D26">
        <f>IF(C26="",0,8025)</f>
        <v/>
      </c>
    </row>
    <row r="27">
      <c r="A27" t="inlineStr">
        <is>
          <t>ILC</t>
        </is>
      </c>
      <c r="B27" t="inlineStr">
        <is>
          <t>2006-T2</t>
        </is>
      </c>
      <c r="C27">
        <f>IF(Indices!C9="","",Indices!C9)</f>
        <v/>
      </c>
      <c r="D27">
        <f>IF(C27="",0,8026)</f>
        <v/>
      </c>
    </row>
    <row r="28">
      <c r="A28" t="inlineStr">
        <is>
          <t>ILC</t>
        </is>
      </c>
      <c r="B28" t="inlineStr">
        <is>
          <t>2006-T3</t>
        </is>
      </c>
      <c r="C28">
        <f>IF(Indices!D9="","",Indices!D9)</f>
        <v/>
      </c>
      <c r="D28">
        <f>IF(C28="",0,8027)</f>
        <v/>
      </c>
    </row>
    <row r="29">
      <c r="A29" t="inlineStr">
        <is>
          <t>ILC</t>
        </is>
      </c>
      <c r="B29" t="inlineStr">
        <is>
          <t>2006-T4</t>
        </is>
      </c>
      <c r="C29">
        <f>IF(Indices!E9="","",Indices!E9)</f>
        <v/>
      </c>
      <c r="D29">
        <f>IF(C29="",0,8028)</f>
        <v/>
      </c>
    </row>
    <row r="30">
      <c r="A30" t="inlineStr">
        <is>
          <t>ILC</t>
        </is>
      </c>
      <c r="B30" t="inlineStr">
        <is>
          <t>2007-T1</t>
        </is>
      </c>
      <c r="C30">
        <f>IF(Indices!B10="","",Indices!B10)</f>
        <v/>
      </c>
      <c r="D30">
        <f>IF(C30="",0,8029)</f>
        <v/>
      </c>
    </row>
    <row r="31">
      <c r="A31" t="inlineStr">
        <is>
          <t>ILC</t>
        </is>
      </c>
      <c r="B31" t="inlineStr">
        <is>
          <t>2007-T2</t>
        </is>
      </c>
      <c r="C31">
        <f>IF(Indices!C10="","",Indices!C10)</f>
        <v/>
      </c>
      <c r="D31">
        <f>IF(C31="",0,8030)</f>
        <v/>
      </c>
    </row>
    <row r="32">
      <c r="A32" t="inlineStr">
        <is>
          <t>ILC</t>
        </is>
      </c>
      <c r="B32" t="inlineStr">
        <is>
          <t>2007-T3</t>
        </is>
      </c>
      <c r="C32">
        <f>IF(Indices!D10="","",Indices!D10)</f>
        <v/>
      </c>
      <c r="D32">
        <f>IF(C32="",0,8031)</f>
        <v/>
      </c>
    </row>
    <row r="33">
      <c r="A33" t="inlineStr">
        <is>
          <t>ILC</t>
        </is>
      </c>
      <c r="B33" t="inlineStr">
        <is>
          <t>2007-T4</t>
        </is>
      </c>
      <c r="C33">
        <f>IF(Indices!E10="","",Indices!E10)</f>
        <v/>
      </c>
      <c r="D33">
        <f>IF(C33="",0,8032)</f>
        <v/>
      </c>
    </row>
    <row r="34">
      <c r="A34" t="inlineStr">
        <is>
          <t>ILC</t>
        </is>
      </c>
      <c r="B34" t="inlineStr">
        <is>
          <t>2008-T1</t>
        </is>
      </c>
      <c r="C34">
        <f>IF(Indices!B11="","",Indices!B11)</f>
        <v/>
      </c>
      <c r="D34">
        <f>IF(C34="",0,8033)</f>
        <v/>
      </c>
    </row>
    <row r="35">
      <c r="A35" t="inlineStr">
        <is>
          <t>ILC</t>
        </is>
      </c>
      <c r="B35" t="inlineStr">
        <is>
          <t>2008-T2</t>
        </is>
      </c>
      <c r="C35">
        <f>IF(Indices!C11="","",Indices!C11)</f>
        <v/>
      </c>
      <c r="D35">
        <f>IF(C35="",0,8034)</f>
        <v/>
      </c>
    </row>
    <row r="36">
      <c r="A36" t="inlineStr">
        <is>
          <t>ILC</t>
        </is>
      </c>
      <c r="B36" t="inlineStr">
        <is>
          <t>2008-T3</t>
        </is>
      </c>
      <c r="C36">
        <f>IF(Indices!D11="","",Indices!D11)</f>
        <v/>
      </c>
      <c r="D36">
        <f>IF(C36="",0,8035)</f>
        <v/>
      </c>
    </row>
    <row r="37">
      <c r="A37" t="inlineStr">
        <is>
          <t>ILC</t>
        </is>
      </c>
      <c r="B37" t="inlineStr">
        <is>
          <t>2008-T4</t>
        </is>
      </c>
      <c r="C37">
        <f>IF(Indices!E11="","",Indices!E11)</f>
        <v/>
      </c>
      <c r="D37">
        <f>IF(C37="",0,8036)</f>
        <v/>
      </c>
    </row>
    <row r="38">
      <c r="A38" t="inlineStr">
        <is>
          <t>ILC</t>
        </is>
      </c>
      <c r="B38" t="inlineStr">
        <is>
          <t>2009-T1</t>
        </is>
      </c>
      <c r="C38">
        <f>IF(Indices!B12="","",Indices!B12)</f>
        <v/>
      </c>
      <c r="D38">
        <f>IF(C38="",0,8037)</f>
        <v/>
      </c>
    </row>
    <row r="39">
      <c r="A39" t="inlineStr">
        <is>
          <t>ILC</t>
        </is>
      </c>
      <c r="B39" t="inlineStr">
        <is>
          <t>2009-T2</t>
        </is>
      </c>
      <c r="C39">
        <f>IF(Indices!C12="","",Indices!C12)</f>
        <v/>
      </c>
      <c r="D39">
        <f>IF(C39="",0,8038)</f>
        <v/>
      </c>
    </row>
    <row r="40">
      <c r="A40" t="inlineStr">
        <is>
          <t>ILC</t>
        </is>
      </c>
      <c r="B40" t="inlineStr">
        <is>
          <t>2009-T3</t>
        </is>
      </c>
      <c r="C40">
        <f>IF(Indices!D12="","",Indices!D12)</f>
        <v/>
      </c>
      <c r="D40">
        <f>IF(C40="",0,8039)</f>
        <v/>
      </c>
    </row>
    <row r="41">
      <c r="A41" t="inlineStr">
        <is>
          <t>ILC</t>
        </is>
      </c>
      <c r="B41" t="inlineStr">
        <is>
          <t>2009-T4</t>
        </is>
      </c>
      <c r="C41">
        <f>IF(Indices!E12="","",Indices!E12)</f>
        <v/>
      </c>
      <c r="D41">
        <f>IF(C41="",0,8040)</f>
        <v/>
      </c>
    </row>
    <row r="42">
      <c r="A42" t="inlineStr">
        <is>
          <t>ILC</t>
        </is>
      </c>
      <c r="B42" t="inlineStr">
        <is>
          <t>2010-T1</t>
        </is>
      </c>
      <c r="C42">
        <f>IF(Indices!B13="","",Indices!B13)</f>
        <v/>
      </c>
      <c r="D42">
        <f>IF(C42="",0,8041)</f>
        <v/>
      </c>
    </row>
    <row r="43">
      <c r="A43" t="inlineStr">
        <is>
          <t>ILC</t>
        </is>
      </c>
      <c r="B43" t="inlineStr">
        <is>
          <t>2010-T2</t>
        </is>
      </c>
      <c r="C43">
        <f>IF(Indices!C13="","",Indices!C13)</f>
        <v/>
      </c>
      <c r="D43">
        <f>IF(C43="",0,8042)</f>
        <v/>
      </c>
    </row>
    <row r="44">
      <c r="A44" t="inlineStr">
        <is>
          <t>ILC</t>
        </is>
      </c>
      <c r="B44" t="inlineStr">
        <is>
          <t>2010-T3</t>
        </is>
      </c>
      <c r="C44">
        <f>IF(Indices!D13="","",Indices!D13)</f>
        <v/>
      </c>
      <c r="D44">
        <f>IF(C44="",0,8043)</f>
        <v/>
      </c>
    </row>
    <row r="45">
      <c r="A45" t="inlineStr">
        <is>
          <t>ILC</t>
        </is>
      </c>
      <c r="B45" t="inlineStr">
        <is>
          <t>2010-T4</t>
        </is>
      </c>
      <c r="C45">
        <f>IF(Indices!E13="","",Indices!E13)</f>
        <v/>
      </c>
      <c r="D45">
        <f>IF(C45="",0,8044)</f>
        <v/>
      </c>
    </row>
    <row r="46">
      <c r="A46" t="inlineStr">
        <is>
          <t>ILC</t>
        </is>
      </c>
      <c r="B46" t="inlineStr">
        <is>
          <t>2011-T1</t>
        </is>
      </c>
      <c r="C46">
        <f>IF(Indices!B14="","",Indices!B14)</f>
        <v/>
      </c>
      <c r="D46">
        <f>IF(C46="",0,8045)</f>
        <v/>
      </c>
    </row>
    <row r="47">
      <c r="A47" t="inlineStr">
        <is>
          <t>ILC</t>
        </is>
      </c>
      <c r="B47" t="inlineStr">
        <is>
          <t>2011-T2</t>
        </is>
      </c>
      <c r="C47">
        <f>IF(Indices!C14="","",Indices!C14)</f>
        <v/>
      </c>
      <c r="D47">
        <f>IF(C47="",0,8046)</f>
        <v/>
      </c>
    </row>
    <row r="48">
      <c r="A48" t="inlineStr">
        <is>
          <t>ILC</t>
        </is>
      </c>
      <c r="B48" t="inlineStr">
        <is>
          <t>2011-T3</t>
        </is>
      </c>
      <c r="C48">
        <f>IF(Indices!D14="","",Indices!D14)</f>
        <v/>
      </c>
      <c r="D48">
        <f>IF(C48="",0,8047)</f>
        <v/>
      </c>
    </row>
    <row r="49">
      <c r="A49" t="inlineStr">
        <is>
          <t>ILC</t>
        </is>
      </c>
      <c r="B49" t="inlineStr">
        <is>
          <t>2011-T4</t>
        </is>
      </c>
      <c r="C49">
        <f>IF(Indices!E14="","",Indices!E14)</f>
        <v/>
      </c>
      <c r="D49">
        <f>IF(C49="",0,8048)</f>
        <v/>
      </c>
    </row>
    <row r="50">
      <c r="A50" t="inlineStr">
        <is>
          <t>ILC</t>
        </is>
      </c>
      <c r="B50" t="inlineStr">
        <is>
          <t>2012-T1</t>
        </is>
      </c>
      <c r="C50">
        <f>IF(Indices!B15="","",Indices!B15)</f>
        <v/>
      </c>
      <c r="D50">
        <f>IF(C50="",0,8049)</f>
        <v/>
      </c>
    </row>
    <row r="51">
      <c r="A51" t="inlineStr">
        <is>
          <t>ILC</t>
        </is>
      </c>
      <c r="B51" t="inlineStr">
        <is>
          <t>2012-T2</t>
        </is>
      </c>
      <c r="C51">
        <f>IF(Indices!C15="","",Indices!C15)</f>
        <v/>
      </c>
      <c r="D51">
        <f>IF(C51="",0,8050)</f>
        <v/>
      </c>
    </row>
    <row r="52">
      <c r="A52" t="inlineStr">
        <is>
          <t>ILC</t>
        </is>
      </c>
      <c r="B52" t="inlineStr">
        <is>
          <t>2012-T3</t>
        </is>
      </c>
      <c r="C52">
        <f>IF(Indices!D15="","",Indices!D15)</f>
        <v/>
      </c>
      <c r="D52">
        <f>IF(C52="",0,8051)</f>
        <v/>
      </c>
    </row>
    <row r="53">
      <c r="A53" t="inlineStr">
        <is>
          <t>ILC</t>
        </is>
      </c>
      <c r="B53" t="inlineStr">
        <is>
          <t>2012-T4</t>
        </is>
      </c>
      <c r="C53">
        <f>IF(Indices!E15="","",Indices!E15)</f>
        <v/>
      </c>
      <c r="D53">
        <f>IF(C53="",0,8052)</f>
        <v/>
      </c>
    </row>
    <row r="54">
      <c r="A54" t="inlineStr">
        <is>
          <t>ILC</t>
        </is>
      </c>
      <c r="B54" t="inlineStr">
        <is>
          <t>2013-T1</t>
        </is>
      </c>
      <c r="C54">
        <f>IF(Indices!B16="","",Indices!B16)</f>
        <v/>
      </c>
      <c r="D54">
        <f>IF(C54="",0,8053)</f>
        <v/>
      </c>
    </row>
    <row r="55">
      <c r="A55" t="inlineStr">
        <is>
          <t>ILC</t>
        </is>
      </c>
      <c r="B55" t="inlineStr">
        <is>
          <t>2013-T2</t>
        </is>
      </c>
      <c r="C55">
        <f>IF(Indices!C16="","",Indices!C16)</f>
        <v/>
      </c>
      <c r="D55">
        <f>IF(C55="",0,8054)</f>
        <v/>
      </c>
    </row>
    <row r="56">
      <c r="A56" t="inlineStr">
        <is>
          <t>ILC</t>
        </is>
      </c>
      <c r="B56" t="inlineStr">
        <is>
          <t>2013-T3</t>
        </is>
      </c>
      <c r="C56">
        <f>IF(Indices!D16="","",Indices!D16)</f>
        <v/>
      </c>
      <c r="D56">
        <f>IF(C56="",0,8055)</f>
        <v/>
      </c>
    </row>
    <row r="57">
      <c r="A57" t="inlineStr">
        <is>
          <t>ILC</t>
        </is>
      </c>
      <c r="B57" t="inlineStr">
        <is>
          <t>2013-T4</t>
        </is>
      </c>
      <c r="C57">
        <f>IF(Indices!E16="","",Indices!E16)</f>
        <v/>
      </c>
      <c r="D57">
        <f>IF(C57="",0,8056)</f>
        <v/>
      </c>
    </row>
    <row r="58">
      <c r="A58" t="inlineStr">
        <is>
          <t>ILC</t>
        </is>
      </c>
      <c r="B58" t="inlineStr">
        <is>
          <t>2014-T1</t>
        </is>
      </c>
      <c r="C58">
        <f>IF(Indices!B17="","",Indices!B17)</f>
        <v/>
      </c>
      <c r="D58">
        <f>IF(C58="",0,8057)</f>
        <v/>
      </c>
    </row>
    <row r="59">
      <c r="A59" t="inlineStr">
        <is>
          <t>ILC</t>
        </is>
      </c>
      <c r="B59" t="inlineStr">
        <is>
          <t>2014-T2</t>
        </is>
      </c>
      <c r="C59">
        <f>IF(Indices!C17="","",Indices!C17)</f>
        <v/>
      </c>
      <c r="D59">
        <f>IF(C59="",0,8058)</f>
        <v/>
      </c>
    </row>
    <row r="60">
      <c r="A60" t="inlineStr">
        <is>
          <t>ILC</t>
        </is>
      </c>
      <c r="B60" t="inlineStr">
        <is>
          <t>2014-T3</t>
        </is>
      </c>
      <c r="C60">
        <f>IF(Indices!D17="","",Indices!D17)</f>
        <v/>
      </c>
      <c r="D60">
        <f>IF(C60="",0,8059)</f>
        <v/>
      </c>
    </row>
    <row r="61">
      <c r="A61" t="inlineStr">
        <is>
          <t>ILC</t>
        </is>
      </c>
      <c r="B61" t="inlineStr">
        <is>
          <t>2014-T4</t>
        </is>
      </c>
      <c r="C61">
        <f>IF(Indices!E17="","",Indices!E17)</f>
        <v/>
      </c>
      <c r="D61">
        <f>IF(C61="",0,8060)</f>
        <v/>
      </c>
    </row>
    <row r="62">
      <c r="A62" t="inlineStr">
        <is>
          <t>ILC</t>
        </is>
      </c>
      <c r="B62" t="inlineStr">
        <is>
          <t>2015-T1</t>
        </is>
      </c>
      <c r="C62">
        <f>IF(Indices!B18="","",Indices!B18)</f>
        <v/>
      </c>
      <c r="D62">
        <f>IF(C62="",0,8061)</f>
        <v/>
      </c>
    </row>
    <row r="63">
      <c r="A63" t="inlineStr">
        <is>
          <t>ILC</t>
        </is>
      </c>
      <c r="B63" t="inlineStr">
        <is>
          <t>2015-T2</t>
        </is>
      </c>
      <c r="C63">
        <f>IF(Indices!C18="","",Indices!C18)</f>
        <v/>
      </c>
      <c r="D63">
        <f>IF(C63="",0,8062)</f>
        <v/>
      </c>
    </row>
    <row r="64">
      <c r="A64" t="inlineStr">
        <is>
          <t>ILC</t>
        </is>
      </c>
      <c r="B64" t="inlineStr">
        <is>
          <t>2015-T3</t>
        </is>
      </c>
      <c r="C64">
        <f>IF(Indices!D18="","",Indices!D18)</f>
        <v/>
      </c>
      <c r="D64">
        <f>IF(C64="",0,8063)</f>
        <v/>
      </c>
    </row>
    <row r="65">
      <c r="A65" t="inlineStr">
        <is>
          <t>ILC</t>
        </is>
      </c>
      <c r="B65" t="inlineStr">
        <is>
          <t>2015-T4</t>
        </is>
      </c>
      <c r="C65">
        <f>IF(Indices!E18="","",Indices!E18)</f>
        <v/>
      </c>
      <c r="D65">
        <f>IF(C65="",0,8064)</f>
        <v/>
      </c>
    </row>
    <row r="66">
      <c r="A66" t="inlineStr">
        <is>
          <t>ILC</t>
        </is>
      </c>
      <c r="B66" t="inlineStr">
        <is>
          <t>2016-T1</t>
        </is>
      </c>
      <c r="C66">
        <f>IF(Indices!B19="","",Indices!B19)</f>
        <v/>
      </c>
      <c r="D66">
        <f>IF(C66="",0,8065)</f>
        <v/>
      </c>
    </row>
    <row r="67">
      <c r="A67" t="inlineStr">
        <is>
          <t>ILC</t>
        </is>
      </c>
      <c r="B67" t="inlineStr">
        <is>
          <t>2016-T2</t>
        </is>
      </c>
      <c r="C67">
        <f>IF(Indices!C19="","",Indices!C19)</f>
        <v/>
      </c>
      <c r="D67">
        <f>IF(C67="",0,8066)</f>
        <v/>
      </c>
    </row>
    <row r="68">
      <c r="A68" t="inlineStr">
        <is>
          <t>ILC</t>
        </is>
      </c>
      <c r="B68" t="inlineStr">
        <is>
          <t>2016-T3</t>
        </is>
      </c>
      <c r="C68">
        <f>IF(Indices!D19="","",Indices!D19)</f>
        <v/>
      </c>
      <c r="D68">
        <f>IF(C68="",0,8067)</f>
        <v/>
      </c>
    </row>
    <row r="69">
      <c r="A69" t="inlineStr">
        <is>
          <t>ILC</t>
        </is>
      </c>
      <c r="B69" t="inlineStr">
        <is>
          <t>2016-T4</t>
        </is>
      </c>
      <c r="C69">
        <f>IF(Indices!E19="","",Indices!E19)</f>
        <v/>
      </c>
      <c r="D69">
        <f>IF(C69="",0,8068)</f>
        <v/>
      </c>
    </row>
    <row r="70">
      <c r="A70" t="inlineStr">
        <is>
          <t>ILC</t>
        </is>
      </c>
      <c r="B70" t="inlineStr">
        <is>
          <t>2017-T1</t>
        </is>
      </c>
      <c r="C70">
        <f>IF(Indices!B20="","",Indices!B20)</f>
        <v/>
      </c>
      <c r="D70">
        <f>IF(C70="",0,8069)</f>
        <v/>
      </c>
    </row>
    <row r="71">
      <c r="A71" t="inlineStr">
        <is>
          <t>ILC</t>
        </is>
      </c>
      <c r="B71" t="inlineStr">
        <is>
          <t>2017-T2</t>
        </is>
      </c>
      <c r="C71">
        <f>IF(Indices!C20="","",Indices!C20)</f>
        <v/>
      </c>
      <c r="D71">
        <f>IF(C71="",0,8070)</f>
        <v/>
      </c>
    </row>
    <row r="72">
      <c r="A72" t="inlineStr">
        <is>
          <t>ILC</t>
        </is>
      </c>
      <c r="B72" t="inlineStr">
        <is>
          <t>2017-T3</t>
        </is>
      </c>
      <c r="C72">
        <f>IF(Indices!D20="","",Indices!D20)</f>
        <v/>
      </c>
      <c r="D72">
        <f>IF(C72="",0,8071)</f>
        <v/>
      </c>
    </row>
    <row r="73">
      <c r="A73" t="inlineStr">
        <is>
          <t>ILC</t>
        </is>
      </c>
      <c r="B73" t="inlineStr">
        <is>
          <t>2017-T4</t>
        </is>
      </c>
      <c r="C73">
        <f>IF(Indices!E20="","",Indices!E20)</f>
        <v/>
      </c>
      <c r="D73">
        <f>IF(C73="",0,8072)</f>
        <v/>
      </c>
    </row>
    <row r="74">
      <c r="A74" t="inlineStr">
        <is>
          <t>ILC</t>
        </is>
      </c>
      <c r="B74" t="inlineStr">
        <is>
          <t>2018-T1</t>
        </is>
      </c>
      <c r="C74">
        <f>IF(Indices!B21="","",Indices!B21)</f>
        <v/>
      </c>
      <c r="D74">
        <f>IF(C74="",0,8073)</f>
        <v/>
      </c>
    </row>
    <row r="75">
      <c r="A75" t="inlineStr">
        <is>
          <t>ILC</t>
        </is>
      </c>
      <c r="B75" t="inlineStr">
        <is>
          <t>2018-T2</t>
        </is>
      </c>
      <c r="C75">
        <f>IF(Indices!C21="","",Indices!C21)</f>
        <v/>
      </c>
      <c r="D75">
        <f>IF(C75="",0,8074)</f>
        <v/>
      </c>
    </row>
    <row r="76">
      <c r="A76" t="inlineStr">
        <is>
          <t>ILC</t>
        </is>
      </c>
      <c r="B76" t="inlineStr">
        <is>
          <t>2018-T3</t>
        </is>
      </c>
      <c r="C76">
        <f>IF(Indices!D21="","",Indices!D21)</f>
        <v/>
      </c>
      <c r="D76">
        <f>IF(C76="",0,8075)</f>
        <v/>
      </c>
    </row>
    <row r="77">
      <c r="A77" t="inlineStr">
        <is>
          <t>ILC</t>
        </is>
      </c>
      <c r="B77" t="inlineStr">
        <is>
          <t>2018-T4</t>
        </is>
      </c>
      <c r="C77">
        <f>IF(Indices!E21="","",Indices!E21)</f>
        <v/>
      </c>
      <c r="D77">
        <f>IF(C77="",0,8076)</f>
        <v/>
      </c>
    </row>
    <row r="78">
      <c r="A78" t="inlineStr">
        <is>
          <t>ILC</t>
        </is>
      </c>
      <c r="B78" t="inlineStr">
        <is>
          <t>2019-T1</t>
        </is>
      </c>
      <c r="C78">
        <f>IF(Indices!B22="","",Indices!B22)</f>
        <v/>
      </c>
      <c r="D78">
        <f>IF(C78="",0,8077)</f>
        <v/>
      </c>
    </row>
    <row r="79">
      <c r="A79" t="inlineStr">
        <is>
          <t>ILC</t>
        </is>
      </c>
      <c r="B79" t="inlineStr">
        <is>
          <t>2019-T2</t>
        </is>
      </c>
      <c r="C79">
        <f>IF(Indices!C22="","",Indices!C22)</f>
        <v/>
      </c>
      <c r="D79">
        <f>IF(C79="",0,8078)</f>
        <v/>
      </c>
    </row>
    <row r="80">
      <c r="A80" t="inlineStr">
        <is>
          <t>ILC</t>
        </is>
      </c>
      <c r="B80" t="inlineStr">
        <is>
          <t>2019-T3</t>
        </is>
      </c>
      <c r="C80">
        <f>IF(Indices!D22="","",Indices!D22)</f>
        <v/>
      </c>
      <c r="D80">
        <f>IF(C80="",0,8079)</f>
        <v/>
      </c>
    </row>
    <row r="81">
      <c r="A81" t="inlineStr">
        <is>
          <t>ILC</t>
        </is>
      </c>
      <c r="B81" t="inlineStr">
        <is>
          <t>2019-T4</t>
        </is>
      </c>
      <c r="C81">
        <f>IF(Indices!E22="","",Indices!E22)</f>
        <v/>
      </c>
      <c r="D81">
        <f>IF(C81="",0,8080)</f>
        <v/>
      </c>
    </row>
    <row r="82">
      <c r="A82" t="inlineStr">
        <is>
          <t>ILC</t>
        </is>
      </c>
      <c r="B82" t="inlineStr">
        <is>
          <t>2020-T1</t>
        </is>
      </c>
      <c r="C82">
        <f>IF(Indices!B23="","",Indices!B23)</f>
        <v/>
      </c>
      <c r="D82">
        <f>IF(C82="",0,8081)</f>
        <v/>
      </c>
    </row>
    <row r="83">
      <c r="A83" t="inlineStr">
        <is>
          <t>ILC</t>
        </is>
      </c>
      <c r="B83" t="inlineStr">
        <is>
          <t>2020-T2</t>
        </is>
      </c>
      <c r="C83">
        <f>IF(Indices!C23="","",Indices!C23)</f>
        <v/>
      </c>
      <c r="D83">
        <f>IF(C83="",0,8082)</f>
        <v/>
      </c>
    </row>
    <row r="84">
      <c r="A84" t="inlineStr">
        <is>
          <t>ILC</t>
        </is>
      </c>
      <c r="B84" t="inlineStr">
        <is>
          <t>2020-T3</t>
        </is>
      </c>
      <c r="C84">
        <f>IF(Indices!D23="","",Indices!D23)</f>
        <v/>
      </c>
      <c r="D84">
        <f>IF(C84="",0,8083)</f>
        <v/>
      </c>
    </row>
    <row r="85">
      <c r="A85" t="inlineStr">
        <is>
          <t>ILC</t>
        </is>
      </c>
      <c r="B85" t="inlineStr">
        <is>
          <t>2020-T4</t>
        </is>
      </c>
      <c r="C85">
        <f>IF(Indices!E23="","",Indices!E23)</f>
        <v/>
      </c>
      <c r="D85">
        <f>IF(C85="",0,8084)</f>
        <v/>
      </c>
    </row>
    <row r="86">
      <c r="A86" t="inlineStr">
        <is>
          <t>ILC</t>
        </is>
      </c>
      <c r="B86" t="inlineStr">
        <is>
          <t>2021-T1</t>
        </is>
      </c>
      <c r="C86">
        <f>IF(Indices!B24="","",Indices!B24)</f>
        <v/>
      </c>
      <c r="D86">
        <f>IF(C86="",0,8085)</f>
        <v/>
      </c>
    </row>
    <row r="87">
      <c r="A87" t="inlineStr">
        <is>
          <t>ILC</t>
        </is>
      </c>
      <c r="B87" t="inlineStr">
        <is>
          <t>2021-T2</t>
        </is>
      </c>
      <c r="C87">
        <f>IF(Indices!C24="","",Indices!C24)</f>
        <v/>
      </c>
      <c r="D87">
        <f>IF(C87="",0,8086)</f>
        <v/>
      </c>
    </row>
    <row r="88">
      <c r="A88" t="inlineStr">
        <is>
          <t>ILC</t>
        </is>
      </c>
      <c r="B88" t="inlineStr">
        <is>
          <t>2021-T3</t>
        </is>
      </c>
      <c r="C88">
        <f>IF(Indices!D24="","",Indices!D24)</f>
        <v/>
      </c>
      <c r="D88">
        <f>IF(C88="",0,8087)</f>
        <v/>
      </c>
    </row>
    <row r="89">
      <c r="A89" t="inlineStr">
        <is>
          <t>ILC</t>
        </is>
      </c>
      <c r="B89" t="inlineStr">
        <is>
          <t>2021-T4</t>
        </is>
      </c>
      <c r="C89">
        <f>IF(Indices!E24="","",Indices!E24)</f>
        <v/>
      </c>
      <c r="D89">
        <f>IF(C89="",0,8088)</f>
        <v/>
      </c>
    </row>
    <row r="90">
      <c r="A90" t="inlineStr">
        <is>
          <t>ILC</t>
        </is>
      </c>
      <c r="B90" t="inlineStr">
        <is>
          <t>2022-T1</t>
        </is>
      </c>
      <c r="C90">
        <f>IF(Indices!B25="","",Indices!B25)</f>
        <v/>
      </c>
      <c r="D90">
        <f>IF(C90="",0,8089)</f>
        <v/>
      </c>
    </row>
    <row r="91">
      <c r="A91" t="inlineStr">
        <is>
          <t>ILC</t>
        </is>
      </c>
      <c r="B91" t="inlineStr">
        <is>
          <t>2022-T2</t>
        </is>
      </c>
      <c r="C91">
        <f>IF(Indices!C25="","",Indices!C25)</f>
        <v/>
      </c>
      <c r="D91">
        <f>IF(C91="",0,8090)</f>
        <v/>
      </c>
    </row>
    <row r="92">
      <c r="A92" t="inlineStr">
        <is>
          <t>ILC</t>
        </is>
      </c>
      <c r="B92" t="inlineStr">
        <is>
          <t>2022-T3</t>
        </is>
      </c>
      <c r="C92">
        <f>IF(Indices!D25="","",Indices!D25)</f>
        <v/>
      </c>
      <c r="D92">
        <f>IF(C92="",0,8091)</f>
        <v/>
      </c>
    </row>
    <row r="93">
      <c r="A93" t="inlineStr">
        <is>
          <t>ILC</t>
        </is>
      </c>
      <c r="B93" t="inlineStr">
        <is>
          <t>2022-T4</t>
        </is>
      </c>
      <c r="C93">
        <f>IF(Indices!E25="","",Indices!E25)</f>
        <v/>
      </c>
      <c r="D93">
        <f>IF(C93="",0,8092)</f>
        <v/>
      </c>
    </row>
    <row r="94">
      <c r="A94" t="inlineStr">
        <is>
          <t>ILC</t>
        </is>
      </c>
      <c r="B94" t="inlineStr">
        <is>
          <t>2023-T1</t>
        </is>
      </c>
      <c r="C94">
        <f>IF(Indices!B26="","",Indices!B26)</f>
        <v/>
      </c>
      <c r="D94">
        <f>IF(C94="",0,8093)</f>
        <v/>
      </c>
    </row>
    <row r="95">
      <c r="A95" t="inlineStr">
        <is>
          <t>ILC</t>
        </is>
      </c>
      <c r="B95" t="inlineStr">
        <is>
          <t>2023-T2</t>
        </is>
      </c>
      <c r="C95">
        <f>IF(Indices!C26="","",Indices!C26)</f>
        <v/>
      </c>
      <c r="D95">
        <f>IF(C95="",0,8094)</f>
        <v/>
      </c>
    </row>
    <row r="96">
      <c r="A96" t="inlineStr">
        <is>
          <t>ILC</t>
        </is>
      </c>
      <c r="B96" t="inlineStr">
        <is>
          <t>2023-T3</t>
        </is>
      </c>
      <c r="C96">
        <f>IF(Indices!D26="","",Indices!D26)</f>
        <v/>
      </c>
      <c r="D96">
        <f>IF(C96="",0,8095)</f>
        <v/>
      </c>
    </row>
    <row r="97">
      <c r="A97" t="inlineStr">
        <is>
          <t>ILC</t>
        </is>
      </c>
      <c r="B97" t="inlineStr">
        <is>
          <t>2023-T4</t>
        </is>
      </c>
      <c r="C97">
        <f>IF(Indices!E26="","",Indices!E26)</f>
        <v/>
      </c>
      <c r="D97">
        <f>IF(C97="",0,8096)</f>
        <v/>
      </c>
    </row>
    <row r="98">
      <c r="A98" t="inlineStr">
        <is>
          <t>ILC</t>
        </is>
      </c>
      <c r="B98" t="inlineStr">
        <is>
          <t>2024-T1</t>
        </is>
      </c>
      <c r="C98">
        <f>IF(Indices!B27="","",Indices!B27)</f>
        <v/>
      </c>
      <c r="D98">
        <f>IF(C98="",0,8097)</f>
        <v/>
      </c>
    </row>
    <row r="99">
      <c r="A99" t="inlineStr">
        <is>
          <t>ILC</t>
        </is>
      </c>
      <c r="B99" t="inlineStr">
        <is>
          <t>2024-T2</t>
        </is>
      </c>
      <c r="C99">
        <f>IF(Indices!C27="","",Indices!C27)</f>
        <v/>
      </c>
      <c r="D99">
        <f>IF(C99="",0,8098)</f>
        <v/>
      </c>
    </row>
    <row r="100">
      <c r="A100" t="inlineStr">
        <is>
          <t>ILC</t>
        </is>
      </c>
      <c r="B100" t="inlineStr">
        <is>
          <t>2024-T3</t>
        </is>
      </c>
      <c r="C100">
        <f>IF(Indices!D27="","",Indices!D27)</f>
        <v/>
      </c>
      <c r="D100">
        <f>IF(C100="",0,8099)</f>
        <v/>
      </c>
    </row>
    <row r="101">
      <c r="A101" t="inlineStr">
        <is>
          <t>ILC</t>
        </is>
      </c>
      <c r="B101" t="inlineStr">
        <is>
          <t>2024-T4</t>
        </is>
      </c>
      <c r="C101">
        <f>IF(Indices!E27="","",Indices!E27)</f>
        <v/>
      </c>
      <c r="D101">
        <f>IF(C101="",0,8100)</f>
        <v/>
      </c>
    </row>
    <row r="102">
      <c r="A102" t="inlineStr">
        <is>
          <t>ILC</t>
        </is>
      </c>
      <c r="B102" t="inlineStr">
        <is>
          <t>2025-T1</t>
        </is>
      </c>
      <c r="C102">
        <f>IF(Indices!B28="","",Indices!B28)</f>
        <v/>
      </c>
      <c r="D102">
        <f>IF(C102="",0,8101)</f>
        <v/>
      </c>
    </row>
    <row r="103">
      <c r="A103" t="inlineStr">
        <is>
          <t>ILC</t>
        </is>
      </c>
      <c r="B103" t="inlineStr">
        <is>
          <t>2025-T2</t>
        </is>
      </c>
      <c r="C103">
        <f>IF(Indices!C28="","",Indices!C28)</f>
        <v/>
      </c>
      <c r="D103">
        <f>IF(C103="",0,8102)</f>
        <v/>
      </c>
    </row>
    <row r="104">
      <c r="A104" t="inlineStr">
        <is>
          <t>ILC</t>
        </is>
      </c>
      <c r="B104" t="inlineStr">
        <is>
          <t>2025-T3</t>
        </is>
      </c>
      <c r="C104">
        <f>IF(Indices!D28="","",Indices!D28)</f>
        <v/>
      </c>
      <c r="D104">
        <f>IF(C104="",0,8103)</f>
        <v/>
      </c>
    </row>
    <row r="105">
      <c r="A105" t="inlineStr">
        <is>
          <t>ILC</t>
        </is>
      </c>
      <c r="B105" t="inlineStr">
        <is>
          <t>2025-T4</t>
        </is>
      </c>
      <c r="C105">
        <f>IF(Indices!E28="","",Indices!E28)</f>
        <v/>
      </c>
      <c r="D105">
        <f>IF(C105="",0,8104)</f>
        <v/>
      </c>
    </row>
    <row r="106">
      <c r="A106" t="inlineStr">
        <is>
          <t>ILC</t>
        </is>
      </c>
      <c r="B106" t="inlineStr">
        <is>
          <t>2026-T1</t>
        </is>
      </c>
      <c r="C106">
        <f>IF(Indices!B29="","",Indices!B29)</f>
        <v/>
      </c>
      <c r="D106">
        <f>IF(C106="",0,8105)</f>
        <v/>
      </c>
    </row>
    <row r="107">
      <c r="A107" t="inlineStr">
        <is>
          <t>ILC</t>
        </is>
      </c>
      <c r="B107" t="inlineStr">
        <is>
          <t>2026-T2</t>
        </is>
      </c>
      <c r="C107">
        <f>IF(Indices!C29="","",Indices!C29)</f>
        <v/>
      </c>
      <c r="D107">
        <f>IF(C107="",0,8106)</f>
        <v/>
      </c>
    </row>
    <row r="108">
      <c r="A108" t="inlineStr">
        <is>
          <t>ILC</t>
        </is>
      </c>
      <c r="B108" t="inlineStr">
        <is>
          <t>2026-T3</t>
        </is>
      </c>
      <c r="C108">
        <f>IF(Indices!D29="","",Indices!D29)</f>
        <v/>
      </c>
      <c r="D108">
        <f>IF(C108="",0,8107)</f>
        <v/>
      </c>
    </row>
    <row r="109">
      <c r="A109" t="inlineStr">
        <is>
          <t>ILC</t>
        </is>
      </c>
      <c r="B109" t="inlineStr">
        <is>
          <t>2026-T4</t>
        </is>
      </c>
      <c r="C109">
        <f>IF(Indices!E29="","",Indices!E29)</f>
        <v/>
      </c>
      <c r="D109">
        <f>IF(C109="",0,8108)</f>
        <v/>
      </c>
    </row>
    <row r="110">
      <c r="A110" t="inlineStr">
        <is>
          <t>ILC</t>
        </is>
      </c>
      <c r="B110" t="inlineStr">
        <is>
          <t>2027-T1</t>
        </is>
      </c>
      <c r="C110">
        <f>IF(Indices!B30="","",Indices!B30)</f>
        <v/>
      </c>
      <c r="D110">
        <f>IF(C110="",0,8109)</f>
        <v/>
      </c>
    </row>
    <row r="111">
      <c r="A111" t="inlineStr">
        <is>
          <t>ILC</t>
        </is>
      </c>
      <c r="B111" t="inlineStr">
        <is>
          <t>2027-T2</t>
        </is>
      </c>
      <c r="C111">
        <f>IF(Indices!C30="","",Indices!C30)</f>
        <v/>
      </c>
      <c r="D111">
        <f>IF(C111="",0,8110)</f>
        <v/>
      </c>
    </row>
    <row r="112">
      <c r="A112" t="inlineStr">
        <is>
          <t>ILC</t>
        </is>
      </c>
      <c r="B112" t="inlineStr">
        <is>
          <t>2027-T3</t>
        </is>
      </c>
      <c r="C112">
        <f>IF(Indices!D30="","",Indices!D30)</f>
        <v/>
      </c>
      <c r="D112">
        <f>IF(C112="",0,8111)</f>
        <v/>
      </c>
    </row>
    <row r="113">
      <c r="A113" t="inlineStr">
        <is>
          <t>ILC</t>
        </is>
      </c>
      <c r="B113" t="inlineStr">
        <is>
          <t>2027-T4</t>
        </is>
      </c>
      <c r="C113">
        <f>IF(Indices!E30="","",Indices!E30)</f>
        <v/>
      </c>
      <c r="D113">
        <f>IF(C113="",0,8112)</f>
        <v/>
      </c>
    </row>
    <row r="114">
      <c r="A114" t="inlineStr">
        <is>
          <t>ILC</t>
        </is>
      </c>
      <c r="B114" t="inlineStr">
        <is>
          <t>2028-T1</t>
        </is>
      </c>
      <c r="C114">
        <f>IF(Indices!B31="","",Indices!B31)</f>
        <v/>
      </c>
      <c r="D114">
        <f>IF(C114="",0,8113)</f>
        <v/>
      </c>
    </row>
    <row r="115">
      <c r="A115" t="inlineStr">
        <is>
          <t>ILC</t>
        </is>
      </c>
      <c r="B115" t="inlineStr">
        <is>
          <t>2028-T2</t>
        </is>
      </c>
      <c r="C115">
        <f>IF(Indices!C31="","",Indices!C31)</f>
        <v/>
      </c>
      <c r="D115">
        <f>IF(C115="",0,8114)</f>
        <v/>
      </c>
    </row>
    <row r="116">
      <c r="A116" t="inlineStr">
        <is>
          <t>ILC</t>
        </is>
      </c>
      <c r="B116" t="inlineStr">
        <is>
          <t>2028-T3</t>
        </is>
      </c>
      <c r="C116">
        <f>IF(Indices!D31="","",Indices!D31)</f>
        <v/>
      </c>
      <c r="D116">
        <f>IF(C116="",0,8115)</f>
        <v/>
      </c>
    </row>
    <row r="117">
      <c r="A117" t="inlineStr">
        <is>
          <t>ILC</t>
        </is>
      </c>
      <c r="B117" t="inlineStr">
        <is>
          <t>2028-T4</t>
        </is>
      </c>
      <c r="C117">
        <f>IF(Indices!E31="","",Indices!E31)</f>
        <v/>
      </c>
      <c r="D117">
        <f>IF(C117="",0,8116)</f>
        <v/>
      </c>
    </row>
    <row r="118">
      <c r="A118" t="inlineStr">
        <is>
          <t>ILC</t>
        </is>
      </c>
      <c r="B118" t="inlineStr">
        <is>
          <t>2029-T1</t>
        </is>
      </c>
      <c r="C118">
        <f>IF(Indices!B32="","",Indices!B32)</f>
        <v/>
      </c>
      <c r="D118">
        <f>IF(C118="",0,8117)</f>
        <v/>
      </c>
    </row>
    <row r="119">
      <c r="A119" t="inlineStr">
        <is>
          <t>ILC</t>
        </is>
      </c>
      <c r="B119" t="inlineStr">
        <is>
          <t>2029-T2</t>
        </is>
      </c>
      <c r="C119">
        <f>IF(Indices!C32="","",Indices!C32)</f>
        <v/>
      </c>
      <c r="D119">
        <f>IF(C119="",0,8118)</f>
        <v/>
      </c>
    </row>
    <row r="120">
      <c r="A120" t="inlineStr">
        <is>
          <t>ILC</t>
        </is>
      </c>
      <c r="B120" t="inlineStr">
        <is>
          <t>2029-T3</t>
        </is>
      </c>
      <c r="C120">
        <f>IF(Indices!D32="","",Indices!D32)</f>
        <v/>
      </c>
      <c r="D120">
        <f>IF(C120="",0,8119)</f>
        <v/>
      </c>
    </row>
    <row r="121">
      <c r="A121" t="inlineStr">
        <is>
          <t>ILC</t>
        </is>
      </c>
      <c r="B121" t="inlineStr">
        <is>
          <t>2029-T4</t>
        </is>
      </c>
      <c r="C121">
        <f>IF(Indices!E32="","",Indices!E32)</f>
        <v/>
      </c>
      <c r="D121">
        <f>IF(C121="",0,8120)</f>
        <v/>
      </c>
    </row>
    <row r="122">
      <c r="A122" t="inlineStr">
        <is>
          <t>ILC</t>
        </is>
      </c>
      <c r="B122" t="inlineStr">
        <is>
          <t>2030-T1</t>
        </is>
      </c>
      <c r="C122">
        <f>IF(Indices!B33="","",Indices!B33)</f>
        <v/>
      </c>
      <c r="D122">
        <f>IF(C122="",0,8121)</f>
        <v/>
      </c>
    </row>
    <row r="123">
      <c r="A123" t="inlineStr">
        <is>
          <t>ILC</t>
        </is>
      </c>
      <c r="B123" t="inlineStr">
        <is>
          <t>2030-T2</t>
        </is>
      </c>
      <c r="C123">
        <f>IF(Indices!C33="","",Indices!C33)</f>
        <v/>
      </c>
      <c r="D123">
        <f>IF(C123="",0,8122)</f>
        <v/>
      </c>
    </row>
    <row r="124">
      <c r="A124" t="inlineStr">
        <is>
          <t>ILC</t>
        </is>
      </c>
      <c r="B124" t="inlineStr">
        <is>
          <t>2030-T3</t>
        </is>
      </c>
      <c r="C124">
        <f>IF(Indices!D33="","",Indices!D33)</f>
        <v/>
      </c>
      <c r="D124">
        <f>IF(C124="",0,8123)</f>
        <v/>
      </c>
    </row>
    <row r="125">
      <c r="A125" t="inlineStr">
        <is>
          <t>ILC</t>
        </is>
      </c>
      <c r="B125" t="inlineStr">
        <is>
          <t>2030-T4</t>
        </is>
      </c>
      <c r="C125">
        <f>IF(Indices!E33="","",Indices!E33)</f>
        <v/>
      </c>
      <c r="D125">
        <f>IF(C125="",0,8124)</f>
        <v/>
      </c>
    </row>
    <row r="126">
      <c r="A126" t="inlineStr">
        <is>
          <t>ILC</t>
        </is>
      </c>
      <c r="B126" t="inlineStr">
        <is>
          <t>2031-T1</t>
        </is>
      </c>
      <c r="C126">
        <f>IF(Indices!B34="","",Indices!B34)</f>
        <v/>
      </c>
      <c r="D126">
        <f>IF(C126="",0,8125)</f>
        <v/>
      </c>
    </row>
    <row r="127">
      <c r="A127" t="inlineStr">
        <is>
          <t>ILC</t>
        </is>
      </c>
      <c r="B127" t="inlineStr">
        <is>
          <t>2031-T2</t>
        </is>
      </c>
      <c r="C127">
        <f>IF(Indices!C34="","",Indices!C34)</f>
        <v/>
      </c>
      <c r="D127">
        <f>IF(C127="",0,8126)</f>
        <v/>
      </c>
    </row>
    <row r="128">
      <c r="A128" t="inlineStr">
        <is>
          <t>ILC</t>
        </is>
      </c>
      <c r="B128" t="inlineStr">
        <is>
          <t>2031-T3</t>
        </is>
      </c>
      <c r="C128">
        <f>IF(Indices!D34="","",Indices!D34)</f>
        <v/>
      </c>
      <c r="D128">
        <f>IF(C128="",0,8127)</f>
        <v/>
      </c>
    </row>
    <row r="129">
      <c r="A129" t="inlineStr">
        <is>
          <t>ILC</t>
        </is>
      </c>
      <c r="B129" t="inlineStr">
        <is>
          <t>2031-T4</t>
        </is>
      </c>
      <c r="C129">
        <f>IF(Indices!E34="","",Indices!E34)</f>
        <v/>
      </c>
      <c r="D129">
        <f>IF(C129="",0,8128)</f>
        <v/>
      </c>
    </row>
    <row r="130">
      <c r="A130" t="inlineStr">
        <is>
          <t>ILC</t>
        </is>
      </c>
      <c r="B130" t="inlineStr">
        <is>
          <t>2032-T1</t>
        </is>
      </c>
      <c r="C130">
        <f>IF(Indices!B35="","",Indices!B35)</f>
        <v/>
      </c>
      <c r="D130">
        <f>IF(C130="",0,8129)</f>
        <v/>
      </c>
    </row>
    <row r="131">
      <c r="A131" t="inlineStr">
        <is>
          <t>ILC</t>
        </is>
      </c>
      <c r="B131" t="inlineStr">
        <is>
          <t>2032-T2</t>
        </is>
      </c>
      <c r="C131">
        <f>IF(Indices!C35="","",Indices!C35)</f>
        <v/>
      </c>
      <c r="D131">
        <f>IF(C131="",0,8130)</f>
        <v/>
      </c>
    </row>
    <row r="132">
      <c r="A132" t="inlineStr">
        <is>
          <t>ILC</t>
        </is>
      </c>
      <c r="B132" t="inlineStr">
        <is>
          <t>2032-T3</t>
        </is>
      </c>
      <c r="C132">
        <f>IF(Indices!D35="","",Indices!D35)</f>
        <v/>
      </c>
      <c r="D132">
        <f>IF(C132="",0,8131)</f>
        <v/>
      </c>
    </row>
    <row r="133">
      <c r="A133" t="inlineStr">
        <is>
          <t>ILC</t>
        </is>
      </c>
      <c r="B133" t="inlineStr">
        <is>
          <t>2032-T4</t>
        </is>
      </c>
      <c r="C133">
        <f>IF(Indices!E35="","",Indices!E35)</f>
        <v/>
      </c>
      <c r="D133">
        <f>IF(C133="",0,8132)</f>
        <v/>
      </c>
    </row>
    <row r="134">
      <c r="A134" t="inlineStr">
        <is>
          <t>ILC</t>
        </is>
      </c>
      <c r="B134" t="inlineStr">
        <is>
          <t>2033-T1</t>
        </is>
      </c>
      <c r="C134">
        <f>IF(Indices!B36="","",Indices!B36)</f>
        <v/>
      </c>
      <c r="D134">
        <f>IF(C134="",0,8133)</f>
        <v/>
      </c>
    </row>
    <row r="135">
      <c r="A135" t="inlineStr">
        <is>
          <t>ILC</t>
        </is>
      </c>
      <c r="B135" t="inlineStr">
        <is>
          <t>2033-T2</t>
        </is>
      </c>
      <c r="C135">
        <f>IF(Indices!C36="","",Indices!C36)</f>
        <v/>
      </c>
      <c r="D135">
        <f>IF(C135="",0,8134)</f>
        <v/>
      </c>
    </row>
    <row r="136">
      <c r="A136" t="inlineStr">
        <is>
          <t>ILC</t>
        </is>
      </c>
      <c r="B136" t="inlineStr">
        <is>
          <t>2033-T3</t>
        </is>
      </c>
      <c r="C136">
        <f>IF(Indices!D36="","",Indices!D36)</f>
        <v/>
      </c>
      <c r="D136">
        <f>IF(C136="",0,8135)</f>
        <v/>
      </c>
    </row>
    <row r="137">
      <c r="A137" t="inlineStr">
        <is>
          <t>ILC</t>
        </is>
      </c>
      <c r="B137" t="inlineStr">
        <is>
          <t>2033-T4</t>
        </is>
      </c>
      <c r="C137">
        <f>IF(Indices!E36="","",Indices!E36)</f>
        <v/>
      </c>
      <c r="D137">
        <f>IF(C137="",0,8136)</f>
        <v/>
      </c>
    </row>
    <row r="138">
      <c r="A138" t="inlineStr">
        <is>
          <t>ILC</t>
        </is>
      </c>
      <c r="B138" t="inlineStr">
        <is>
          <t>2034-T1</t>
        </is>
      </c>
      <c r="C138">
        <f>IF(Indices!B37="","",Indices!B37)</f>
        <v/>
      </c>
      <c r="D138">
        <f>IF(C138="",0,8137)</f>
        <v/>
      </c>
    </row>
    <row r="139">
      <c r="A139" t="inlineStr">
        <is>
          <t>ILC</t>
        </is>
      </c>
      <c r="B139" t="inlineStr">
        <is>
          <t>2034-T2</t>
        </is>
      </c>
      <c r="C139">
        <f>IF(Indices!C37="","",Indices!C37)</f>
        <v/>
      </c>
      <c r="D139">
        <f>IF(C139="",0,8138)</f>
        <v/>
      </c>
    </row>
    <row r="140">
      <c r="A140" t="inlineStr">
        <is>
          <t>ILC</t>
        </is>
      </c>
      <c r="B140" t="inlineStr">
        <is>
          <t>2034-T3</t>
        </is>
      </c>
      <c r="C140">
        <f>IF(Indices!D37="","",Indices!D37)</f>
        <v/>
      </c>
      <c r="D140">
        <f>IF(C140="",0,8139)</f>
        <v/>
      </c>
    </row>
    <row r="141">
      <c r="A141" t="inlineStr">
        <is>
          <t>ILC</t>
        </is>
      </c>
      <c r="B141" t="inlineStr">
        <is>
          <t>2034-T4</t>
        </is>
      </c>
      <c r="C141">
        <f>IF(Indices!E37="","",Indices!E37)</f>
        <v/>
      </c>
      <c r="D141">
        <f>IF(C141="",0,8140)</f>
        <v/>
      </c>
    </row>
    <row r="142">
      <c r="A142" t="inlineStr">
        <is>
          <t>ILC</t>
        </is>
      </c>
      <c r="B142" t="inlineStr">
        <is>
          <t>2035-T1</t>
        </is>
      </c>
      <c r="C142">
        <f>IF(Indices!B38="","",Indices!B38)</f>
        <v/>
      </c>
      <c r="D142">
        <f>IF(C142="",0,8141)</f>
        <v/>
      </c>
    </row>
    <row r="143">
      <c r="A143" t="inlineStr">
        <is>
          <t>ILC</t>
        </is>
      </c>
      <c r="B143" t="inlineStr">
        <is>
          <t>2035-T2</t>
        </is>
      </c>
      <c r="C143">
        <f>IF(Indices!C38="","",Indices!C38)</f>
        <v/>
      </c>
      <c r="D143">
        <f>IF(C143="",0,8142)</f>
        <v/>
      </c>
    </row>
    <row r="144">
      <c r="A144" t="inlineStr">
        <is>
          <t>ILC</t>
        </is>
      </c>
      <c r="B144" t="inlineStr">
        <is>
          <t>2035-T3</t>
        </is>
      </c>
      <c r="C144">
        <f>IF(Indices!D38="","",Indices!D38)</f>
        <v/>
      </c>
      <c r="D144">
        <f>IF(C144="",0,8143)</f>
        <v/>
      </c>
    </row>
    <row r="145">
      <c r="A145" t="inlineStr">
        <is>
          <t>ILC</t>
        </is>
      </c>
      <c r="B145" t="inlineStr">
        <is>
          <t>2035-T4</t>
        </is>
      </c>
      <c r="C145">
        <f>IF(Indices!E38="","",Indices!E38)</f>
        <v/>
      </c>
      <c r="D145">
        <f>IF(C145="",0,8144)</f>
        <v/>
      </c>
    </row>
    <row r="146">
      <c r="A146" t="inlineStr">
        <is>
          <t>ILAT</t>
        </is>
      </c>
      <c r="B146" t="inlineStr">
        <is>
          <t>2000-T1</t>
        </is>
      </c>
      <c r="C146">
        <f>IF(Indices!F3="","",Indices!F3)</f>
        <v/>
      </c>
      <c r="D146">
        <f>IF(C146="",0,8001)</f>
        <v/>
      </c>
    </row>
    <row r="147">
      <c r="A147" t="inlineStr">
        <is>
          <t>ILAT</t>
        </is>
      </c>
      <c r="B147" t="inlineStr">
        <is>
          <t>2000-T2</t>
        </is>
      </c>
      <c r="C147">
        <f>IF(Indices!G3="","",Indices!G3)</f>
        <v/>
      </c>
      <c r="D147">
        <f>IF(C147="",0,8002)</f>
        <v/>
      </c>
    </row>
    <row r="148">
      <c r="A148" t="inlineStr">
        <is>
          <t>ILAT</t>
        </is>
      </c>
      <c r="B148" t="inlineStr">
        <is>
          <t>2000-T3</t>
        </is>
      </c>
      <c r="C148">
        <f>IF(Indices!H3="","",Indices!H3)</f>
        <v/>
      </c>
      <c r="D148">
        <f>IF(C148="",0,8003)</f>
        <v/>
      </c>
    </row>
    <row r="149">
      <c r="A149" t="inlineStr">
        <is>
          <t>ILAT</t>
        </is>
      </c>
      <c r="B149" t="inlineStr">
        <is>
          <t>2000-T4</t>
        </is>
      </c>
      <c r="C149">
        <f>IF(Indices!I3="","",Indices!I3)</f>
        <v/>
      </c>
      <c r="D149">
        <f>IF(C149="",0,8004)</f>
        <v/>
      </c>
    </row>
    <row r="150">
      <c r="A150" t="inlineStr">
        <is>
          <t>ILAT</t>
        </is>
      </c>
      <c r="B150" t="inlineStr">
        <is>
          <t>2001-T1</t>
        </is>
      </c>
      <c r="C150">
        <f>IF(Indices!F4="","",Indices!F4)</f>
        <v/>
      </c>
      <c r="D150">
        <f>IF(C150="",0,8005)</f>
        <v/>
      </c>
    </row>
    <row r="151">
      <c r="A151" t="inlineStr">
        <is>
          <t>ILAT</t>
        </is>
      </c>
      <c r="B151" t="inlineStr">
        <is>
          <t>2001-T2</t>
        </is>
      </c>
      <c r="C151">
        <f>IF(Indices!G4="","",Indices!G4)</f>
        <v/>
      </c>
      <c r="D151">
        <f>IF(C151="",0,8006)</f>
        <v/>
      </c>
    </row>
    <row r="152">
      <c r="A152" t="inlineStr">
        <is>
          <t>ILAT</t>
        </is>
      </c>
      <c r="B152" t="inlineStr">
        <is>
          <t>2001-T3</t>
        </is>
      </c>
      <c r="C152">
        <f>IF(Indices!H4="","",Indices!H4)</f>
        <v/>
      </c>
      <c r="D152">
        <f>IF(C152="",0,8007)</f>
        <v/>
      </c>
    </row>
    <row r="153">
      <c r="A153" t="inlineStr">
        <is>
          <t>ILAT</t>
        </is>
      </c>
      <c r="B153" t="inlineStr">
        <is>
          <t>2001-T4</t>
        </is>
      </c>
      <c r="C153">
        <f>IF(Indices!I4="","",Indices!I4)</f>
        <v/>
      </c>
      <c r="D153">
        <f>IF(C153="",0,8008)</f>
        <v/>
      </c>
    </row>
    <row r="154">
      <c r="A154" t="inlineStr">
        <is>
          <t>ILAT</t>
        </is>
      </c>
      <c r="B154" t="inlineStr">
        <is>
          <t>2002-T1</t>
        </is>
      </c>
      <c r="C154">
        <f>IF(Indices!F5="","",Indices!F5)</f>
        <v/>
      </c>
      <c r="D154">
        <f>IF(C154="",0,8009)</f>
        <v/>
      </c>
    </row>
    <row r="155">
      <c r="A155" t="inlineStr">
        <is>
          <t>ILAT</t>
        </is>
      </c>
      <c r="B155" t="inlineStr">
        <is>
          <t>2002-T2</t>
        </is>
      </c>
      <c r="C155">
        <f>IF(Indices!G5="","",Indices!G5)</f>
        <v/>
      </c>
      <c r="D155">
        <f>IF(C155="",0,8010)</f>
        <v/>
      </c>
    </row>
    <row r="156">
      <c r="A156" t="inlineStr">
        <is>
          <t>ILAT</t>
        </is>
      </c>
      <c r="B156" t="inlineStr">
        <is>
          <t>2002-T3</t>
        </is>
      </c>
      <c r="C156">
        <f>IF(Indices!H5="","",Indices!H5)</f>
        <v/>
      </c>
      <c r="D156">
        <f>IF(C156="",0,8011)</f>
        <v/>
      </c>
    </row>
    <row r="157">
      <c r="A157" t="inlineStr">
        <is>
          <t>ILAT</t>
        </is>
      </c>
      <c r="B157" t="inlineStr">
        <is>
          <t>2002-T4</t>
        </is>
      </c>
      <c r="C157">
        <f>IF(Indices!I5="","",Indices!I5)</f>
        <v/>
      </c>
      <c r="D157">
        <f>IF(C157="",0,8012)</f>
        <v/>
      </c>
    </row>
    <row r="158">
      <c r="A158" t="inlineStr">
        <is>
          <t>ILAT</t>
        </is>
      </c>
      <c r="B158" t="inlineStr">
        <is>
          <t>2003-T1</t>
        </is>
      </c>
      <c r="C158">
        <f>IF(Indices!F6="","",Indices!F6)</f>
        <v/>
      </c>
      <c r="D158">
        <f>IF(C158="",0,8013)</f>
        <v/>
      </c>
    </row>
    <row r="159">
      <c r="A159" t="inlineStr">
        <is>
          <t>ILAT</t>
        </is>
      </c>
      <c r="B159" t="inlineStr">
        <is>
          <t>2003-T2</t>
        </is>
      </c>
      <c r="C159">
        <f>IF(Indices!G6="","",Indices!G6)</f>
        <v/>
      </c>
      <c r="D159">
        <f>IF(C159="",0,8014)</f>
        <v/>
      </c>
    </row>
    <row r="160">
      <c r="A160" t="inlineStr">
        <is>
          <t>ILAT</t>
        </is>
      </c>
      <c r="B160" t="inlineStr">
        <is>
          <t>2003-T3</t>
        </is>
      </c>
      <c r="C160">
        <f>IF(Indices!H6="","",Indices!H6)</f>
        <v/>
      </c>
      <c r="D160">
        <f>IF(C160="",0,8015)</f>
        <v/>
      </c>
    </row>
    <row r="161">
      <c r="A161" t="inlineStr">
        <is>
          <t>ILAT</t>
        </is>
      </c>
      <c r="B161" t="inlineStr">
        <is>
          <t>2003-T4</t>
        </is>
      </c>
      <c r="C161">
        <f>IF(Indices!I6="","",Indices!I6)</f>
        <v/>
      </c>
      <c r="D161">
        <f>IF(C161="",0,8016)</f>
        <v/>
      </c>
    </row>
    <row r="162">
      <c r="A162" t="inlineStr">
        <is>
          <t>ILAT</t>
        </is>
      </c>
      <c r="B162" t="inlineStr">
        <is>
          <t>2004-T1</t>
        </is>
      </c>
      <c r="C162">
        <f>IF(Indices!F7="","",Indices!F7)</f>
        <v/>
      </c>
      <c r="D162">
        <f>IF(C162="",0,8017)</f>
        <v/>
      </c>
    </row>
    <row r="163">
      <c r="A163" t="inlineStr">
        <is>
          <t>ILAT</t>
        </is>
      </c>
      <c r="B163" t="inlineStr">
        <is>
          <t>2004-T2</t>
        </is>
      </c>
      <c r="C163">
        <f>IF(Indices!G7="","",Indices!G7)</f>
        <v/>
      </c>
      <c r="D163">
        <f>IF(C163="",0,8018)</f>
        <v/>
      </c>
    </row>
    <row r="164">
      <c r="A164" t="inlineStr">
        <is>
          <t>ILAT</t>
        </is>
      </c>
      <c r="B164" t="inlineStr">
        <is>
          <t>2004-T3</t>
        </is>
      </c>
      <c r="C164">
        <f>IF(Indices!H7="","",Indices!H7)</f>
        <v/>
      </c>
      <c r="D164">
        <f>IF(C164="",0,8019)</f>
        <v/>
      </c>
    </row>
    <row r="165">
      <c r="A165" t="inlineStr">
        <is>
          <t>ILAT</t>
        </is>
      </c>
      <c r="B165" t="inlineStr">
        <is>
          <t>2004-T4</t>
        </is>
      </c>
      <c r="C165">
        <f>IF(Indices!I7="","",Indices!I7)</f>
        <v/>
      </c>
      <c r="D165">
        <f>IF(C165="",0,8020)</f>
        <v/>
      </c>
    </row>
    <row r="166">
      <c r="A166" t="inlineStr">
        <is>
          <t>ILAT</t>
        </is>
      </c>
      <c r="B166" t="inlineStr">
        <is>
          <t>2005-T1</t>
        </is>
      </c>
      <c r="C166">
        <f>IF(Indices!F8="","",Indices!F8)</f>
        <v/>
      </c>
      <c r="D166">
        <f>IF(C166="",0,8021)</f>
        <v/>
      </c>
    </row>
    <row r="167">
      <c r="A167" t="inlineStr">
        <is>
          <t>ILAT</t>
        </is>
      </c>
      <c r="B167" t="inlineStr">
        <is>
          <t>2005-T2</t>
        </is>
      </c>
      <c r="C167">
        <f>IF(Indices!G8="","",Indices!G8)</f>
        <v/>
      </c>
      <c r="D167">
        <f>IF(C167="",0,8022)</f>
        <v/>
      </c>
    </row>
    <row r="168">
      <c r="A168" t="inlineStr">
        <is>
          <t>ILAT</t>
        </is>
      </c>
      <c r="B168" t="inlineStr">
        <is>
          <t>2005-T3</t>
        </is>
      </c>
      <c r="C168">
        <f>IF(Indices!H8="","",Indices!H8)</f>
        <v/>
      </c>
      <c r="D168">
        <f>IF(C168="",0,8023)</f>
        <v/>
      </c>
    </row>
    <row r="169">
      <c r="A169" t="inlineStr">
        <is>
          <t>ILAT</t>
        </is>
      </c>
      <c r="B169" t="inlineStr">
        <is>
          <t>2005-T4</t>
        </is>
      </c>
      <c r="C169">
        <f>IF(Indices!I8="","",Indices!I8)</f>
        <v/>
      </c>
      <c r="D169">
        <f>IF(C169="",0,8024)</f>
        <v/>
      </c>
    </row>
    <row r="170">
      <c r="A170" t="inlineStr">
        <is>
          <t>ILAT</t>
        </is>
      </c>
      <c r="B170" t="inlineStr">
        <is>
          <t>2006-T1</t>
        </is>
      </c>
      <c r="C170">
        <f>IF(Indices!F9="","",Indices!F9)</f>
        <v/>
      </c>
      <c r="D170">
        <f>IF(C170="",0,8025)</f>
        <v/>
      </c>
    </row>
    <row r="171">
      <c r="A171" t="inlineStr">
        <is>
          <t>ILAT</t>
        </is>
      </c>
      <c r="B171" t="inlineStr">
        <is>
          <t>2006-T2</t>
        </is>
      </c>
      <c r="C171">
        <f>IF(Indices!G9="","",Indices!G9)</f>
        <v/>
      </c>
      <c r="D171">
        <f>IF(C171="",0,8026)</f>
        <v/>
      </c>
    </row>
    <row r="172">
      <c r="A172" t="inlineStr">
        <is>
          <t>ILAT</t>
        </is>
      </c>
      <c r="B172" t="inlineStr">
        <is>
          <t>2006-T3</t>
        </is>
      </c>
      <c r="C172">
        <f>IF(Indices!H9="","",Indices!H9)</f>
        <v/>
      </c>
      <c r="D172">
        <f>IF(C172="",0,8027)</f>
        <v/>
      </c>
    </row>
    <row r="173">
      <c r="A173" t="inlineStr">
        <is>
          <t>ILAT</t>
        </is>
      </c>
      <c r="B173" t="inlineStr">
        <is>
          <t>2006-T4</t>
        </is>
      </c>
      <c r="C173">
        <f>IF(Indices!I9="","",Indices!I9)</f>
        <v/>
      </c>
      <c r="D173">
        <f>IF(C173="",0,8028)</f>
        <v/>
      </c>
    </row>
    <row r="174">
      <c r="A174" t="inlineStr">
        <is>
          <t>ILAT</t>
        </is>
      </c>
      <c r="B174" t="inlineStr">
        <is>
          <t>2007-T1</t>
        </is>
      </c>
      <c r="C174">
        <f>IF(Indices!F10="","",Indices!F10)</f>
        <v/>
      </c>
      <c r="D174">
        <f>IF(C174="",0,8029)</f>
        <v/>
      </c>
    </row>
    <row r="175">
      <c r="A175" t="inlineStr">
        <is>
          <t>ILAT</t>
        </is>
      </c>
      <c r="B175" t="inlineStr">
        <is>
          <t>2007-T2</t>
        </is>
      </c>
      <c r="C175">
        <f>IF(Indices!G10="","",Indices!G10)</f>
        <v/>
      </c>
      <c r="D175">
        <f>IF(C175="",0,8030)</f>
        <v/>
      </c>
    </row>
    <row r="176">
      <c r="A176" t="inlineStr">
        <is>
          <t>ILAT</t>
        </is>
      </c>
      <c r="B176" t="inlineStr">
        <is>
          <t>2007-T3</t>
        </is>
      </c>
      <c r="C176">
        <f>IF(Indices!H10="","",Indices!H10)</f>
        <v/>
      </c>
      <c r="D176">
        <f>IF(C176="",0,8031)</f>
        <v/>
      </c>
    </row>
    <row r="177">
      <c r="A177" t="inlineStr">
        <is>
          <t>ILAT</t>
        </is>
      </c>
      <c r="B177" t="inlineStr">
        <is>
          <t>2007-T4</t>
        </is>
      </c>
      <c r="C177">
        <f>IF(Indices!I10="","",Indices!I10)</f>
        <v/>
      </c>
      <c r="D177">
        <f>IF(C177="",0,8032)</f>
        <v/>
      </c>
    </row>
    <row r="178">
      <c r="A178" t="inlineStr">
        <is>
          <t>ILAT</t>
        </is>
      </c>
      <c r="B178" t="inlineStr">
        <is>
          <t>2008-T1</t>
        </is>
      </c>
      <c r="C178">
        <f>IF(Indices!F11="","",Indices!F11)</f>
        <v/>
      </c>
      <c r="D178">
        <f>IF(C178="",0,8033)</f>
        <v/>
      </c>
    </row>
    <row r="179">
      <c r="A179" t="inlineStr">
        <is>
          <t>ILAT</t>
        </is>
      </c>
      <c r="B179" t="inlineStr">
        <is>
          <t>2008-T2</t>
        </is>
      </c>
      <c r="C179">
        <f>IF(Indices!G11="","",Indices!G11)</f>
        <v/>
      </c>
      <c r="D179">
        <f>IF(C179="",0,8034)</f>
        <v/>
      </c>
    </row>
    <row r="180">
      <c r="A180" t="inlineStr">
        <is>
          <t>ILAT</t>
        </is>
      </c>
      <c r="B180" t="inlineStr">
        <is>
          <t>2008-T3</t>
        </is>
      </c>
      <c r="C180">
        <f>IF(Indices!H11="","",Indices!H11)</f>
        <v/>
      </c>
      <c r="D180">
        <f>IF(C180="",0,8035)</f>
        <v/>
      </c>
    </row>
    <row r="181">
      <c r="A181" t="inlineStr">
        <is>
          <t>ILAT</t>
        </is>
      </c>
      <c r="B181" t="inlineStr">
        <is>
          <t>2008-T4</t>
        </is>
      </c>
      <c r="C181">
        <f>IF(Indices!I11="","",Indices!I11)</f>
        <v/>
      </c>
      <c r="D181">
        <f>IF(C181="",0,8036)</f>
        <v/>
      </c>
    </row>
    <row r="182">
      <c r="A182" t="inlineStr">
        <is>
          <t>ILAT</t>
        </is>
      </c>
      <c r="B182" t="inlineStr">
        <is>
          <t>2009-T1</t>
        </is>
      </c>
      <c r="C182">
        <f>IF(Indices!F12="","",Indices!F12)</f>
        <v/>
      </c>
      <c r="D182">
        <f>IF(C182="",0,8037)</f>
        <v/>
      </c>
    </row>
    <row r="183">
      <c r="A183" t="inlineStr">
        <is>
          <t>ILAT</t>
        </is>
      </c>
      <c r="B183" t="inlineStr">
        <is>
          <t>2009-T2</t>
        </is>
      </c>
      <c r="C183">
        <f>IF(Indices!G12="","",Indices!G12)</f>
        <v/>
      </c>
      <c r="D183">
        <f>IF(C183="",0,8038)</f>
        <v/>
      </c>
    </row>
    <row r="184">
      <c r="A184" t="inlineStr">
        <is>
          <t>ILAT</t>
        </is>
      </c>
      <c r="B184" t="inlineStr">
        <is>
          <t>2009-T3</t>
        </is>
      </c>
      <c r="C184">
        <f>IF(Indices!H12="","",Indices!H12)</f>
        <v/>
      </c>
      <c r="D184">
        <f>IF(C184="",0,8039)</f>
        <v/>
      </c>
    </row>
    <row r="185">
      <c r="A185" t="inlineStr">
        <is>
          <t>ILAT</t>
        </is>
      </c>
      <c r="B185" t="inlineStr">
        <is>
          <t>2009-T4</t>
        </is>
      </c>
      <c r="C185">
        <f>IF(Indices!I12="","",Indices!I12)</f>
        <v/>
      </c>
      <c r="D185">
        <f>IF(C185="",0,8040)</f>
        <v/>
      </c>
    </row>
    <row r="186">
      <c r="A186" t="inlineStr">
        <is>
          <t>ILAT</t>
        </is>
      </c>
      <c r="B186" t="inlineStr">
        <is>
          <t>2010-T1</t>
        </is>
      </c>
      <c r="C186">
        <f>IF(Indices!F13="","",Indices!F13)</f>
        <v/>
      </c>
      <c r="D186">
        <f>IF(C186="",0,8041)</f>
        <v/>
      </c>
    </row>
    <row r="187">
      <c r="A187" t="inlineStr">
        <is>
          <t>ILAT</t>
        </is>
      </c>
      <c r="B187" t="inlineStr">
        <is>
          <t>2010-T2</t>
        </is>
      </c>
      <c r="C187">
        <f>IF(Indices!G13="","",Indices!G13)</f>
        <v/>
      </c>
      <c r="D187">
        <f>IF(C187="",0,8042)</f>
        <v/>
      </c>
    </row>
    <row r="188">
      <c r="A188" t="inlineStr">
        <is>
          <t>ILAT</t>
        </is>
      </c>
      <c r="B188" t="inlineStr">
        <is>
          <t>2010-T3</t>
        </is>
      </c>
      <c r="C188">
        <f>IF(Indices!H13="","",Indices!H13)</f>
        <v/>
      </c>
      <c r="D188">
        <f>IF(C188="",0,8043)</f>
        <v/>
      </c>
    </row>
    <row r="189">
      <c r="A189" t="inlineStr">
        <is>
          <t>ILAT</t>
        </is>
      </c>
      <c r="B189" t="inlineStr">
        <is>
          <t>2010-T4</t>
        </is>
      </c>
      <c r="C189">
        <f>IF(Indices!I13="","",Indices!I13)</f>
        <v/>
      </c>
      <c r="D189">
        <f>IF(C189="",0,8044)</f>
        <v/>
      </c>
    </row>
    <row r="190">
      <c r="A190" t="inlineStr">
        <is>
          <t>ILAT</t>
        </is>
      </c>
      <c r="B190" t="inlineStr">
        <is>
          <t>2011-T1</t>
        </is>
      </c>
      <c r="C190">
        <f>IF(Indices!F14="","",Indices!F14)</f>
        <v/>
      </c>
      <c r="D190">
        <f>IF(C190="",0,8045)</f>
        <v/>
      </c>
    </row>
    <row r="191">
      <c r="A191" t="inlineStr">
        <is>
          <t>ILAT</t>
        </is>
      </c>
      <c r="B191" t="inlineStr">
        <is>
          <t>2011-T2</t>
        </is>
      </c>
      <c r="C191">
        <f>IF(Indices!G14="","",Indices!G14)</f>
        <v/>
      </c>
      <c r="D191">
        <f>IF(C191="",0,8046)</f>
        <v/>
      </c>
    </row>
    <row r="192">
      <c r="A192" t="inlineStr">
        <is>
          <t>ILAT</t>
        </is>
      </c>
      <c r="B192" t="inlineStr">
        <is>
          <t>2011-T3</t>
        </is>
      </c>
      <c r="C192">
        <f>IF(Indices!H14="","",Indices!H14)</f>
        <v/>
      </c>
      <c r="D192">
        <f>IF(C192="",0,8047)</f>
        <v/>
      </c>
    </row>
    <row r="193">
      <c r="A193" t="inlineStr">
        <is>
          <t>ILAT</t>
        </is>
      </c>
      <c r="B193" t="inlineStr">
        <is>
          <t>2011-T4</t>
        </is>
      </c>
      <c r="C193">
        <f>IF(Indices!I14="","",Indices!I14)</f>
        <v/>
      </c>
      <c r="D193">
        <f>IF(C193="",0,8048)</f>
        <v/>
      </c>
    </row>
    <row r="194">
      <c r="A194" t="inlineStr">
        <is>
          <t>ILAT</t>
        </is>
      </c>
      <c r="B194" t="inlineStr">
        <is>
          <t>2012-T1</t>
        </is>
      </c>
      <c r="C194">
        <f>IF(Indices!F15="","",Indices!F15)</f>
        <v/>
      </c>
      <c r="D194">
        <f>IF(C194="",0,8049)</f>
        <v/>
      </c>
    </row>
    <row r="195">
      <c r="A195" t="inlineStr">
        <is>
          <t>ILAT</t>
        </is>
      </c>
      <c r="B195" t="inlineStr">
        <is>
          <t>2012-T2</t>
        </is>
      </c>
      <c r="C195">
        <f>IF(Indices!G15="","",Indices!G15)</f>
        <v/>
      </c>
      <c r="D195">
        <f>IF(C195="",0,8050)</f>
        <v/>
      </c>
    </row>
    <row r="196">
      <c r="A196" t="inlineStr">
        <is>
          <t>ILAT</t>
        </is>
      </c>
      <c r="B196" t="inlineStr">
        <is>
          <t>2012-T3</t>
        </is>
      </c>
      <c r="C196">
        <f>IF(Indices!H15="","",Indices!H15)</f>
        <v/>
      </c>
      <c r="D196">
        <f>IF(C196="",0,8051)</f>
        <v/>
      </c>
    </row>
    <row r="197">
      <c r="A197" t="inlineStr">
        <is>
          <t>ILAT</t>
        </is>
      </c>
      <c r="B197" t="inlineStr">
        <is>
          <t>2012-T4</t>
        </is>
      </c>
      <c r="C197">
        <f>IF(Indices!I15="","",Indices!I15)</f>
        <v/>
      </c>
      <c r="D197">
        <f>IF(C197="",0,8052)</f>
        <v/>
      </c>
    </row>
    <row r="198">
      <c r="A198" t="inlineStr">
        <is>
          <t>ILAT</t>
        </is>
      </c>
      <c r="B198" t="inlineStr">
        <is>
          <t>2013-T1</t>
        </is>
      </c>
      <c r="C198">
        <f>IF(Indices!F16="","",Indices!F16)</f>
        <v/>
      </c>
      <c r="D198">
        <f>IF(C198="",0,8053)</f>
        <v/>
      </c>
    </row>
    <row r="199">
      <c r="A199" t="inlineStr">
        <is>
          <t>ILAT</t>
        </is>
      </c>
      <c r="B199" t="inlineStr">
        <is>
          <t>2013-T2</t>
        </is>
      </c>
      <c r="C199">
        <f>IF(Indices!G16="","",Indices!G16)</f>
        <v/>
      </c>
      <c r="D199">
        <f>IF(C199="",0,8054)</f>
        <v/>
      </c>
    </row>
    <row r="200">
      <c r="A200" t="inlineStr">
        <is>
          <t>ILAT</t>
        </is>
      </c>
      <c r="B200" t="inlineStr">
        <is>
          <t>2013-T3</t>
        </is>
      </c>
      <c r="C200">
        <f>IF(Indices!H16="","",Indices!H16)</f>
        <v/>
      </c>
      <c r="D200">
        <f>IF(C200="",0,8055)</f>
        <v/>
      </c>
    </row>
    <row r="201">
      <c r="A201" t="inlineStr">
        <is>
          <t>ILAT</t>
        </is>
      </c>
      <c r="B201" t="inlineStr">
        <is>
          <t>2013-T4</t>
        </is>
      </c>
      <c r="C201">
        <f>IF(Indices!I16="","",Indices!I16)</f>
        <v/>
      </c>
      <c r="D201">
        <f>IF(C201="",0,8056)</f>
        <v/>
      </c>
    </row>
    <row r="202">
      <c r="A202" t="inlineStr">
        <is>
          <t>ILAT</t>
        </is>
      </c>
      <c r="B202" t="inlineStr">
        <is>
          <t>2014-T1</t>
        </is>
      </c>
      <c r="C202">
        <f>IF(Indices!F17="","",Indices!F17)</f>
        <v/>
      </c>
      <c r="D202">
        <f>IF(C202="",0,8057)</f>
        <v/>
      </c>
    </row>
    <row r="203">
      <c r="A203" t="inlineStr">
        <is>
          <t>ILAT</t>
        </is>
      </c>
      <c r="B203" t="inlineStr">
        <is>
          <t>2014-T2</t>
        </is>
      </c>
      <c r="C203">
        <f>IF(Indices!G17="","",Indices!G17)</f>
        <v/>
      </c>
      <c r="D203">
        <f>IF(C203="",0,8058)</f>
        <v/>
      </c>
    </row>
    <row r="204">
      <c r="A204" t="inlineStr">
        <is>
          <t>ILAT</t>
        </is>
      </c>
      <c r="B204" t="inlineStr">
        <is>
          <t>2014-T3</t>
        </is>
      </c>
      <c r="C204">
        <f>IF(Indices!H17="","",Indices!H17)</f>
        <v/>
      </c>
      <c r="D204">
        <f>IF(C204="",0,8059)</f>
        <v/>
      </c>
    </row>
    <row r="205">
      <c r="A205" t="inlineStr">
        <is>
          <t>ILAT</t>
        </is>
      </c>
      <c r="B205" t="inlineStr">
        <is>
          <t>2014-T4</t>
        </is>
      </c>
      <c r="C205">
        <f>IF(Indices!I17="","",Indices!I17)</f>
        <v/>
      </c>
      <c r="D205">
        <f>IF(C205="",0,8060)</f>
        <v/>
      </c>
    </row>
    <row r="206">
      <c r="A206" t="inlineStr">
        <is>
          <t>ILAT</t>
        </is>
      </c>
      <c r="B206" t="inlineStr">
        <is>
          <t>2015-T1</t>
        </is>
      </c>
      <c r="C206">
        <f>IF(Indices!F18="","",Indices!F18)</f>
        <v/>
      </c>
      <c r="D206">
        <f>IF(C206="",0,8061)</f>
        <v/>
      </c>
    </row>
    <row r="207">
      <c r="A207" t="inlineStr">
        <is>
          <t>ILAT</t>
        </is>
      </c>
      <c r="B207" t="inlineStr">
        <is>
          <t>2015-T2</t>
        </is>
      </c>
      <c r="C207">
        <f>IF(Indices!G18="","",Indices!G18)</f>
        <v/>
      </c>
      <c r="D207">
        <f>IF(C207="",0,8062)</f>
        <v/>
      </c>
    </row>
    <row r="208">
      <c r="A208" t="inlineStr">
        <is>
          <t>ILAT</t>
        </is>
      </c>
      <c r="B208" t="inlineStr">
        <is>
          <t>2015-T3</t>
        </is>
      </c>
      <c r="C208">
        <f>IF(Indices!H18="","",Indices!H18)</f>
        <v/>
      </c>
      <c r="D208">
        <f>IF(C208="",0,8063)</f>
        <v/>
      </c>
    </row>
    <row r="209">
      <c r="A209" t="inlineStr">
        <is>
          <t>ILAT</t>
        </is>
      </c>
      <c r="B209" t="inlineStr">
        <is>
          <t>2015-T4</t>
        </is>
      </c>
      <c r="C209">
        <f>IF(Indices!I18="","",Indices!I18)</f>
        <v/>
      </c>
      <c r="D209">
        <f>IF(C209="",0,8064)</f>
        <v/>
      </c>
    </row>
    <row r="210">
      <c r="A210" t="inlineStr">
        <is>
          <t>ILAT</t>
        </is>
      </c>
      <c r="B210" t="inlineStr">
        <is>
          <t>2016-T1</t>
        </is>
      </c>
      <c r="C210">
        <f>IF(Indices!F19="","",Indices!F19)</f>
        <v/>
      </c>
      <c r="D210">
        <f>IF(C210="",0,8065)</f>
        <v/>
      </c>
    </row>
    <row r="211">
      <c r="A211" t="inlineStr">
        <is>
          <t>ILAT</t>
        </is>
      </c>
      <c r="B211" t="inlineStr">
        <is>
          <t>2016-T2</t>
        </is>
      </c>
      <c r="C211">
        <f>IF(Indices!G19="","",Indices!G19)</f>
        <v/>
      </c>
      <c r="D211">
        <f>IF(C211="",0,8066)</f>
        <v/>
      </c>
    </row>
    <row r="212">
      <c r="A212" t="inlineStr">
        <is>
          <t>ILAT</t>
        </is>
      </c>
      <c r="B212" t="inlineStr">
        <is>
          <t>2016-T3</t>
        </is>
      </c>
      <c r="C212">
        <f>IF(Indices!H19="","",Indices!H19)</f>
        <v/>
      </c>
      <c r="D212">
        <f>IF(C212="",0,8067)</f>
        <v/>
      </c>
    </row>
    <row r="213">
      <c r="A213" t="inlineStr">
        <is>
          <t>ILAT</t>
        </is>
      </c>
      <c r="B213" t="inlineStr">
        <is>
          <t>2016-T4</t>
        </is>
      </c>
      <c r="C213">
        <f>IF(Indices!I19="","",Indices!I19)</f>
        <v/>
      </c>
      <c r="D213">
        <f>IF(C213="",0,8068)</f>
        <v/>
      </c>
    </row>
    <row r="214">
      <c r="A214" t="inlineStr">
        <is>
          <t>ILAT</t>
        </is>
      </c>
      <c r="B214" t="inlineStr">
        <is>
          <t>2017-T1</t>
        </is>
      </c>
      <c r="C214">
        <f>IF(Indices!F20="","",Indices!F20)</f>
        <v/>
      </c>
      <c r="D214">
        <f>IF(C214="",0,8069)</f>
        <v/>
      </c>
    </row>
    <row r="215">
      <c r="A215" t="inlineStr">
        <is>
          <t>ILAT</t>
        </is>
      </c>
      <c r="B215" t="inlineStr">
        <is>
          <t>2017-T2</t>
        </is>
      </c>
      <c r="C215">
        <f>IF(Indices!G20="","",Indices!G20)</f>
        <v/>
      </c>
      <c r="D215">
        <f>IF(C215="",0,8070)</f>
        <v/>
      </c>
    </row>
    <row r="216">
      <c r="A216" t="inlineStr">
        <is>
          <t>ILAT</t>
        </is>
      </c>
      <c r="B216" t="inlineStr">
        <is>
          <t>2017-T3</t>
        </is>
      </c>
      <c r="C216">
        <f>IF(Indices!H20="","",Indices!H20)</f>
        <v/>
      </c>
      <c r="D216">
        <f>IF(C216="",0,8071)</f>
        <v/>
      </c>
    </row>
    <row r="217">
      <c r="A217" t="inlineStr">
        <is>
          <t>ILAT</t>
        </is>
      </c>
      <c r="B217" t="inlineStr">
        <is>
          <t>2017-T4</t>
        </is>
      </c>
      <c r="C217">
        <f>IF(Indices!I20="","",Indices!I20)</f>
        <v/>
      </c>
      <c r="D217">
        <f>IF(C217="",0,8072)</f>
        <v/>
      </c>
    </row>
    <row r="218">
      <c r="A218" t="inlineStr">
        <is>
          <t>ILAT</t>
        </is>
      </c>
      <c r="B218" t="inlineStr">
        <is>
          <t>2018-T1</t>
        </is>
      </c>
      <c r="C218">
        <f>IF(Indices!F21="","",Indices!F21)</f>
        <v/>
      </c>
      <c r="D218">
        <f>IF(C218="",0,8073)</f>
        <v/>
      </c>
    </row>
    <row r="219">
      <c r="A219" t="inlineStr">
        <is>
          <t>ILAT</t>
        </is>
      </c>
      <c r="B219" t="inlineStr">
        <is>
          <t>2018-T2</t>
        </is>
      </c>
      <c r="C219">
        <f>IF(Indices!G21="","",Indices!G21)</f>
        <v/>
      </c>
      <c r="D219">
        <f>IF(C219="",0,8074)</f>
        <v/>
      </c>
    </row>
    <row r="220">
      <c r="A220" t="inlineStr">
        <is>
          <t>ILAT</t>
        </is>
      </c>
      <c r="B220" t="inlineStr">
        <is>
          <t>2018-T3</t>
        </is>
      </c>
      <c r="C220">
        <f>IF(Indices!H21="","",Indices!H21)</f>
        <v/>
      </c>
      <c r="D220">
        <f>IF(C220="",0,8075)</f>
        <v/>
      </c>
    </row>
    <row r="221">
      <c r="A221" t="inlineStr">
        <is>
          <t>ILAT</t>
        </is>
      </c>
      <c r="B221" t="inlineStr">
        <is>
          <t>2018-T4</t>
        </is>
      </c>
      <c r="C221">
        <f>IF(Indices!I21="","",Indices!I21)</f>
        <v/>
      </c>
      <c r="D221">
        <f>IF(C221="",0,8076)</f>
        <v/>
      </c>
    </row>
    <row r="222">
      <c r="A222" t="inlineStr">
        <is>
          <t>ILAT</t>
        </is>
      </c>
      <c r="B222" t="inlineStr">
        <is>
          <t>2019-T1</t>
        </is>
      </c>
      <c r="C222">
        <f>IF(Indices!F22="","",Indices!F22)</f>
        <v/>
      </c>
      <c r="D222">
        <f>IF(C222="",0,8077)</f>
        <v/>
      </c>
    </row>
    <row r="223">
      <c r="A223" t="inlineStr">
        <is>
          <t>ILAT</t>
        </is>
      </c>
      <c r="B223" t="inlineStr">
        <is>
          <t>2019-T2</t>
        </is>
      </c>
      <c r="C223">
        <f>IF(Indices!G22="","",Indices!G22)</f>
        <v/>
      </c>
      <c r="D223">
        <f>IF(C223="",0,8078)</f>
        <v/>
      </c>
    </row>
    <row r="224">
      <c r="A224" t="inlineStr">
        <is>
          <t>ILAT</t>
        </is>
      </c>
      <c r="B224" t="inlineStr">
        <is>
          <t>2019-T3</t>
        </is>
      </c>
      <c r="C224">
        <f>IF(Indices!H22="","",Indices!H22)</f>
        <v/>
      </c>
      <c r="D224">
        <f>IF(C224="",0,8079)</f>
        <v/>
      </c>
    </row>
    <row r="225">
      <c r="A225" t="inlineStr">
        <is>
          <t>ILAT</t>
        </is>
      </c>
      <c r="B225" t="inlineStr">
        <is>
          <t>2019-T4</t>
        </is>
      </c>
      <c r="C225">
        <f>IF(Indices!I22="","",Indices!I22)</f>
        <v/>
      </c>
      <c r="D225">
        <f>IF(C225="",0,8080)</f>
        <v/>
      </c>
    </row>
    <row r="226">
      <c r="A226" t="inlineStr">
        <is>
          <t>ILAT</t>
        </is>
      </c>
      <c r="B226" t="inlineStr">
        <is>
          <t>2020-T1</t>
        </is>
      </c>
      <c r="C226">
        <f>IF(Indices!F23="","",Indices!F23)</f>
        <v/>
      </c>
      <c r="D226">
        <f>IF(C226="",0,8081)</f>
        <v/>
      </c>
    </row>
    <row r="227">
      <c r="A227" t="inlineStr">
        <is>
          <t>ILAT</t>
        </is>
      </c>
      <c r="B227" t="inlineStr">
        <is>
          <t>2020-T2</t>
        </is>
      </c>
      <c r="C227">
        <f>IF(Indices!G23="","",Indices!G23)</f>
        <v/>
      </c>
      <c r="D227">
        <f>IF(C227="",0,8082)</f>
        <v/>
      </c>
    </row>
    <row r="228">
      <c r="A228" t="inlineStr">
        <is>
          <t>ILAT</t>
        </is>
      </c>
      <c r="B228" t="inlineStr">
        <is>
          <t>2020-T3</t>
        </is>
      </c>
      <c r="C228">
        <f>IF(Indices!H23="","",Indices!H23)</f>
        <v/>
      </c>
      <c r="D228">
        <f>IF(C228="",0,8083)</f>
        <v/>
      </c>
    </row>
    <row r="229">
      <c r="A229" t="inlineStr">
        <is>
          <t>ILAT</t>
        </is>
      </c>
      <c r="B229" t="inlineStr">
        <is>
          <t>2020-T4</t>
        </is>
      </c>
      <c r="C229">
        <f>IF(Indices!I23="","",Indices!I23)</f>
        <v/>
      </c>
      <c r="D229">
        <f>IF(C229="",0,8084)</f>
        <v/>
      </c>
    </row>
    <row r="230">
      <c r="A230" t="inlineStr">
        <is>
          <t>ILAT</t>
        </is>
      </c>
      <c r="B230" t="inlineStr">
        <is>
          <t>2021-T1</t>
        </is>
      </c>
      <c r="C230">
        <f>IF(Indices!F24="","",Indices!F24)</f>
        <v/>
      </c>
      <c r="D230">
        <f>IF(C230="",0,8085)</f>
        <v/>
      </c>
    </row>
    <row r="231">
      <c r="A231" t="inlineStr">
        <is>
          <t>ILAT</t>
        </is>
      </c>
      <c r="B231" t="inlineStr">
        <is>
          <t>2021-T2</t>
        </is>
      </c>
      <c r="C231">
        <f>IF(Indices!G24="","",Indices!G24)</f>
        <v/>
      </c>
      <c r="D231">
        <f>IF(C231="",0,8086)</f>
        <v/>
      </c>
    </row>
    <row r="232">
      <c r="A232" t="inlineStr">
        <is>
          <t>ILAT</t>
        </is>
      </c>
      <c r="B232" t="inlineStr">
        <is>
          <t>2021-T3</t>
        </is>
      </c>
      <c r="C232">
        <f>IF(Indices!H24="","",Indices!H24)</f>
        <v/>
      </c>
      <c r="D232">
        <f>IF(C232="",0,8087)</f>
        <v/>
      </c>
    </row>
    <row r="233">
      <c r="A233" t="inlineStr">
        <is>
          <t>ILAT</t>
        </is>
      </c>
      <c r="B233" t="inlineStr">
        <is>
          <t>2021-T4</t>
        </is>
      </c>
      <c r="C233">
        <f>IF(Indices!I24="","",Indices!I24)</f>
        <v/>
      </c>
      <c r="D233">
        <f>IF(C233="",0,8088)</f>
        <v/>
      </c>
    </row>
    <row r="234">
      <c r="A234" t="inlineStr">
        <is>
          <t>ILAT</t>
        </is>
      </c>
      <c r="B234" t="inlineStr">
        <is>
          <t>2022-T1</t>
        </is>
      </c>
      <c r="C234">
        <f>IF(Indices!F25="","",Indices!F25)</f>
        <v/>
      </c>
      <c r="D234">
        <f>IF(C234="",0,8089)</f>
        <v/>
      </c>
    </row>
    <row r="235">
      <c r="A235" t="inlineStr">
        <is>
          <t>ILAT</t>
        </is>
      </c>
      <c r="B235" t="inlineStr">
        <is>
          <t>2022-T2</t>
        </is>
      </c>
      <c r="C235">
        <f>IF(Indices!G25="","",Indices!G25)</f>
        <v/>
      </c>
      <c r="D235">
        <f>IF(C235="",0,8090)</f>
        <v/>
      </c>
    </row>
    <row r="236">
      <c r="A236" t="inlineStr">
        <is>
          <t>ILAT</t>
        </is>
      </c>
      <c r="B236" t="inlineStr">
        <is>
          <t>2022-T3</t>
        </is>
      </c>
      <c r="C236">
        <f>IF(Indices!H25="","",Indices!H25)</f>
        <v/>
      </c>
      <c r="D236">
        <f>IF(C236="",0,8091)</f>
        <v/>
      </c>
    </row>
    <row r="237">
      <c r="A237" t="inlineStr">
        <is>
          <t>ILAT</t>
        </is>
      </c>
      <c r="B237" t="inlineStr">
        <is>
          <t>2022-T4</t>
        </is>
      </c>
      <c r="C237">
        <f>IF(Indices!I25="","",Indices!I25)</f>
        <v/>
      </c>
      <c r="D237">
        <f>IF(C237="",0,8092)</f>
        <v/>
      </c>
    </row>
    <row r="238">
      <c r="A238" t="inlineStr">
        <is>
          <t>ILAT</t>
        </is>
      </c>
      <c r="B238" t="inlineStr">
        <is>
          <t>2023-T1</t>
        </is>
      </c>
      <c r="C238">
        <f>IF(Indices!F26="","",Indices!F26)</f>
        <v/>
      </c>
      <c r="D238">
        <f>IF(C238="",0,8093)</f>
        <v/>
      </c>
    </row>
    <row r="239">
      <c r="A239" t="inlineStr">
        <is>
          <t>ILAT</t>
        </is>
      </c>
      <c r="B239" t="inlineStr">
        <is>
          <t>2023-T2</t>
        </is>
      </c>
      <c r="C239">
        <f>IF(Indices!G26="","",Indices!G26)</f>
        <v/>
      </c>
      <c r="D239">
        <f>IF(C239="",0,8094)</f>
        <v/>
      </c>
    </row>
    <row r="240">
      <c r="A240" t="inlineStr">
        <is>
          <t>ILAT</t>
        </is>
      </c>
      <c r="B240" t="inlineStr">
        <is>
          <t>2023-T3</t>
        </is>
      </c>
      <c r="C240">
        <f>IF(Indices!H26="","",Indices!H26)</f>
        <v/>
      </c>
      <c r="D240">
        <f>IF(C240="",0,8095)</f>
        <v/>
      </c>
    </row>
    <row r="241">
      <c r="A241" t="inlineStr">
        <is>
          <t>ILAT</t>
        </is>
      </c>
      <c r="B241" t="inlineStr">
        <is>
          <t>2023-T4</t>
        </is>
      </c>
      <c r="C241">
        <f>IF(Indices!I26="","",Indices!I26)</f>
        <v/>
      </c>
      <c r="D241">
        <f>IF(C241="",0,8096)</f>
        <v/>
      </c>
    </row>
    <row r="242">
      <c r="A242" t="inlineStr">
        <is>
          <t>ILAT</t>
        </is>
      </c>
      <c r="B242" t="inlineStr">
        <is>
          <t>2024-T1</t>
        </is>
      </c>
      <c r="C242">
        <f>IF(Indices!F27="","",Indices!F27)</f>
        <v/>
      </c>
      <c r="D242">
        <f>IF(C242="",0,8097)</f>
        <v/>
      </c>
    </row>
    <row r="243">
      <c r="A243" t="inlineStr">
        <is>
          <t>ILAT</t>
        </is>
      </c>
      <c r="B243" t="inlineStr">
        <is>
          <t>2024-T2</t>
        </is>
      </c>
      <c r="C243">
        <f>IF(Indices!G27="","",Indices!G27)</f>
        <v/>
      </c>
      <c r="D243">
        <f>IF(C243="",0,8098)</f>
        <v/>
      </c>
    </row>
    <row r="244">
      <c r="A244" t="inlineStr">
        <is>
          <t>ILAT</t>
        </is>
      </c>
      <c r="B244" t="inlineStr">
        <is>
          <t>2024-T3</t>
        </is>
      </c>
      <c r="C244">
        <f>IF(Indices!H27="","",Indices!H27)</f>
        <v/>
      </c>
      <c r="D244">
        <f>IF(C244="",0,8099)</f>
        <v/>
      </c>
    </row>
    <row r="245">
      <c r="A245" t="inlineStr">
        <is>
          <t>ILAT</t>
        </is>
      </c>
      <c r="B245" t="inlineStr">
        <is>
          <t>2024-T4</t>
        </is>
      </c>
      <c r="C245">
        <f>IF(Indices!I27="","",Indices!I27)</f>
        <v/>
      </c>
      <c r="D245">
        <f>IF(C245="",0,8100)</f>
        <v/>
      </c>
    </row>
    <row r="246">
      <c r="A246" t="inlineStr">
        <is>
          <t>ILAT</t>
        </is>
      </c>
      <c r="B246" t="inlineStr">
        <is>
          <t>2025-T1</t>
        </is>
      </c>
      <c r="C246">
        <f>IF(Indices!F28="","",Indices!F28)</f>
        <v/>
      </c>
      <c r="D246">
        <f>IF(C246="",0,8101)</f>
        <v/>
      </c>
    </row>
    <row r="247">
      <c r="A247" t="inlineStr">
        <is>
          <t>ILAT</t>
        </is>
      </c>
      <c r="B247" t="inlineStr">
        <is>
          <t>2025-T2</t>
        </is>
      </c>
      <c r="C247">
        <f>IF(Indices!G28="","",Indices!G28)</f>
        <v/>
      </c>
      <c r="D247">
        <f>IF(C247="",0,8102)</f>
        <v/>
      </c>
    </row>
    <row r="248">
      <c r="A248" t="inlineStr">
        <is>
          <t>ILAT</t>
        </is>
      </c>
      <c r="B248" t="inlineStr">
        <is>
          <t>2025-T3</t>
        </is>
      </c>
      <c r="C248">
        <f>IF(Indices!H28="","",Indices!H28)</f>
        <v/>
      </c>
      <c r="D248">
        <f>IF(C248="",0,8103)</f>
        <v/>
      </c>
    </row>
    <row r="249">
      <c r="A249" t="inlineStr">
        <is>
          <t>ILAT</t>
        </is>
      </c>
      <c r="B249" t="inlineStr">
        <is>
          <t>2025-T4</t>
        </is>
      </c>
      <c r="C249">
        <f>IF(Indices!I28="","",Indices!I28)</f>
        <v/>
      </c>
      <c r="D249">
        <f>IF(C249="",0,8104)</f>
        <v/>
      </c>
    </row>
    <row r="250">
      <c r="A250" t="inlineStr">
        <is>
          <t>ILAT</t>
        </is>
      </c>
      <c r="B250" t="inlineStr">
        <is>
          <t>2026-T1</t>
        </is>
      </c>
      <c r="C250">
        <f>IF(Indices!F29="","",Indices!F29)</f>
        <v/>
      </c>
      <c r="D250">
        <f>IF(C250="",0,8105)</f>
        <v/>
      </c>
    </row>
    <row r="251">
      <c r="A251" t="inlineStr">
        <is>
          <t>ILAT</t>
        </is>
      </c>
      <c r="B251" t="inlineStr">
        <is>
          <t>2026-T2</t>
        </is>
      </c>
      <c r="C251">
        <f>IF(Indices!G29="","",Indices!G29)</f>
        <v/>
      </c>
      <c r="D251">
        <f>IF(C251="",0,8106)</f>
        <v/>
      </c>
    </row>
    <row r="252">
      <c r="A252" t="inlineStr">
        <is>
          <t>ILAT</t>
        </is>
      </c>
      <c r="B252" t="inlineStr">
        <is>
          <t>2026-T3</t>
        </is>
      </c>
      <c r="C252">
        <f>IF(Indices!H29="","",Indices!H29)</f>
        <v/>
      </c>
      <c r="D252">
        <f>IF(C252="",0,8107)</f>
        <v/>
      </c>
    </row>
    <row r="253">
      <c r="A253" t="inlineStr">
        <is>
          <t>ILAT</t>
        </is>
      </c>
      <c r="B253" t="inlineStr">
        <is>
          <t>2026-T4</t>
        </is>
      </c>
      <c r="C253">
        <f>IF(Indices!I29="","",Indices!I29)</f>
        <v/>
      </c>
      <c r="D253">
        <f>IF(C253="",0,8108)</f>
        <v/>
      </c>
    </row>
    <row r="254">
      <c r="A254" t="inlineStr">
        <is>
          <t>ILAT</t>
        </is>
      </c>
      <c r="B254" t="inlineStr">
        <is>
          <t>2027-T1</t>
        </is>
      </c>
      <c r="C254">
        <f>IF(Indices!F30="","",Indices!F30)</f>
        <v/>
      </c>
      <c r="D254">
        <f>IF(C254="",0,8109)</f>
        <v/>
      </c>
    </row>
    <row r="255">
      <c r="A255" t="inlineStr">
        <is>
          <t>ILAT</t>
        </is>
      </c>
      <c r="B255" t="inlineStr">
        <is>
          <t>2027-T2</t>
        </is>
      </c>
      <c r="C255">
        <f>IF(Indices!G30="","",Indices!G30)</f>
        <v/>
      </c>
      <c r="D255">
        <f>IF(C255="",0,8110)</f>
        <v/>
      </c>
    </row>
    <row r="256">
      <c r="A256" t="inlineStr">
        <is>
          <t>ILAT</t>
        </is>
      </c>
      <c r="B256" t="inlineStr">
        <is>
          <t>2027-T3</t>
        </is>
      </c>
      <c r="C256">
        <f>IF(Indices!H30="","",Indices!H30)</f>
        <v/>
      </c>
      <c r="D256">
        <f>IF(C256="",0,8111)</f>
        <v/>
      </c>
    </row>
    <row r="257">
      <c r="A257" t="inlineStr">
        <is>
          <t>ILAT</t>
        </is>
      </c>
      <c r="B257" t="inlineStr">
        <is>
          <t>2027-T4</t>
        </is>
      </c>
      <c r="C257">
        <f>IF(Indices!I30="","",Indices!I30)</f>
        <v/>
      </c>
      <c r="D257">
        <f>IF(C257="",0,8112)</f>
        <v/>
      </c>
    </row>
    <row r="258">
      <c r="A258" t="inlineStr">
        <is>
          <t>ILAT</t>
        </is>
      </c>
      <c r="B258" t="inlineStr">
        <is>
          <t>2028-T1</t>
        </is>
      </c>
      <c r="C258">
        <f>IF(Indices!F31="","",Indices!F31)</f>
        <v/>
      </c>
      <c r="D258">
        <f>IF(C258="",0,8113)</f>
        <v/>
      </c>
    </row>
    <row r="259">
      <c r="A259" t="inlineStr">
        <is>
          <t>ILAT</t>
        </is>
      </c>
      <c r="B259" t="inlineStr">
        <is>
          <t>2028-T2</t>
        </is>
      </c>
      <c r="C259">
        <f>IF(Indices!G31="","",Indices!G31)</f>
        <v/>
      </c>
      <c r="D259">
        <f>IF(C259="",0,8114)</f>
        <v/>
      </c>
    </row>
    <row r="260">
      <c r="A260" t="inlineStr">
        <is>
          <t>ILAT</t>
        </is>
      </c>
      <c r="B260" t="inlineStr">
        <is>
          <t>2028-T3</t>
        </is>
      </c>
      <c r="C260">
        <f>IF(Indices!H31="","",Indices!H31)</f>
        <v/>
      </c>
      <c r="D260">
        <f>IF(C260="",0,8115)</f>
        <v/>
      </c>
    </row>
    <row r="261">
      <c r="A261" t="inlineStr">
        <is>
          <t>ILAT</t>
        </is>
      </c>
      <c r="B261" t="inlineStr">
        <is>
          <t>2028-T4</t>
        </is>
      </c>
      <c r="C261">
        <f>IF(Indices!I31="","",Indices!I31)</f>
        <v/>
      </c>
      <c r="D261">
        <f>IF(C261="",0,8116)</f>
        <v/>
      </c>
    </row>
    <row r="262">
      <c r="A262" t="inlineStr">
        <is>
          <t>ILAT</t>
        </is>
      </c>
      <c r="B262" t="inlineStr">
        <is>
          <t>2029-T1</t>
        </is>
      </c>
      <c r="C262">
        <f>IF(Indices!F32="","",Indices!F32)</f>
        <v/>
      </c>
      <c r="D262">
        <f>IF(C262="",0,8117)</f>
        <v/>
      </c>
    </row>
    <row r="263">
      <c r="A263" t="inlineStr">
        <is>
          <t>ILAT</t>
        </is>
      </c>
      <c r="B263" t="inlineStr">
        <is>
          <t>2029-T2</t>
        </is>
      </c>
      <c r="C263">
        <f>IF(Indices!G32="","",Indices!G32)</f>
        <v/>
      </c>
      <c r="D263">
        <f>IF(C263="",0,8118)</f>
        <v/>
      </c>
    </row>
    <row r="264">
      <c r="A264" t="inlineStr">
        <is>
          <t>ILAT</t>
        </is>
      </c>
      <c r="B264" t="inlineStr">
        <is>
          <t>2029-T3</t>
        </is>
      </c>
      <c r="C264">
        <f>IF(Indices!H32="","",Indices!H32)</f>
        <v/>
      </c>
      <c r="D264">
        <f>IF(C264="",0,8119)</f>
        <v/>
      </c>
    </row>
    <row r="265">
      <c r="A265" t="inlineStr">
        <is>
          <t>ILAT</t>
        </is>
      </c>
      <c r="B265" t="inlineStr">
        <is>
          <t>2029-T4</t>
        </is>
      </c>
      <c r="C265">
        <f>IF(Indices!I32="","",Indices!I32)</f>
        <v/>
      </c>
      <c r="D265">
        <f>IF(C265="",0,8120)</f>
        <v/>
      </c>
    </row>
    <row r="266">
      <c r="A266" t="inlineStr">
        <is>
          <t>ILAT</t>
        </is>
      </c>
      <c r="B266" t="inlineStr">
        <is>
          <t>2030-T1</t>
        </is>
      </c>
      <c r="C266">
        <f>IF(Indices!F33="","",Indices!F33)</f>
        <v/>
      </c>
      <c r="D266">
        <f>IF(C266="",0,8121)</f>
        <v/>
      </c>
    </row>
    <row r="267">
      <c r="A267" t="inlineStr">
        <is>
          <t>ILAT</t>
        </is>
      </c>
      <c r="B267" t="inlineStr">
        <is>
          <t>2030-T2</t>
        </is>
      </c>
      <c r="C267">
        <f>IF(Indices!G33="","",Indices!G33)</f>
        <v/>
      </c>
      <c r="D267">
        <f>IF(C267="",0,8122)</f>
        <v/>
      </c>
    </row>
    <row r="268">
      <c r="A268" t="inlineStr">
        <is>
          <t>ILAT</t>
        </is>
      </c>
      <c r="B268" t="inlineStr">
        <is>
          <t>2030-T3</t>
        </is>
      </c>
      <c r="C268">
        <f>IF(Indices!H33="","",Indices!H33)</f>
        <v/>
      </c>
      <c r="D268">
        <f>IF(C268="",0,8123)</f>
        <v/>
      </c>
    </row>
    <row r="269">
      <c r="A269" t="inlineStr">
        <is>
          <t>ILAT</t>
        </is>
      </c>
      <c r="B269" t="inlineStr">
        <is>
          <t>2030-T4</t>
        </is>
      </c>
      <c r="C269">
        <f>IF(Indices!I33="","",Indices!I33)</f>
        <v/>
      </c>
      <c r="D269">
        <f>IF(C269="",0,8124)</f>
        <v/>
      </c>
    </row>
    <row r="270">
      <c r="A270" t="inlineStr">
        <is>
          <t>ILAT</t>
        </is>
      </c>
      <c r="B270" t="inlineStr">
        <is>
          <t>2031-T1</t>
        </is>
      </c>
      <c r="C270">
        <f>IF(Indices!F34="","",Indices!F34)</f>
        <v/>
      </c>
      <c r="D270">
        <f>IF(C270="",0,8125)</f>
        <v/>
      </c>
    </row>
    <row r="271">
      <c r="A271" t="inlineStr">
        <is>
          <t>ILAT</t>
        </is>
      </c>
      <c r="B271" t="inlineStr">
        <is>
          <t>2031-T2</t>
        </is>
      </c>
      <c r="C271">
        <f>IF(Indices!G34="","",Indices!G34)</f>
        <v/>
      </c>
      <c r="D271">
        <f>IF(C271="",0,8126)</f>
        <v/>
      </c>
    </row>
    <row r="272">
      <c r="A272" t="inlineStr">
        <is>
          <t>ILAT</t>
        </is>
      </c>
      <c r="B272" t="inlineStr">
        <is>
          <t>2031-T3</t>
        </is>
      </c>
      <c r="C272">
        <f>IF(Indices!H34="","",Indices!H34)</f>
        <v/>
      </c>
      <c r="D272">
        <f>IF(C272="",0,8127)</f>
        <v/>
      </c>
    </row>
    <row r="273">
      <c r="A273" t="inlineStr">
        <is>
          <t>ILAT</t>
        </is>
      </c>
      <c r="B273" t="inlineStr">
        <is>
          <t>2031-T4</t>
        </is>
      </c>
      <c r="C273">
        <f>IF(Indices!I34="","",Indices!I34)</f>
        <v/>
      </c>
      <c r="D273">
        <f>IF(C273="",0,8128)</f>
        <v/>
      </c>
    </row>
    <row r="274">
      <c r="A274" t="inlineStr">
        <is>
          <t>ILAT</t>
        </is>
      </c>
      <c r="B274" t="inlineStr">
        <is>
          <t>2032-T1</t>
        </is>
      </c>
      <c r="C274">
        <f>IF(Indices!F35="","",Indices!F35)</f>
        <v/>
      </c>
      <c r="D274">
        <f>IF(C274="",0,8129)</f>
        <v/>
      </c>
    </row>
    <row r="275">
      <c r="A275" t="inlineStr">
        <is>
          <t>ILAT</t>
        </is>
      </c>
      <c r="B275" t="inlineStr">
        <is>
          <t>2032-T2</t>
        </is>
      </c>
      <c r="C275">
        <f>IF(Indices!G35="","",Indices!G35)</f>
        <v/>
      </c>
      <c r="D275">
        <f>IF(C275="",0,8130)</f>
        <v/>
      </c>
    </row>
    <row r="276">
      <c r="A276" t="inlineStr">
        <is>
          <t>ILAT</t>
        </is>
      </c>
      <c r="B276" t="inlineStr">
        <is>
          <t>2032-T3</t>
        </is>
      </c>
      <c r="C276">
        <f>IF(Indices!H35="","",Indices!H35)</f>
        <v/>
      </c>
      <c r="D276">
        <f>IF(C276="",0,8131)</f>
        <v/>
      </c>
    </row>
    <row r="277">
      <c r="A277" t="inlineStr">
        <is>
          <t>ILAT</t>
        </is>
      </c>
      <c r="B277" t="inlineStr">
        <is>
          <t>2032-T4</t>
        </is>
      </c>
      <c r="C277">
        <f>IF(Indices!I35="","",Indices!I35)</f>
        <v/>
      </c>
      <c r="D277">
        <f>IF(C277="",0,8132)</f>
        <v/>
      </c>
    </row>
    <row r="278">
      <c r="A278" t="inlineStr">
        <is>
          <t>ILAT</t>
        </is>
      </c>
      <c r="B278" t="inlineStr">
        <is>
          <t>2033-T1</t>
        </is>
      </c>
      <c r="C278">
        <f>IF(Indices!F36="","",Indices!F36)</f>
        <v/>
      </c>
      <c r="D278">
        <f>IF(C278="",0,8133)</f>
        <v/>
      </c>
    </row>
    <row r="279">
      <c r="A279" t="inlineStr">
        <is>
          <t>ILAT</t>
        </is>
      </c>
      <c r="B279" t="inlineStr">
        <is>
          <t>2033-T2</t>
        </is>
      </c>
      <c r="C279">
        <f>IF(Indices!G36="","",Indices!G36)</f>
        <v/>
      </c>
      <c r="D279">
        <f>IF(C279="",0,8134)</f>
        <v/>
      </c>
    </row>
    <row r="280">
      <c r="A280" t="inlineStr">
        <is>
          <t>ILAT</t>
        </is>
      </c>
      <c r="B280" t="inlineStr">
        <is>
          <t>2033-T3</t>
        </is>
      </c>
      <c r="C280">
        <f>IF(Indices!H36="","",Indices!H36)</f>
        <v/>
      </c>
      <c r="D280">
        <f>IF(C280="",0,8135)</f>
        <v/>
      </c>
    </row>
    <row r="281">
      <c r="A281" t="inlineStr">
        <is>
          <t>ILAT</t>
        </is>
      </c>
      <c r="B281" t="inlineStr">
        <is>
          <t>2033-T4</t>
        </is>
      </c>
      <c r="C281">
        <f>IF(Indices!I36="","",Indices!I36)</f>
        <v/>
      </c>
      <c r="D281">
        <f>IF(C281="",0,8136)</f>
        <v/>
      </c>
    </row>
    <row r="282">
      <c r="A282" t="inlineStr">
        <is>
          <t>ILAT</t>
        </is>
      </c>
      <c r="B282" t="inlineStr">
        <is>
          <t>2034-T1</t>
        </is>
      </c>
      <c r="C282">
        <f>IF(Indices!F37="","",Indices!F37)</f>
        <v/>
      </c>
      <c r="D282">
        <f>IF(C282="",0,8137)</f>
        <v/>
      </c>
    </row>
    <row r="283">
      <c r="A283" t="inlineStr">
        <is>
          <t>ILAT</t>
        </is>
      </c>
      <c r="B283" t="inlineStr">
        <is>
          <t>2034-T2</t>
        </is>
      </c>
      <c r="C283">
        <f>IF(Indices!G37="","",Indices!G37)</f>
        <v/>
      </c>
      <c r="D283">
        <f>IF(C283="",0,8138)</f>
        <v/>
      </c>
    </row>
    <row r="284">
      <c r="A284" t="inlineStr">
        <is>
          <t>ILAT</t>
        </is>
      </c>
      <c r="B284" t="inlineStr">
        <is>
          <t>2034-T3</t>
        </is>
      </c>
      <c r="C284">
        <f>IF(Indices!H37="","",Indices!H37)</f>
        <v/>
      </c>
      <c r="D284">
        <f>IF(C284="",0,8139)</f>
        <v/>
      </c>
    </row>
    <row r="285">
      <c r="A285" t="inlineStr">
        <is>
          <t>ILAT</t>
        </is>
      </c>
      <c r="B285" t="inlineStr">
        <is>
          <t>2034-T4</t>
        </is>
      </c>
      <c r="C285">
        <f>IF(Indices!I37="","",Indices!I37)</f>
        <v/>
      </c>
      <c r="D285">
        <f>IF(C285="",0,8140)</f>
        <v/>
      </c>
    </row>
    <row r="286">
      <c r="A286" t="inlineStr">
        <is>
          <t>ILAT</t>
        </is>
      </c>
      <c r="B286" t="inlineStr">
        <is>
          <t>2035-T1</t>
        </is>
      </c>
      <c r="C286">
        <f>IF(Indices!F38="","",Indices!F38)</f>
        <v/>
      </c>
      <c r="D286">
        <f>IF(C286="",0,8141)</f>
        <v/>
      </c>
    </row>
    <row r="287">
      <c r="A287" t="inlineStr">
        <is>
          <t>ILAT</t>
        </is>
      </c>
      <c r="B287" t="inlineStr">
        <is>
          <t>2035-T2</t>
        </is>
      </c>
      <c r="C287">
        <f>IF(Indices!G38="","",Indices!G38)</f>
        <v/>
      </c>
      <c r="D287">
        <f>IF(C287="",0,8142)</f>
        <v/>
      </c>
    </row>
    <row r="288">
      <c r="A288" t="inlineStr">
        <is>
          <t>ILAT</t>
        </is>
      </c>
      <c r="B288" t="inlineStr">
        <is>
          <t>2035-T3</t>
        </is>
      </c>
      <c r="C288">
        <f>IF(Indices!H38="","",Indices!H38)</f>
        <v/>
      </c>
      <c r="D288">
        <f>IF(C288="",0,8143)</f>
        <v/>
      </c>
    </row>
    <row r="289">
      <c r="A289" t="inlineStr">
        <is>
          <t>ILAT</t>
        </is>
      </c>
      <c r="B289" t="inlineStr">
        <is>
          <t>2035-T4</t>
        </is>
      </c>
      <c r="C289">
        <f>IF(Indices!I38="","",Indices!I38)</f>
        <v/>
      </c>
      <c r="D289">
        <f>IF(C289="",0,8144)</f>
        <v/>
      </c>
    </row>
    <row r="290">
      <c r="A290" t="inlineStr">
        <is>
          <t>ICC</t>
        </is>
      </c>
      <c r="B290" t="inlineStr">
        <is>
          <t>2000-T1</t>
        </is>
      </c>
      <c r="C290">
        <f>IF(Indices!J3="","",Indices!J3)</f>
        <v/>
      </c>
      <c r="D290">
        <f>IF(C290="",0,8001)</f>
        <v/>
      </c>
    </row>
    <row r="291">
      <c r="A291" t="inlineStr">
        <is>
          <t>ICC</t>
        </is>
      </c>
      <c r="B291" t="inlineStr">
        <is>
          <t>2000-T2</t>
        </is>
      </c>
      <c r="C291">
        <f>IF(Indices!K3="","",Indices!K3)</f>
        <v/>
      </c>
      <c r="D291">
        <f>IF(C291="",0,8002)</f>
        <v/>
      </c>
    </row>
    <row r="292">
      <c r="A292" t="inlineStr">
        <is>
          <t>ICC</t>
        </is>
      </c>
      <c r="B292" t="inlineStr">
        <is>
          <t>2000-T3</t>
        </is>
      </c>
      <c r="C292">
        <f>IF(Indices!L3="","",Indices!L3)</f>
        <v/>
      </c>
      <c r="D292">
        <f>IF(C292="",0,8003)</f>
        <v/>
      </c>
    </row>
    <row r="293">
      <c r="A293" t="inlineStr">
        <is>
          <t>ICC</t>
        </is>
      </c>
      <c r="B293" t="inlineStr">
        <is>
          <t>2000-T4</t>
        </is>
      </c>
      <c r="C293">
        <f>IF(Indices!M3="","",Indices!M3)</f>
        <v/>
      </c>
      <c r="D293">
        <f>IF(C293="",0,8004)</f>
        <v/>
      </c>
    </row>
    <row r="294">
      <c r="A294" t="inlineStr">
        <is>
          <t>ICC</t>
        </is>
      </c>
      <c r="B294" t="inlineStr">
        <is>
          <t>2001-T1</t>
        </is>
      </c>
      <c r="C294">
        <f>IF(Indices!J4="","",Indices!J4)</f>
        <v/>
      </c>
      <c r="D294">
        <f>IF(C294="",0,8005)</f>
        <v/>
      </c>
    </row>
    <row r="295">
      <c r="A295" t="inlineStr">
        <is>
          <t>ICC</t>
        </is>
      </c>
      <c r="B295" t="inlineStr">
        <is>
          <t>2001-T2</t>
        </is>
      </c>
      <c r="C295">
        <f>IF(Indices!K4="","",Indices!K4)</f>
        <v/>
      </c>
      <c r="D295">
        <f>IF(C295="",0,8006)</f>
        <v/>
      </c>
    </row>
    <row r="296">
      <c r="A296" t="inlineStr">
        <is>
          <t>ICC</t>
        </is>
      </c>
      <c r="B296" t="inlineStr">
        <is>
          <t>2001-T3</t>
        </is>
      </c>
      <c r="C296">
        <f>IF(Indices!L4="","",Indices!L4)</f>
        <v/>
      </c>
      <c r="D296">
        <f>IF(C296="",0,8007)</f>
        <v/>
      </c>
    </row>
    <row r="297">
      <c r="A297" t="inlineStr">
        <is>
          <t>ICC</t>
        </is>
      </c>
      <c r="B297" t="inlineStr">
        <is>
          <t>2001-T4</t>
        </is>
      </c>
      <c r="C297">
        <f>IF(Indices!M4="","",Indices!M4)</f>
        <v/>
      </c>
      <c r="D297">
        <f>IF(C297="",0,8008)</f>
        <v/>
      </c>
    </row>
    <row r="298">
      <c r="A298" t="inlineStr">
        <is>
          <t>ICC</t>
        </is>
      </c>
      <c r="B298" t="inlineStr">
        <is>
          <t>2002-T1</t>
        </is>
      </c>
      <c r="C298">
        <f>IF(Indices!J5="","",Indices!J5)</f>
        <v/>
      </c>
      <c r="D298">
        <f>IF(C298="",0,8009)</f>
        <v/>
      </c>
    </row>
    <row r="299">
      <c r="A299" t="inlineStr">
        <is>
          <t>ICC</t>
        </is>
      </c>
      <c r="B299" t="inlineStr">
        <is>
          <t>2002-T2</t>
        </is>
      </c>
      <c r="C299">
        <f>IF(Indices!K5="","",Indices!K5)</f>
        <v/>
      </c>
      <c r="D299">
        <f>IF(C299="",0,8010)</f>
        <v/>
      </c>
    </row>
    <row r="300">
      <c r="A300" t="inlineStr">
        <is>
          <t>ICC</t>
        </is>
      </c>
      <c r="B300" t="inlineStr">
        <is>
          <t>2002-T3</t>
        </is>
      </c>
      <c r="C300">
        <f>IF(Indices!L5="","",Indices!L5)</f>
        <v/>
      </c>
      <c r="D300">
        <f>IF(C300="",0,8011)</f>
        <v/>
      </c>
    </row>
    <row r="301">
      <c r="A301" t="inlineStr">
        <is>
          <t>ICC</t>
        </is>
      </c>
      <c r="B301" t="inlineStr">
        <is>
          <t>2002-T4</t>
        </is>
      </c>
      <c r="C301">
        <f>IF(Indices!M5="","",Indices!M5)</f>
        <v/>
      </c>
      <c r="D301">
        <f>IF(C301="",0,8012)</f>
        <v/>
      </c>
    </row>
    <row r="302">
      <c r="A302" t="inlineStr">
        <is>
          <t>ICC</t>
        </is>
      </c>
      <c r="B302" t="inlineStr">
        <is>
          <t>2003-T1</t>
        </is>
      </c>
      <c r="C302">
        <f>IF(Indices!J6="","",Indices!J6)</f>
        <v/>
      </c>
      <c r="D302">
        <f>IF(C302="",0,8013)</f>
        <v/>
      </c>
    </row>
    <row r="303">
      <c r="A303" t="inlineStr">
        <is>
          <t>ICC</t>
        </is>
      </c>
      <c r="B303" t="inlineStr">
        <is>
          <t>2003-T2</t>
        </is>
      </c>
      <c r="C303">
        <f>IF(Indices!K6="","",Indices!K6)</f>
        <v/>
      </c>
      <c r="D303">
        <f>IF(C303="",0,8014)</f>
        <v/>
      </c>
    </row>
    <row r="304">
      <c r="A304" t="inlineStr">
        <is>
          <t>ICC</t>
        </is>
      </c>
      <c r="B304" t="inlineStr">
        <is>
          <t>2003-T3</t>
        </is>
      </c>
      <c r="C304">
        <f>IF(Indices!L6="","",Indices!L6)</f>
        <v/>
      </c>
      <c r="D304">
        <f>IF(C304="",0,8015)</f>
        <v/>
      </c>
    </row>
    <row r="305">
      <c r="A305" t="inlineStr">
        <is>
          <t>ICC</t>
        </is>
      </c>
      <c r="B305" t="inlineStr">
        <is>
          <t>2003-T4</t>
        </is>
      </c>
      <c r="C305">
        <f>IF(Indices!M6="","",Indices!M6)</f>
        <v/>
      </c>
      <c r="D305">
        <f>IF(C305="",0,8016)</f>
        <v/>
      </c>
    </row>
    <row r="306">
      <c r="A306" t="inlineStr">
        <is>
          <t>ICC</t>
        </is>
      </c>
      <c r="B306" t="inlineStr">
        <is>
          <t>2004-T1</t>
        </is>
      </c>
      <c r="C306">
        <f>IF(Indices!J7="","",Indices!J7)</f>
        <v/>
      </c>
      <c r="D306">
        <f>IF(C306="",0,8017)</f>
        <v/>
      </c>
    </row>
    <row r="307">
      <c r="A307" t="inlineStr">
        <is>
          <t>ICC</t>
        </is>
      </c>
      <c r="B307" t="inlineStr">
        <is>
          <t>2004-T2</t>
        </is>
      </c>
      <c r="C307">
        <f>IF(Indices!K7="","",Indices!K7)</f>
        <v/>
      </c>
      <c r="D307">
        <f>IF(C307="",0,8018)</f>
        <v/>
      </c>
    </row>
    <row r="308">
      <c r="A308" t="inlineStr">
        <is>
          <t>ICC</t>
        </is>
      </c>
      <c r="B308" t="inlineStr">
        <is>
          <t>2004-T3</t>
        </is>
      </c>
      <c r="C308">
        <f>IF(Indices!L7="","",Indices!L7)</f>
        <v/>
      </c>
      <c r="D308">
        <f>IF(C308="",0,8019)</f>
        <v/>
      </c>
    </row>
    <row r="309">
      <c r="A309" t="inlineStr">
        <is>
          <t>ICC</t>
        </is>
      </c>
      <c r="B309" t="inlineStr">
        <is>
          <t>2004-T4</t>
        </is>
      </c>
      <c r="C309">
        <f>IF(Indices!M7="","",Indices!M7)</f>
        <v/>
      </c>
      <c r="D309">
        <f>IF(C309="",0,8020)</f>
        <v/>
      </c>
    </row>
    <row r="310">
      <c r="A310" t="inlineStr">
        <is>
          <t>ICC</t>
        </is>
      </c>
      <c r="B310" t="inlineStr">
        <is>
          <t>2005-T1</t>
        </is>
      </c>
      <c r="C310">
        <f>IF(Indices!J8="","",Indices!J8)</f>
        <v/>
      </c>
      <c r="D310">
        <f>IF(C310="",0,8021)</f>
        <v/>
      </c>
    </row>
    <row r="311">
      <c r="A311" t="inlineStr">
        <is>
          <t>ICC</t>
        </is>
      </c>
      <c r="B311" t="inlineStr">
        <is>
          <t>2005-T2</t>
        </is>
      </c>
      <c r="C311">
        <f>IF(Indices!K8="","",Indices!K8)</f>
        <v/>
      </c>
      <c r="D311">
        <f>IF(C311="",0,8022)</f>
        <v/>
      </c>
    </row>
    <row r="312">
      <c r="A312" t="inlineStr">
        <is>
          <t>ICC</t>
        </is>
      </c>
      <c r="B312" t="inlineStr">
        <is>
          <t>2005-T3</t>
        </is>
      </c>
      <c r="C312">
        <f>IF(Indices!L8="","",Indices!L8)</f>
        <v/>
      </c>
      <c r="D312">
        <f>IF(C312="",0,8023)</f>
        <v/>
      </c>
    </row>
    <row r="313">
      <c r="A313" t="inlineStr">
        <is>
          <t>ICC</t>
        </is>
      </c>
      <c r="B313" t="inlineStr">
        <is>
          <t>2005-T4</t>
        </is>
      </c>
      <c r="C313">
        <f>IF(Indices!M8="","",Indices!M8)</f>
        <v/>
      </c>
      <c r="D313">
        <f>IF(C313="",0,8024)</f>
        <v/>
      </c>
    </row>
    <row r="314">
      <c r="A314" t="inlineStr">
        <is>
          <t>ICC</t>
        </is>
      </c>
      <c r="B314" t="inlineStr">
        <is>
          <t>2006-T1</t>
        </is>
      </c>
      <c r="C314">
        <f>IF(Indices!J9="","",Indices!J9)</f>
        <v/>
      </c>
      <c r="D314">
        <f>IF(C314="",0,8025)</f>
        <v/>
      </c>
    </row>
    <row r="315">
      <c r="A315" t="inlineStr">
        <is>
          <t>ICC</t>
        </is>
      </c>
      <c r="B315" t="inlineStr">
        <is>
          <t>2006-T2</t>
        </is>
      </c>
      <c r="C315">
        <f>IF(Indices!K9="","",Indices!K9)</f>
        <v/>
      </c>
      <c r="D315">
        <f>IF(C315="",0,8026)</f>
        <v/>
      </c>
    </row>
    <row r="316">
      <c r="A316" t="inlineStr">
        <is>
          <t>ICC</t>
        </is>
      </c>
      <c r="B316" t="inlineStr">
        <is>
          <t>2006-T3</t>
        </is>
      </c>
      <c r="C316">
        <f>IF(Indices!L9="","",Indices!L9)</f>
        <v/>
      </c>
      <c r="D316">
        <f>IF(C316="",0,8027)</f>
        <v/>
      </c>
    </row>
    <row r="317">
      <c r="A317" t="inlineStr">
        <is>
          <t>ICC</t>
        </is>
      </c>
      <c r="B317" t="inlineStr">
        <is>
          <t>2006-T4</t>
        </is>
      </c>
      <c r="C317">
        <f>IF(Indices!M9="","",Indices!M9)</f>
        <v/>
      </c>
      <c r="D317">
        <f>IF(C317="",0,8028)</f>
        <v/>
      </c>
    </row>
    <row r="318">
      <c r="A318" t="inlineStr">
        <is>
          <t>ICC</t>
        </is>
      </c>
      <c r="B318" t="inlineStr">
        <is>
          <t>2007-T1</t>
        </is>
      </c>
      <c r="C318">
        <f>IF(Indices!J10="","",Indices!J10)</f>
        <v/>
      </c>
      <c r="D318">
        <f>IF(C318="",0,8029)</f>
        <v/>
      </c>
    </row>
    <row r="319">
      <c r="A319" t="inlineStr">
        <is>
          <t>ICC</t>
        </is>
      </c>
      <c r="B319" t="inlineStr">
        <is>
          <t>2007-T2</t>
        </is>
      </c>
      <c r="C319">
        <f>IF(Indices!K10="","",Indices!K10)</f>
        <v/>
      </c>
      <c r="D319">
        <f>IF(C319="",0,8030)</f>
        <v/>
      </c>
    </row>
    <row r="320">
      <c r="A320" t="inlineStr">
        <is>
          <t>ICC</t>
        </is>
      </c>
      <c r="B320" t="inlineStr">
        <is>
          <t>2007-T3</t>
        </is>
      </c>
      <c r="C320">
        <f>IF(Indices!L10="","",Indices!L10)</f>
        <v/>
      </c>
      <c r="D320">
        <f>IF(C320="",0,8031)</f>
        <v/>
      </c>
    </row>
    <row r="321">
      <c r="A321" t="inlineStr">
        <is>
          <t>ICC</t>
        </is>
      </c>
      <c r="B321" t="inlineStr">
        <is>
          <t>2007-T4</t>
        </is>
      </c>
      <c r="C321">
        <f>IF(Indices!M10="","",Indices!M10)</f>
        <v/>
      </c>
      <c r="D321">
        <f>IF(C321="",0,8032)</f>
        <v/>
      </c>
    </row>
    <row r="322">
      <c r="A322" t="inlineStr">
        <is>
          <t>ICC</t>
        </is>
      </c>
      <c r="B322" t="inlineStr">
        <is>
          <t>2008-T1</t>
        </is>
      </c>
      <c r="C322">
        <f>IF(Indices!J11="","",Indices!J11)</f>
        <v/>
      </c>
      <c r="D322">
        <f>IF(C322="",0,8033)</f>
        <v/>
      </c>
    </row>
    <row r="323">
      <c r="A323" t="inlineStr">
        <is>
          <t>ICC</t>
        </is>
      </c>
      <c r="B323" t="inlineStr">
        <is>
          <t>2008-T2</t>
        </is>
      </c>
      <c r="C323">
        <f>IF(Indices!K11="","",Indices!K11)</f>
        <v/>
      </c>
      <c r="D323">
        <f>IF(C323="",0,8034)</f>
        <v/>
      </c>
    </row>
    <row r="324">
      <c r="A324" t="inlineStr">
        <is>
          <t>ICC</t>
        </is>
      </c>
      <c r="B324" t="inlineStr">
        <is>
          <t>2008-T3</t>
        </is>
      </c>
      <c r="C324">
        <f>IF(Indices!L11="","",Indices!L11)</f>
        <v/>
      </c>
      <c r="D324">
        <f>IF(C324="",0,8035)</f>
        <v/>
      </c>
    </row>
    <row r="325">
      <c r="A325" t="inlineStr">
        <is>
          <t>ICC</t>
        </is>
      </c>
      <c r="B325" t="inlineStr">
        <is>
          <t>2008-T4</t>
        </is>
      </c>
      <c r="C325">
        <f>IF(Indices!M11="","",Indices!M11)</f>
        <v/>
      </c>
      <c r="D325">
        <f>IF(C325="",0,8036)</f>
        <v/>
      </c>
    </row>
    <row r="326">
      <c r="A326" t="inlineStr">
        <is>
          <t>ICC</t>
        </is>
      </c>
      <c r="B326" t="inlineStr">
        <is>
          <t>2009-T1</t>
        </is>
      </c>
      <c r="C326">
        <f>IF(Indices!J12="","",Indices!J12)</f>
        <v/>
      </c>
      <c r="D326">
        <f>IF(C326="",0,8037)</f>
        <v/>
      </c>
    </row>
    <row r="327">
      <c r="A327" t="inlineStr">
        <is>
          <t>ICC</t>
        </is>
      </c>
      <c r="B327" t="inlineStr">
        <is>
          <t>2009-T2</t>
        </is>
      </c>
      <c r="C327">
        <f>IF(Indices!K12="","",Indices!K12)</f>
        <v/>
      </c>
      <c r="D327">
        <f>IF(C327="",0,8038)</f>
        <v/>
      </c>
    </row>
    <row r="328">
      <c r="A328" t="inlineStr">
        <is>
          <t>ICC</t>
        </is>
      </c>
      <c r="B328" t="inlineStr">
        <is>
          <t>2009-T3</t>
        </is>
      </c>
      <c r="C328">
        <f>IF(Indices!L12="","",Indices!L12)</f>
        <v/>
      </c>
      <c r="D328">
        <f>IF(C328="",0,8039)</f>
        <v/>
      </c>
    </row>
    <row r="329">
      <c r="A329" t="inlineStr">
        <is>
          <t>ICC</t>
        </is>
      </c>
      <c r="B329" t="inlineStr">
        <is>
          <t>2009-T4</t>
        </is>
      </c>
      <c r="C329">
        <f>IF(Indices!M12="","",Indices!M12)</f>
        <v/>
      </c>
      <c r="D329">
        <f>IF(C329="",0,8040)</f>
        <v/>
      </c>
    </row>
    <row r="330">
      <c r="A330" t="inlineStr">
        <is>
          <t>ICC</t>
        </is>
      </c>
      <c r="B330" t="inlineStr">
        <is>
          <t>2010-T1</t>
        </is>
      </c>
      <c r="C330">
        <f>IF(Indices!J13="","",Indices!J13)</f>
        <v/>
      </c>
      <c r="D330">
        <f>IF(C330="",0,8041)</f>
        <v/>
      </c>
    </row>
    <row r="331">
      <c r="A331" t="inlineStr">
        <is>
          <t>ICC</t>
        </is>
      </c>
      <c r="B331" t="inlineStr">
        <is>
          <t>2010-T2</t>
        </is>
      </c>
      <c r="C331">
        <f>IF(Indices!K13="","",Indices!K13)</f>
        <v/>
      </c>
      <c r="D331">
        <f>IF(C331="",0,8042)</f>
        <v/>
      </c>
    </row>
    <row r="332">
      <c r="A332" t="inlineStr">
        <is>
          <t>ICC</t>
        </is>
      </c>
      <c r="B332" t="inlineStr">
        <is>
          <t>2010-T3</t>
        </is>
      </c>
      <c r="C332">
        <f>IF(Indices!L13="","",Indices!L13)</f>
        <v/>
      </c>
      <c r="D332">
        <f>IF(C332="",0,8043)</f>
        <v/>
      </c>
    </row>
    <row r="333">
      <c r="A333" t="inlineStr">
        <is>
          <t>ICC</t>
        </is>
      </c>
      <c r="B333" t="inlineStr">
        <is>
          <t>2010-T4</t>
        </is>
      </c>
      <c r="C333">
        <f>IF(Indices!M13="","",Indices!M13)</f>
        <v/>
      </c>
      <c r="D333">
        <f>IF(C333="",0,8044)</f>
        <v/>
      </c>
    </row>
    <row r="334">
      <c r="A334" t="inlineStr">
        <is>
          <t>ICC</t>
        </is>
      </c>
      <c r="B334" t="inlineStr">
        <is>
          <t>2011-T1</t>
        </is>
      </c>
      <c r="C334">
        <f>IF(Indices!J14="","",Indices!J14)</f>
        <v/>
      </c>
      <c r="D334">
        <f>IF(C334="",0,8045)</f>
        <v/>
      </c>
    </row>
    <row r="335">
      <c r="A335" t="inlineStr">
        <is>
          <t>ICC</t>
        </is>
      </c>
      <c r="B335" t="inlineStr">
        <is>
          <t>2011-T2</t>
        </is>
      </c>
      <c r="C335">
        <f>IF(Indices!K14="","",Indices!K14)</f>
        <v/>
      </c>
      <c r="D335">
        <f>IF(C335="",0,8046)</f>
        <v/>
      </c>
    </row>
    <row r="336">
      <c r="A336" t="inlineStr">
        <is>
          <t>ICC</t>
        </is>
      </c>
      <c r="B336" t="inlineStr">
        <is>
          <t>2011-T3</t>
        </is>
      </c>
      <c r="C336">
        <f>IF(Indices!L14="","",Indices!L14)</f>
        <v/>
      </c>
      <c r="D336">
        <f>IF(C336="",0,8047)</f>
        <v/>
      </c>
    </row>
    <row r="337">
      <c r="A337" t="inlineStr">
        <is>
          <t>ICC</t>
        </is>
      </c>
      <c r="B337" t="inlineStr">
        <is>
          <t>2011-T4</t>
        </is>
      </c>
      <c r="C337">
        <f>IF(Indices!M14="","",Indices!M14)</f>
        <v/>
      </c>
      <c r="D337">
        <f>IF(C337="",0,8048)</f>
        <v/>
      </c>
    </row>
    <row r="338">
      <c r="A338" t="inlineStr">
        <is>
          <t>ICC</t>
        </is>
      </c>
      <c r="B338" t="inlineStr">
        <is>
          <t>2012-T1</t>
        </is>
      </c>
      <c r="C338">
        <f>IF(Indices!J15="","",Indices!J15)</f>
        <v/>
      </c>
      <c r="D338">
        <f>IF(C338="",0,8049)</f>
        <v/>
      </c>
    </row>
    <row r="339">
      <c r="A339" t="inlineStr">
        <is>
          <t>ICC</t>
        </is>
      </c>
      <c r="B339" t="inlineStr">
        <is>
          <t>2012-T2</t>
        </is>
      </c>
      <c r="C339">
        <f>IF(Indices!K15="","",Indices!K15)</f>
        <v/>
      </c>
      <c r="D339">
        <f>IF(C339="",0,8050)</f>
        <v/>
      </c>
    </row>
    <row r="340">
      <c r="A340" t="inlineStr">
        <is>
          <t>ICC</t>
        </is>
      </c>
      <c r="B340" t="inlineStr">
        <is>
          <t>2012-T3</t>
        </is>
      </c>
      <c r="C340">
        <f>IF(Indices!L15="","",Indices!L15)</f>
        <v/>
      </c>
      <c r="D340">
        <f>IF(C340="",0,8051)</f>
        <v/>
      </c>
    </row>
    <row r="341">
      <c r="A341" t="inlineStr">
        <is>
          <t>ICC</t>
        </is>
      </c>
      <c r="B341" t="inlineStr">
        <is>
          <t>2012-T4</t>
        </is>
      </c>
      <c r="C341">
        <f>IF(Indices!M15="","",Indices!M15)</f>
        <v/>
      </c>
      <c r="D341">
        <f>IF(C341="",0,8052)</f>
        <v/>
      </c>
    </row>
    <row r="342">
      <c r="A342" t="inlineStr">
        <is>
          <t>ICC</t>
        </is>
      </c>
      <c r="B342" t="inlineStr">
        <is>
          <t>2013-T1</t>
        </is>
      </c>
      <c r="C342">
        <f>IF(Indices!J16="","",Indices!J16)</f>
        <v/>
      </c>
      <c r="D342">
        <f>IF(C342="",0,8053)</f>
        <v/>
      </c>
    </row>
    <row r="343">
      <c r="A343" t="inlineStr">
        <is>
          <t>ICC</t>
        </is>
      </c>
      <c r="B343" t="inlineStr">
        <is>
          <t>2013-T2</t>
        </is>
      </c>
      <c r="C343">
        <f>IF(Indices!K16="","",Indices!K16)</f>
        <v/>
      </c>
      <c r="D343">
        <f>IF(C343="",0,8054)</f>
        <v/>
      </c>
    </row>
    <row r="344">
      <c r="A344" t="inlineStr">
        <is>
          <t>ICC</t>
        </is>
      </c>
      <c r="B344" t="inlineStr">
        <is>
          <t>2013-T3</t>
        </is>
      </c>
      <c r="C344">
        <f>IF(Indices!L16="","",Indices!L16)</f>
        <v/>
      </c>
      <c r="D344">
        <f>IF(C344="",0,8055)</f>
        <v/>
      </c>
    </row>
    <row r="345">
      <c r="A345" t="inlineStr">
        <is>
          <t>ICC</t>
        </is>
      </c>
      <c r="B345" t="inlineStr">
        <is>
          <t>2013-T4</t>
        </is>
      </c>
      <c r="C345">
        <f>IF(Indices!M16="","",Indices!M16)</f>
        <v/>
      </c>
      <c r="D345">
        <f>IF(C345="",0,8056)</f>
        <v/>
      </c>
    </row>
    <row r="346">
      <c r="A346" t="inlineStr">
        <is>
          <t>ICC</t>
        </is>
      </c>
      <c r="B346" t="inlineStr">
        <is>
          <t>2014-T1</t>
        </is>
      </c>
      <c r="C346">
        <f>IF(Indices!J17="","",Indices!J17)</f>
        <v/>
      </c>
      <c r="D346">
        <f>IF(C346="",0,8057)</f>
        <v/>
      </c>
    </row>
    <row r="347">
      <c r="A347" t="inlineStr">
        <is>
          <t>ICC</t>
        </is>
      </c>
      <c r="B347" t="inlineStr">
        <is>
          <t>2014-T2</t>
        </is>
      </c>
      <c r="C347">
        <f>IF(Indices!K17="","",Indices!K17)</f>
        <v/>
      </c>
      <c r="D347">
        <f>IF(C347="",0,8058)</f>
        <v/>
      </c>
    </row>
    <row r="348">
      <c r="A348" t="inlineStr">
        <is>
          <t>ICC</t>
        </is>
      </c>
      <c r="B348" t="inlineStr">
        <is>
          <t>2014-T3</t>
        </is>
      </c>
      <c r="C348">
        <f>IF(Indices!L17="","",Indices!L17)</f>
        <v/>
      </c>
      <c r="D348">
        <f>IF(C348="",0,8059)</f>
        <v/>
      </c>
    </row>
    <row r="349">
      <c r="A349" t="inlineStr">
        <is>
          <t>ICC</t>
        </is>
      </c>
      <c r="B349" t="inlineStr">
        <is>
          <t>2014-T4</t>
        </is>
      </c>
      <c r="C349">
        <f>IF(Indices!M17="","",Indices!M17)</f>
        <v/>
      </c>
      <c r="D349">
        <f>IF(C349="",0,8060)</f>
        <v/>
      </c>
    </row>
    <row r="350">
      <c r="A350" t="inlineStr">
        <is>
          <t>ICC</t>
        </is>
      </c>
      <c r="B350" t="inlineStr">
        <is>
          <t>2015-T1</t>
        </is>
      </c>
      <c r="C350">
        <f>IF(Indices!J18="","",Indices!J18)</f>
        <v/>
      </c>
      <c r="D350">
        <f>IF(C350="",0,8061)</f>
        <v/>
      </c>
    </row>
    <row r="351">
      <c r="A351" t="inlineStr">
        <is>
          <t>ICC</t>
        </is>
      </c>
      <c r="B351" t="inlineStr">
        <is>
          <t>2015-T2</t>
        </is>
      </c>
      <c r="C351">
        <f>IF(Indices!K18="","",Indices!K18)</f>
        <v/>
      </c>
      <c r="D351">
        <f>IF(C351="",0,8062)</f>
        <v/>
      </c>
    </row>
    <row r="352">
      <c r="A352" t="inlineStr">
        <is>
          <t>ICC</t>
        </is>
      </c>
      <c r="B352" t="inlineStr">
        <is>
          <t>2015-T3</t>
        </is>
      </c>
      <c r="C352">
        <f>IF(Indices!L18="","",Indices!L18)</f>
        <v/>
      </c>
      <c r="D352">
        <f>IF(C352="",0,8063)</f>
        <v/>
      </c>
    </row>
    <row r="353">
      <c r="A353" t="inlineStr">
        <is>
          <t>ICC</t>
        </is>
      </c>
      <c r="B353" t="inlineStr">
        <is>
          <t>2015-T4</t>
        </is>
      </c>
      <c r="C353">
        <f>IF(Indices!M18="","",Indices!M18)</f>
        <v/>
      </c>
      <c r="D353">
        <f>IF(C353="",0,8064)</f>
        <v/>
      </c>
    </row>
    <row r="354">
      <c r="A354" t="inlineStr">
        <is>
          <t>ICC</t>
        </is>
      </c>
      <c r="B354" t="inlineStr">
        <is>
          <t>2016-T1</t>
        </is>
      </c>
      <c r="C354">
        <f>IF(Indices!J19="","",Indices!J19)</f>
        <v/>
      </c>
      <c r="D354">
        <f>IF(C354="",0,8065)</f>
        <v/>
      </c>
    </row>
    <row r="355">
      <c r="A355" t="inlineStr">
        <is>
          <t>ICC</t>
        </is>
      </c>
      <c r="B355" t="inlineStr">
        <is>
          <t>2016-T2</t>
        </is>
      </c>
      <c r="C355">
        <f>IF(Indices!K19="","",Indices!K19)</f>
        <v/>
      </c>
      <c r="D355">
        <f>IF(C355="",0,8066)</f>
        <v/>
      </c>
    </row>
    <row r="356">
      <c r="A356" t="inlineStr">
        <is>
          <t>ICC</t>
        </is>
      </c>
      <c r="B356" t="inlineStr">
        <is>
          <t>2016-T3</t>
        </is>
      </c>
      <c r="C356">
        <f>IF(Indices!L19="","",Indices!L19)</f>
        <v/>
      </c>
      <c r="D356">
        <f>IF(C356="",0,8067)</f>
        <v/>
      </c>
    </row>
    <row r="357">
      <c r="A357" t="inlineStr">
        <is>
          <t>ICC</t>
        </is>
      </c>
      <c r="B357" t="inlineStr">
        <is>
          <t>2016-T4</t>
        </is>
      </c>
      <c r="C357">
        <f>IF(Indices!M19="","",Indices!M19)</f>
        <v/>
      </c>
      <c r="D357">
        <f>IF(C357="",0,8068)</f>
        <v/>
      </c>
    </row>
    <row r="358">
      <c r="A358" t="inlineStr">
        <is>
          <t>ICC</t>
        </is>
      </c>
      <c r="B358" t="inlineStr">
        <is>
          <t>2017-T1</t>
        </is>
      </c>
      <c r="C358">
        <f>IF(Indices!J20="","",Indices!J20)</f>
        <v/>
      </c>
      <c r="D358">
        <f>IF(C358="",0,8069)</f>
        <v/>
      </c>
    </row>
    <row r="359">
      <c r="A359" t="inlineStr">
        <is>
          <t>ICC</t>
        </is>
      </c>
      <c r="B359" t="inlineStr">
        <is>
          <t>2017-T2</t>
        </is>
      </c>
      <c r="C359">
        <f>IF(Indices!K20="","",Indices!K20)</f>
        <v/>
      </c>
      <c r="D359">
        <f>IF(C359="",0,8070)</f>
        <v/>
      </c>
    </row>
    <row r="360">
      <c r="A360" t="inlineStr">
        <is>
          <t>ICC</t>
        </is>
      </c>
      <c r="B360" t="inlineStr">
        <is>
          <t>2017-T3</t>
        </is>
      </c>
      <c r="C360">
        <f>IF(Indices!L20="","",Indices!L20)</f>
        <v/>
      </c>
      <c r="D360">
        <f>IF(C360="",0,8071)</f>
        <v/>
      </c>
    </row>
    <row r="361">
      <c r="A361" t="inlineStr">
        <is>
          <t>ICC</t>
        </is>
      </c>
      <c r="B361" t="inlineStr">
        <is>
          <t>2017-T4</t>
        </is>
      </c>
      <c r="C361">
        <f>IF(Indices!M20="","",Indices!M20)</f>
        <v/>
      </c>
      <c r="D361">
        <f>IF(C361="",0,8072)</f>
        <v/>
      </c>
    </row>
    <row r="362">
      <c r="A362" t="inlineStr">
        <is>
          <t>ICC</t>
        </is>
      </c>
      <c r="B362" t="inlineStr">
        <is>
          <t>2018-T1</t>
        </is>
      </c>
      <c r="C362">
        <f>IF(Indices!J21="","",Indices!J21)</f>
        <v/>
      </c>
      <c r="D362">
        <f>IF(C362="",0,8073)</f>
        <v/>
      </c>
    </row>
    <row r="363">
      <c r="A363" t="inlineStr">
        <is>
          <t>ICC</t>
        </is>
      </c>
      <c r="B363" t="inlineStr">
        <is>
          <t>2018-T2</t>
        </is>
      </c>
      <c r="C363">
        <f>IF(Indices!K21="","",Indices!K21)</f>
        <v/>
      </c>
      <c r="D363">
        <f>IF(C363="",0,8074)</f>
        <v/>
      </c>
    </row>
    <row r="364">
      <c r="A364" t="inlineStr">
        <is>
          <t>ICC</t>
        </is>
      </c>
      <c r="B364" t="inlineStr">
        <is>
          <t>2018-T3</t>
        </is>
      </c>
      <c r="C364">
        <f>IF(Indices!L21="","",Indices!L21)</f>
        <v/>
      </c>
      <c r="D364">
        <f>IF(C364="",0,8075)</f>
        <v/>
      </c>
    </row>
    <row r="365">
      <c r="A365" t="inlineStr">
        <is>
          <t>ICC</t>
        </is>
      </c>
      <c r="B365" t="inlineStr">
        <is>
          <t>2018-T4</t>
        </is>
      </c>
      <c r="C365">
        <f>IF(Indices!M21="","",Indices!M21)</f>
        <v/>
      </c>
      <c r="D365">
        <f>IF(C365="",0,8076)</f>
        <v/>
      </c>
    </row>
    <row r="366">
      <c r="A366" t="inlineStr">
        <is>
          <t>ICC</t>
        </is>
      </c>
      <c r="B366" t="inlineStr">
        <is>
          <t>2019-T1</t>
        </is>
      </c>
      <c r="C366">
        <f>IF(Indices!J22="","",Indices!J22)</f>
        <v/>
      </c>
      <c r="D366">
        <f>IF(C366="",0,8077)</f>
        <v/>
      </c>
    </row>
    <row r="367">
      <c r="A367" t="inlineStr">
        <is>
          <t>ICC</t>
        </is>
      </c>
      <c r="B367" t="inlineStr">
        <is>
          <t>2019-T2</t>
        </is>
      </c>
      <c r="C367">
        <f>IF(Indices!K22="","",Indices!K22)</f>
        <v/>
      </c>
      <c r="D367">
        <f>IF(C367="",0,8078)</f>
        <v/>
      </c>
    </row>
    <row r="368">
      <c r="A368" t="inlineStr">
        <is>
          <t>ICC</t>
        </is>
      </c>
      <c r="B368" t="inlineStr">
        <is>
          <t>2019-T3</t>
        </is>
      </c>
      <c r="C368">
        <f>IF(Indices!L22="","",Indices!L22)</f>
        <v/>
      </c>
      <c r="D368">
        <f>IF(C368="",0,8079)</f>
        <v/>
      </c>
    </row>
    <row r="369">
      <c r="A369" t="inlineStr">
        <is>
          <t>ICC</t>
        </is>
      </c>
      <c r="B369" t="inlineStr">
        <is>
          <t>2019-T4</t>
        </is>
      </c>
      <c r="C369">
        <f>IF(Indices!M22="","",Indices!M22)</f>
        <v/>
      </c>
      <c r="D369">
        <f>IF(C369="",0,8080)</f>
        <v/>
      </c>
    </row>
    <row r="370">
      <c r="A370" t="inlineStr">
        <is>
          <t>ICC</t>
        </is>
      </c>
      <c r="B370" t="inlineStr">
        <is>
          <t>2020-T1</t>
        </is>
      </c>
      <c r="C370">
        <f>IF(Indices!J23="","",Indices!J23)</f>
        <v/>
      </c>
      <c r="D370">
        <f>IF(C370="",0,8081)</f>
        <v/>
      </c>
    </row>
    <row r="371">
      <c r="A371" t="inlineStr">
        <is>
          <t>ICC</t>
        </is>
      </c>
      <c r="B371" t="inlineStr">
        <is>
          <t>2020-T2</t>
        </is>
      </c>
      <c r="C371">
        <f>IF(Indices!K23="","",Indices!K23)</f>
        <v/>
      </c>
      <c r="D371">
        <f>IF(C371="",0,8082)</f>
        <v/>
      </c>
    </row>
    <row r="372">
      <c r="A372" t="inlineStr">
        <is>
          <t>ICC</t>
        </is>
      </c>
      <c r="B372" t="inlineStr">
        <is>
          <t>2020-T3</t>
        </is>
      </c>
      <c r="C372">
        <f>IF(Indices!L23="","",Indices!L23)</f>
        <v/>
      </c>
      <c r="D372">
        <f>IF(C372="",0,8083)</f>
        <v/>
      </c>
    </row>
    <row r="373">
      <c r="A373" t="inlineStr">
        <is>
          <t>ICC</t>
        </is>
      </c>
      <c r="B373" t="inlineStr">
        <is>
          <t>2020-T4</t>
        </is>
      </c>
      <c r="C373">
        <f>IF(Indices!M23="","",Indices!M23)</f>
        <v/>
      </c>
      <c r="D373">
        <f>IF(C373="",0,8084)</f>
        <v/>
      </c>
    </row>
    <row r="374">
      <c r="A374" t="inlineStr">
        <is>
          <t>ICC</t>
        </is>
      </c>
      <c r="B374" t="inlineStr">
        <is>
          <t>2021-T1</t>
        </is>
      </c>
      <c r="C374">
        <f>IF(Indices!J24="","",Indices!J24)</f>
        <v/>
      </c>
      <c r="D374">
        <f>IF(C374="",0,8085)</f>
        <v/>
      </c>
    </row>
    <row r="375">
      <c r="A375" t="inlineStr">
        <is>
          <t>ICC</t>
        </is>
      </c>
      <c r="B375" t="inlineStr">
        <is>
          <t>2021-T2</t>
        </is>
      </c>
      <c r="C375">
        <f>IF(Indices!K24="","",Indices!K24)</f>
        <v/>
      </c>
      <c r="D375">
        <f>IF(C375="",0,8086)</f>
        <v/>
      </c>
    </row>
    <row r="376">
      <c r="A376" t="inlineStr">
        <is>
          <t>ICC</t>
        </is>
      </c>
      <c r="B376" t="inlineStr">
        <is>
          <t>2021-T3</t>
        </is>
      </c>
      <c r="C376">
        <f>IF(Indices!L24="","",Indices!L24)</f>
        <v/>
      </c>
      <c r="D376">
        <f>IF(C376="",0,8087)</f>
        <v/>
      </c>
    </row>
    <row r="377">
      <c r="A377" t="inlineStr">
        <is>
          <t>ICC</t>
        </is>
      </c>
      <c r="B377" t="inlineStr">
        <is>
          <t>2021-T4</t>
        </is>
      </c>
      <c r="C377">
        <f>IF(Indices!M24="","",Indices!M24)</f>
        <v/>
      </c>
      <c r="D377">
        <f>IF(C377="",0,8088)</f>
        <v/>
      </c>
    </row>
    <row r="378">
      <c r="A378" t="inlineStr">
        <is>
          <t>ICC</t>
        </is>
      </c>
      <c r="B378" t="inlineStr">
        <is>
          <t>2022-T1</t>
        </is>
      </c>
      <c r="C378">
        <f>IF(Indices!J25="","",Indices!J25)</f>
        <v/>
      </c>
      <c r="D378">
        <f>IF(C378="",0,8089)</f>
        <v/>
      </c>
    </row>
    <row r="379">
      <c r="A379" t="inlineStr">
        <is>
          <t>ICC</t>
        </is>
      </c>
      <c r="B379" t="inlineStr">
        <is>
          <t>2022-T2</t>
        </is>
      </c>
      <c r="C379">
        <f>IF(Indices!K25="","",Indices!K25)</f>
        <v/>
      </c>
      <c r="D379">
        <f>IF(C379="",0,8090)</f>
        <v/>
      </c>
    </row>
    <row r="380">
      <c r="A380" t="inlineStr">
        <is>
          <t>ICC</t>
        </is>
      </c>
      <c r="B380" t="inlineStr">
        <is>
          <t>2022-T3</t>
        </is>
      </c>
      <c r="C380">
        <f>IF(Indices!L25="","",Indices!L25)</f>
        <v/>
      </c>
      <c r="D380">
        <f>IF(C380="",0,8091)</f>
        <v/>
      </c>
    </row>
    <row r="381">
      <c r="A381" t="inlineStr">
        <is>
          <t>ICC</t>
        </is>
      </c>
      <c r="B381" t="inlineStr">
        <is>
          <t>2022-T4</t>
        </is>
      </c>
      <c r="C381">
        <f>IF(Indices!M25="","",Indices!M25)</f>
        <v/>
      </c>
      <c r="D381">
        <f>IF(C381="",0,8092)</f>
        <v/>
      </c>
    </row>
    <row r="382">
      <c r="A382" t="inlineStr">
        <is>
          <t>ICC</t>
        </is>
      </c>
      <c r="B382" t="inlineStr">
        <is>
          <t>2023-T1</t>
        </is>
      </c>
      <c r="C382">
        <f>IF(Indices!J26="","",Indices!J26)</f>
        <v/>
      </c>
      <c r="D382">
        <f>IF(C382="",0,8093)</f>
        <v/>
      </c>
    </row>
    <row r="383">
      <c r="A383" t="inlineStr">
        <is>
          <t>ICC</t>
        </is>
      </c>
      <c r="B383" t="inlineStr">
        <is>
          <t>2023-T2</t>
        </is>
      </c>
      <c r="C383">
        <f>IF(Indices!K26="","",Indices!K26)</f>
        <v/>
      </c>
      <c r="D383">
        <f>IF(C383="",0,8094)</f>
        <v/>
      </c>
    </row>
    <row r="384">
      <c r="A384" t="inlineStr">
        <is>
          <t>ICC</t>
        </is>
      </c>
      <c r="B384" t="inlineStr">
        <is>
          <t>2023-T3</t>
        </is>
      </c>
      <c r="C384">
        <f>IF(Indices!L26="","",Indices!L26)</f>
        <v/>
      </c>
      <c r="D384">
        <f>IF(C384="",0,8095)</f>
        <v/>
      </c>
    </row>
    <row r="385">
      <c r="A385" t="inlineStr">
        <is>
          <t>ICC</t>
        </is>
      </c>
      <c r="B385" t="inlineStr">
        <is>
          <t>2023-T4</t>
        </is>
      </c>
      <c r="C385">
        <f>IF(Indices!M26="","",Indices!M26)</f>
        <v/>
      </c>
      <c r="D385">
        <f>IF(C385="",0,8096)</f>
        <v/>
      </c>
    </row>
    <row r="386">
      <c r="A386" t="inlineStr">
        <is>
          <t>ICC</t>
        </is>
      </c>
      <c r="B386" t="inlineStr">
        <is>
          <t>2024-T1</t>
        </is>
      </c>
      <c r="C386">
        <f>IF(Indices!J27="","",Indices!J27)</f>
        <v/>
      </c>
      <c r="D386">
        <f>IF(C386="",0,8097)</f>
        <v/>
      </c>
    </row>
    <row r="387">
      <c r="A387" t="inlineStr">
        <is>
          <t>ICC</t>
        </is>
      </c>
      <c r="B387" t="inlineStr">
        <is>
          <t>2024-T2</t>
        </is>
      </c>
      <c r="C387">
        <f>IF(Indices!K27="","",Indices!K27)</f>
        <v/>
      </c>
      <c r="D387">
        <f>IF(C387="",0,8098)</f>
        <v/>
      </c>
    </row>
    <row r="388">
      <c r="A388" t="inlineStr">
        <is>
          <t>ICC</t>
        </is>
      </c>
      <c r="B388" t="inlineStr">
        <is>
          <t>2024-T3</t>
        </is>
      </c>
      <c r="C388">
        <f>IF(Indices!L27="","",Indices!L27)</f>
        <v/>
      </c>
      <c r="D388">
        <f>IF(C388="",0,8099)</f>
        <v/>
      </c>
    </row>
    <row r="389">
      <c r="A389" t="inlineStr">
        <is>
          <t>ICC</t>
        </is>
      </c>
      <c r="B389" t="inlineStr">
        <is>
          <t>2024-T4</t>
        </is>
      </c>
      <c r="C389">
        <f>IF(Indices!M27="","",Indices!M27)</f>
        <v/>
      </c>
      <c r="D389">
        <f>IF(C389="",0,8100)</f>
        <v/>
      </c>
    </row>
    <row r="390">
      <c r="A390" t="inlineStr">
        <is>
          <t>ICC</t>
        </is>
      </c>
      <c r="B390" t="inlineStr">
        <is>
          <t>2025-T1</t>
        </is>
      </c>
      <c r="C390">
        <f>IF(Indices!J28="","",Indices!J28)</f>
        <v/>
      </c>
      <c r="D390">
        <f>IF(C390="",0,8101)</f>
        <v/>
      </c>
    </row>
    <row r="391">
      <c r="A391" t="inlineStr">
        <is>
          <t>ICC</t>
        </is>
      </c>
      <c r="B391" t="inlineStr">
        <is>
          <t>2025-T2</t>
        </is>
      </c>
      <c r="C391">
        <f>IF(Indices!K28="","",Indices!K28)</f>
        <v/>
      </c>
      <c r="D391">
        <f>IF(C391="",0,8102)</f>
        <v/>
      </c>
    </row>
    <row r="392">
      <c r="A392" t="inlineStr">
        <is>
          <t>ICC</t>
        </is>
      </c>
      <c r="B392" t="inlineStr">
        <is>
          <t>2025-T3</t>
        </is>
      </c>
      <c r="C392">
        <f>IF(Indices!L28="","",Indices!L28)</f>
        <v/>
      </c>
      <c r="D392">
        <f>IF(C392="",0,8103)</f>
        <v/>
      </c>
    </row>
    <row r="393">
      <c r="A393" t="inlineStr">
        <is>
          <t>ICC</t>
        </is>
      </c>
      <c r="B393" t="inlineStr">
        <is>
          <t>2025-T4</t>
        </is>
      </c>
      <c r="C393">
        <f>IF(Indices!M28="","",Indices!M28)</f>
        <v/>
      </c>
      <c r="D393">
        <f>IF(C393="",0,8104)</f>
        <v/>
      </c>
    </row>
    <row r="394">
      <c r="A394" t="inlineStr">
        <is>
          <t>ICC</t>
        </is>
      </c>
      <c r="B394" t="inlineStr">
        <is>
          <t>2026-T1</t>
        </is>
      </c>
      <c r="C394">
        <f>IF(Indices!J29="","",Indices!J29)</f>
        <v/>
      </c>
      <c r="D394">
        <f>IF(C394="",0,8105)</f>
        <v/>
      </c>
    </row>
    <row r="395">
      <c r="A395" t="inlineStr">
        <is>
          <t>ICC</t>
        </is>
      </c>
      <c r="B395" t="inlineStr">
        <is>
          <t>2026-T2</t>
        </is>
      </c>
      <c r="C395">
        <f>IF(Indices!K29="","",Indices!K29)</f>
        <v/>
      </c>
      <c r="D395">
        <f>IF(C395="",0,8106)</f>
        <v/>
      </c>
    </row>
    <row r="396">
      <c r="A396" t="inlineStr">
        <is>
          <t>ICC</t>
        </is>
      </c>
      <c r="B396" t="inlineStr">
        <is>
          <t>2026-T3</t>
        </is>
      </c>
      <c r="C396">
        <f>IF(Indices!L29="","",Indices!L29)</f>
        <v/>
      </c>
      <c r="D396">
        <f>IF(C396="",0,8107)</f>
        <v/>
      </c>
    </row>
    <row r="397">
      <c r="A397" t="inlineStr">
        <is>
          <t>ICC</t>
        </is>
      </c>
      <c r="B397" t="inlineStr">
        <is>
          <t>2026-T4</t>
        </is>
      </c>
      <c r="C397">
        <f>IF(Indices!M29="","",Indices!M29)</f>
        <v/>
      </c>
      <c r="D397">
        <f>IF(C397="",0,8108)</f>
        <v/>
      </c>
    </row>
    <row r="398">
      <c r="A398" t="inlineStr">
        <is>
          <t>ICC</t>
        </is>
      </c>
      <c r="B398" t="inlineStr">
        <is>
          <t>2027-T1</t>
        </is>
      </c>
      <c r="C398">
        <f>IF(Indices!J30="","",Indices!J30)</f>
        <v/>
      </c>
      <c r="D398">
        <f>IF(C398="",0,8109)</f>
        <v/>
      </c>
    </row>
    <row r="399">
      <c r="A399" t="inlineStr">
        <is>
          <t>ICC</t>
        </is>
      </c>
      <c r="B399" t="inlineStr">
        <is>
          <t>2027-T2</t>
        </is>
      </c>
      <c r="C399">
        <f>IF(Indices!K30="","",Indices!K30)</f>
        <v/>
      </c>
      <c r="D399">
        <f>IF(C399="",0,8110)</f>
        <v/>
      </c>
    </row>
    <row r="400">
      <c r="A400" t="inlineStr">
        <is>
          <t>ICC</t>
        </is>
      </c>
      <c r="B400" t="inlineStr">
        <is>
          <t>2027-T3</t>
        </is>
      </c>
      <c r="C400">
        <f>IF(Indices!L30="","",Indices!L30)</f>
        <v/>
      </c>
      <c r="D400">
        <f>IF(C400="",0,8111)</f>
        <v/>
      </c>
    </row>
    <row r="401">
      <c r="A401" t="inlineStr">
        <is>
          <t>ICC</t>
        </is>
      </c>
      <c r="B401" t="inlineStr">
        <is>
          <t>2027-T4</t>
        </is>
      </c>
      <c r="C401">
        <f>IF(Indices!M30="","",Indices!M30)</f>
        <v/>
      </c>
      <c r="D401">
        <f>IF(C401="",0,8112)</f>
        <v/>
      </c>
    </row>
    <row r="402">
      <c r="A402" t="inlineStr">
        <is>
          <t>ICC</t>
        </is>
      </c>
      <c r="B402" t="inlineStr">
        <is>
          <t>2028-T1</t>
        </is>
      </c>
      <c r="C402">
        <f>IF(Indices!J31="","",Indices!J31)</f>
        <v/>
      </c>
      <c r="D402">
        <f>IF(C402="",0,8113)</f>
        <v/>
      </c>
    </row>
    <row r="403">
      <c r="A403" t="inlineStr">
        <is>
          <t>ICC</t>
        </is>
      </c>
      <c r="B403" t="inlineStr">
        <is>
          <t>2028-T2</t>
        </is>
      </c>
      <c r="C403">
        <f>IF(Indices!K31="","",Indices!K31)</f>
        <v/>
      </c>
      <c r="D403">
        <f>IF(C403="",0,8114)</f>
        <v/>
      </c>
    </row>
    <row r="404">
      <c r="A404" t="inlineStr">
        <is>
          <t>ICC</t>
        </is>
      </c>
      <c r="B404" t="inlineStr">
        <is>
          <t>2028-T3</t>
        </is>
      </c>
      <c r="C404">
        <f>IF(Indices!L31="","",Indices!L31)</f>
        <v/>
      </c>
      <c r="D404">
        <f>IF(C404="",0,8115)</f>
        <v/>
      </c>
    </row>
    <row r="405">
      <c r="A405" t="inlineStr">
        <is>
          <t>ICC</t>
        </is>
      </c>
      <c r="B405" t="inlineStr">
        <is>
          <t>2028-T4</t>
        </is>
      </c>
      <c r="C405">
        <f>IF(Indices!M31="","",Indices!M31)</f>
        <v/>
      </c>
      <c r="D405">
        <f>IF(C405="",0,8116)</f>
        <v/>
      </c>
    </row>
    <row r="406">
      <c r="A406" t="inlineStr">
        <is>
          <t>ICC</t>
        </is>
      </c>
      <c r="B406" t="inlineStr">
        <is>
          <t>2029-T1</t>
        </is>
      </c>
      <c r="C406">
        <f>IF(Indices!J32="","",Indices!J32)</f>
        <v/>
      </c>
      <c r="D406">
        <f>IF(C406="",0,8117)</f>
        <v/>
      </c>
    </row>
    <row r="407">
      <c r="A407" t="inlineStr">
        <is>
          <t>ICC</t>
        </is>
      </c>
      <c r="B407" t="inlineStr">
        <is>
          <t>2029-T2</t>
        </is>
      </c>
      <c r="C407">
        <f>IF(Indices!K32="","",Indices!K32)</f>
        <v/>
      </c>
      <c r="D407">
        <f>IF(C407="",0,8118)</f>
        <v/>
      </c>
    </row>
    <row r="408">
      <c r="A408" t="inlineStr">
        <is>
          <t>ICC</t>
        </is>
      </c>
      <c r="B408" t="inlineStr">
        <is>
          <t>2029-T3</t>
        </is>
      </c>
      <c r="C408">
        <f>IF(Indices!L32="","",Indices!L32)</f>
        <v/>
      </c>
      <c r="D408">
        <f>IF(C408="",0,8119)</f>
        <v/>
      </c>
    </row>
    <row r="409">
      <c r="A409" t="inlineStr">
        <is>
          <t>ICC</t>
        </is>
      </c>
      <c r="B409" t="inlineStr">
        <is>
          <t>2029-T4</t>
        </is>
      </c>
      <c r="C409">
        <f>IF(Indices!M32="","",Indices!M32)</f>
        <v/>
      </c>
      <c r="D409">
        <f>IF(C409="",0,8120)</f>
        <v/>
      </c>
    </row>
    <row r="410">
      <c r="A410" t="inlineStr">
        <is>
          <t>ICC</t>
        </is>
      </c>
      <c r="B410" t="inlineStr">
        <is>
          <t>2030-T1</t>
        </is>
      </c>
      <c r="C410">
        <f>IF(Indices!J33="","",Indices!J33)</f>
        <v/>
      </c>
      <c r="D410">
        <f>IF(C410="",0,8121)</f>
        <v/>
      </c>
    </row>
    <row r="411">
      <c r="A411" t="inlineStr">
        <is>
          <t>ICC</t>
        </is>
      </c>
      <c r="B411" t="inlineStr">
        <is>
          <t>2030-T2</t>
        </is>
      </c>
      <c r="C411">
        <f>IF(Indices!K33="","",Indices!K33)</f>
        <v/>
      </c>
      <c r="D411">
        <f>IF(C411="",0,8122)</f>
        <v/>
      </c>
    </row>
    <row r="412">
      <c r="A412" t="inlineStr">
        <is>
          <t>ICC</t>
        </is>
      </c>
      <c r="B412" t="inlineStr">
        <is>
          <t>2030-T3</t>
        </is>
      </c>
      <c r="C412">
        <f>IF(Indices!L33="","",Indices!L33)</f>
        <v/>
      </c>
      <c r="D412">
        <f>IF(C412="",0,8123)</f>
        <v/>
      </c>
    </row>
    <row r="413">
      <c r="A413" t="inlineStr">
        <is>
          <t>ICC</t>
        </is>
      </c>
      <c r="B413" t="inlineStr">
        <is>
          <t>2030-T4</t>
        </is>
      </c>
      <c r="C413">
        <f>IF(Indices!M33="","",Indices!M33)</f>
        <v/>
      </c>
      <c r="D413">
        <f>IF(C413="",0,8124)</f>
        <v/>
      </c>
    </row>
    <row r="414">
      <c r="A414" t="inlineStr">
        <is>
          <t>ICC</t>
        </is>
      </c>
      <c r="B414" t="inlineStr">
        <is>
          <t>2031-T1</t>
        </is>
      </c>
      <c r="C414">
        <f>IF(Indices!J34="","",Indices!J34)</f>
        <v/>
      </c>
      <c r="D414">
        <f>IF(C414="",0,8125)</f>
        <v/>
      </c>
    </row>
    <row r="415">
      <c r="A415" t="inlineStr">
        <is>
          <t>ICC</t>
        </is>
      </c>
      <c r="B415" t="inlineStr">
        <is>
          <t>2031-T2</t>
        </is>
      </c>
      <c r="C415">
        <f>IF(Indices!K34="","",Indices!K34)</f>
        <v/>
      </c>
      <c r="D415">
        <f>IF(C415="",0,8126)</f>
        <v/>
      </c>
    </row>
    <row r="416">
      <c r="A416" t="inlineStr">
        <is>
          <t>ICC</t>
        </is>
      </c>
      <c r="B416" t="inlineStr">
        <is>
          <t>2031-T3</t>
        </is>
      </c>
      <c r="C416">
        <f>IF(Indices!L34="","",Indices!L34)</f>
        <v/>
      </c>
      <c r="D416">
        <f>IF(C416="",0,8127)</f>
        <v/>
      </c>
    </row>
    <row r="417">
      <c r="A417" t="inlineStr">
        <is>
          <t>ICC</t>
        </is>
      </c>
      <c r="B417" t="inlineStr">
        <is>
          <t>2031-T4</t>
        </is>
      </c>
      <c r="C417">
        <f>IF(Indices!M34="","",Indices!M34)</f>
        <v/>
      </c>
      <c r="D417">
        <f>IF(C417="",0,8128)</f>
        <v/>
      </c>
    </row>
    <row r="418">
      <c r="A418" t="inlineStr">
        <is>
          <t>ICC</t>
        </is>
      </c>
      <c r="B418" t="inlineStr">
        <is>
          <t>2032-T1</t>
        </is>
      </c>
      <c r="C418">
        <f>IF(Indices!J35="","",Indices!J35)</f>
        <v/>
      </c>
      <c r="D418">
        <f>IF(C418="",0,8129)</f>
        <v/>
      </c>
    </row>
    <row r="419">
      <c r="A419" t="inlineStr">
        <is>
          <t>ICC</t>
        </is>
      </c>
      <c r="B419" t="inlineStr">
        <is>
          <t>2032-T2</t>
        </is>
      </c>
      <c r="C419">
        <f>IF(Indices!K35="","",Indices!K35)</f>
        <v/>
      </c>
      <c r="D419">
        <f>IF(C419="",0,8130)</f>
        <v/>
      </c>
    </row>
    <row r="420">
      <c r="A420" t="inlineStr">
        <is>
          <t>ICC</t>
        </is>
      </c>
      <c r="B420" t="inlineStr">
        <is>
          <t>2032-T3</t>
        </is>
      </c>
      <c r="C420">
        <f>IF(Indices!L35="","",Indices!L35)</f>
        <v/>
      </c>
      <c r="D420">
        <f>IF(C420="",0,8131)</f>
        <v/>
      </c>
    </row>
    <row r="421">
      <c r="A421" t="inlineStr">
        <is>
          <t>ICC</t>
        </is>
      </c>
      <c r="B421" t="inlineStr">
        <is>
          <t>2032-T4</t>
        </is>
      </c>
      <c r="C421">
        <f>IF(Indices!M35="","",Indices!M35)</f>
        <v/>
      </c>
      <c r="D421">
        <f>IF(C421="",0,8132)</f>
        <v/>
      </c>
    </row>
    <row r="422">
      <c r="A422" t="inlineStr">
        <is>
          <t>ICC</t>
        </is>
      </c>
      <c r="B422" t="inlineStr">
        <is>
          <t>2033-T1</t>
        </is>
      </c>
      <c r="C422">
        <f>IF(Indices!J36="","",Indices!J36)</f>
        <v/>
      </c>
      <c r="D422">
        <f>IF(C422="",0,8133)</f>
        <v/>
      </c>
    </row>
    <row r="423">
      <c r="A423" t="inlineStr">
        <is>
          <t>ICC</t>
        </is>
      </c>
      <c r="B423" t="inlineStr">
        <is>
          <t>2033-T2</t>
        </is>
      </c>
      <c r="C423">
        <f>IF(Indices!K36="","",Indices!K36)</f>
        <v/>
      </c>
      <c r="D423">
        <f>IF(C423="",0,8134)</f>
        <v/>
      </c>
    </row>
    <row r="424">
      <c r="A424" t="inlineStr">
        <is>
          <t>ICC</t>
        </is>
      </c>
      <c r="B424" t="inlineStr">
        <is>
          <t>2033-T3</t>
        </is>
      </c>
      <c r="C424">
        <f>IF(Indices!L36="","",Indices!L36)</f>
        <v/>
      </c>
      <c r="D424">
        <f>IF(C424="",0,8135)</f>
        <v/>
      </c>
    </row>
    <row r="425">
      <c r="A425" t="inlineStr">
        <is>
          <t>ICC</t>
        </is>
      </c>
      <c r="B425" t="inlineStr">
        <is>
          <t>2033-T4</t>
        </is>
      </c>
      <c r="C425">
        <f>IF(Indices!M36="","",Indices!M36)</f>
        <v/>
      </c>
      <c r="D425">
        <f>IF(C425="",0,8136)</f>
        <v/>
      </c>
    </row>
    <row r="426">
      <c r="A426" t="inlineStr">
        <is>
          <t>ICC</t>
        </is>
      </c>
      <c r="B426" t="inlineStr">
        <is>
          <t>2034-T1</t>
        </is>
      </c>
      <c r="C426">
        <f>IF(Indices!J37="","",Indices!J37)</f>
        <v/>
      </c>
      <c r="D426">
        <f>IF(C426="",0,8137)</f>
        <v/>
      </c>
    </row>
    <row r="427">
      <c r="A427" t="inlineStr">
        <is>
          <t>ICC</t>
        </is>
      </c>
      <c r="B427" t="inlineStr">
        <is>
          <t>2034-T2</t>
        </is>
      </c>
      <c r="C427">
        <f>IF(Indices!K37="","",Indices!K37)</f>
        <v/>
      </c>
      <c r="D427">
        <f>IF(C427="",0,8138)</f>
        <v/>
      </c>
    </row>
    <row r="428">
      <c r="A428" t="inlineStr">
        <is>
          <t>ICC</t>
        </is>
      </c>
      <c r="B428" t="inlineStr">
        <is>
          <t>2034-T3</t>
        </is>
      </c>
      <c r="C428">
        <f>IF(Indices!L37="","",Indices!L37)</f>
        <v/>
      </c>
      <c r="D428">
        <f>IF(C428="",0,8139)</f>
        <v/>
      </c>
    </row>
    <row r="429">
      <c r="A429" t="inlineStr">
        <is>
          <t>ICC</t>
        </is>
      </c>
      <c r="B429" t="inlineStr">
        <is>
          <t>2034-T4</t>
        </is>
      </c>
      <c r="C429">
        <f>IF(Indices!M37="","",Indices!M37)</f>
        <v/>
      </c>
      <c r="D429">
        <f>IF(C429="",0,8140)</f>
        <v/>
      </c>
    </row>
    <row r="430">
      <c r="A430" t="inlineStr">
        <is>
          <t>ICC</t>
        </is>
      </c>
      <c r="B430" t="inlineStr">
        <is>
          <t>2035-T1</t>
        </is>
      </c>
      <c r="C430">
        <f>IF(Indices!J38="","",Indices!J38)</f>
        <v/>
      </c>
      <c r="D430">
        <f>IF(C430="",0,8141)</f>
        <v/>
      </c>
    </row>
    <row r="431">
      <c r="A431" t="inlineStr">
        <is>
          <t>ICC</t>
        </is>
      </c>
      <c r="B431" t="inlineStr">
        <is>
          <t>2035-T2</t>
        </is>
      </c>
      <c r="C431">
        <f>IF(Indices!K38="","",Indices!K38)</f>
        <v/>
      </c>
      <c r="D431">
        <f>IF(C431="",0,8142)</f>
        <v/>
      </c>
    </row>
    <row r="432">
      <c r="A432" t="inlineStr">
        <is>
          <t>ICC</t>
        </is>
      </c>
      <c r="B432" t="inlineStr">
        <is>
          <t>2035-T3</t>
        </is>
      </c>
      <c r="C432">
        <f>IF(Indices!L38="","",Indices!L38)</f>
        <v/>
      </c>
      <c r="D432">
        <f>IF(C432="",0,8143)</f>
        <v/>
      </c>
    </row>
    <row r="433">
      <c r="A433" t="inlineStr">
        <is>
          <t>ICC</t>
        </is>
      </c>
      <c r="B433" t="inlineStr">
        <is>
          <t>2035-T4</t>
        </is>
      </c>
      <c r="C433">
        <f>IF(Indices!M38="","",Indices!M38)</f>
        <v/>
      </c>
      <c r="D433">
        <f>IF(C433="",0,8144)</f>
        <v/>
      </c>
    </row>
    <row r="434">
      <c r="A434" t="inlineStr">
        <is>
          <t>IRL</t>
        </is>
      </c>
      <c r="B434" t="inlineStr">
        <is>
          <t>2000-T1</t>
        </is>
      </c>
      <c r="C434">
        <f>IF(Indices!N3="","",Indices!N3)</f>
        <v/>
      </c>
      <c r="D434">
        <f>IF(C434="",0,8001)</f>
        <v/>
      </c>
    </row>
    <row r="435">
      <c r="A435" t="inlineStr">
        <is>
          <t>IRL</t>
        </is>
      </c>
      <c r="B435" t="inlineStr">
        <is>
          <t>2000-T2</t>
        </is>
      </c>
      <c r="C435">
        <f>IF(Indices!O3="","",Indices!O3)</f>
        <v/>
      </c>
      <c r="D435">
        <f>IF(C435="",0,8002)</f>
        <v/>
      </c>
    </row>
    <row r="436">
      <c r="A436" t="inlineStr">
        <is>
          <t>IRL</t>
        </is>
      </c>
      <c r="B436" t="inlineStr">
        <is>
          <t>2000-T3</t>
        </is>
      </c>
      <c r="C436">
        <f>IF(Indices!P3="","",Indices!P3)</f>
        <v/>
      </c>
      <c r="D436">
        <f>IF(C436="",0,8003)</f>
        <v/>
      </c>
    </row>
    <row r="437">
      <c r="A437" t="inlineStr">
        <is>
          <t>IRL</t>
        </is>
      </c>
      <c r="B437" t="inlineStr">
        <is>
          <t>2000-T4</t>
        </is>
      </c>
      <c r="C437">
        <f>IF(Indices!Q3="","",Indices!Q3)</f>
        <v/>
      </c>
      <c r="D437">
        <f>IF(C437="",0,8004)</f>
        <v/>
      </c>
    </row>
    <row r="438">
      <c r="A438" t="inlineStr">
        <is>
          <t>IRL</t>
        </is>
      </c>
      <c r="B438" t="inlineStr">
        <is>
          <t>2001-T1</t>
        </is>
      </c>
      <c r="C438">
        <f>IF(Indices!N4="","",Indices!N4)</f>
        <v/>
      </c>
      <c r="D438">
        <f>IF(C438="",0,8005)</f>
        <v/>
      </c>
    </row>
    <row r="439">
      <c r="A439" t="inlineStr">
        <is>
          <t>IRL</t>
        </is>
      </c>
      <c r="B439" t="inlineStr">
        <is>
          <t>2001-T2</t>
        </is>
      </c>
      <c r="C439">
        <f>IF(Indices!O4="","",Indices!O4)</f>
        <v/>
      </c>
      <c r="D439">
        <f>IF(C439="",0,8006)</f>
        <v/>
      </c>
    </row>
    <row r="440">
      <c r="A440" t="inlineStr">
        <is>
          <t>IRL</t>
        </is>
      </c>
      <c r="B440" t="inlineStr">
        <is>
          <t>2001-T3</t>
        </is>
      </c>
      <c r="C440">
        <f>IF(Indices!P4="","",Indices!P4)</f>
        <v/>
      </c>
      <c r="D440">
        <f>IF(C440="",0,8007)</f>
        <v/>
      </c>
    </row>
    <row r="441">
      <c r="A441" t="inlineStr">
        <is>
          <t>IRL</t>
        </is>
      </c>
      <c r="B441" t="inlineStr">
        <is>
          <t>2001-T4</t>
        </is>
      </c>
      <c r="C441">
        <f>IF(Indices!Q4="","",Indices!Q4)</f>
        <v/>
      </c>
      <c r="D441">
        <f>IF(C441="",0,8008)</f>
        <v/>
      </c>
    </row>
    <row r="442">
      <c r="A442" t="inlineStr">
        <is>
          <t>IRL</t>
        </is>
      </c>
      <c r="B442" t="inlineStr">
        <is>
          <t>2002-T1</t>
        </is>
      </c>
      <c r="C442">
        <f>IF(Indices!N5="","",Indices!N5)</f>
        <v/>
      </c>
      <c r="D442">
        <f>IF(C442="",0,8009)</f>
        <v/>
      </c>
    </row>
    <row r="443">
      <c r="A443" t="inlineStr">
        <is>
          <t>IRL</t>
        </is>
      </c>
      <c r="B443" t="inlineStr">
        <is>
          <t>2002-T2</t>
        </is>
      </c>
      <c r="C443">
        <f>IF(Indices!O5="","",Indices!O5)</f>
        <v/>
      </c>
      <c r="D443">
        <f>IF(C443="",0,8010)</f>
        <v/>
      </c>
    </row>
    <row r="444">
      <c r="A444" t="inlineStr">
        <is>
          <t>IRL</t>
        </is>
      </c>
      <c r="B444" t="inlineStr">
        <is>
          <t>2002-T3</t>
        </is>
      </c>
      <c r="C444">
        <f>IF(Indices!P5="","",Indices!P5)</f>
        <v/>
      </c>
      <c r="D444">
        <f>IF(C444="",0,8011)</f>
        <v/>
      </c>
    </row>
    <row r="445">
      <c r="A445" t="inlineStr">
        <is>
          <t>IRL</t>
        </is>
      </c>
      <c r="B445" t="inlineStr">
        <is>
          <t>2002-T4</t>
        </is>
      </c>
      <c r="C445">
        <f>IF(Indices!Q5="","",Indices!Q5)</f>
        <v/>
      </c>
      <c r="D445">
        <f>IF(C445="",0,8012)</f>
        <v/>
      </c>
    </row>
    <row r="446">
      <c r="A446" t="inlineStr">
        <is>
          <t>IRL</t>
        </is>
      </c>
      <c r="B446" t="inlineStr">
        <is>
          <t>2003-T1</t>
        </is>
      </c>
      <c r="C446">
        <f>IF(Indices!N6="","",Indices!N6)</f>
        <v/>
      </c>
      <c r="D446">
        <f>IF(C446="",0,8013)</f>
        <v/>
      </c>
    </row>
    <row r="447">
      <c r="A447" t="inlineStr">
        <is>
          <t>IRL</t>
        </is>
      </c>
      <c r="B447" t="inlineStr">
        <is>
          <t>2003-T2</t>
        </is>
      </c>
      <c r="C447">
        <f>IF(Indices!O6="","",Indices!O6)</f>
        <v/>
      </c>
      <c r="D447">
        <f>IF(C447="",0,8014)</f>
        <v/>
      </c>
    </row>
    <row r="448">
      <c r="A448" t="inlineStr">
        <is>
          <t>IRL</t>
        </is>
      </c>
      <c r="B448" t="inlineStr">
        <is>
          <t>2003-T3</t>
        </is>
      </c>
      <c r="C448">
        <f>IF(Indices!P6="","",Indices!P6)</f>
        <v/>
      </c>
      <c r="D448">
        <f>IF(C448="",0,8015)</f>
        <v/>
      </c>
    </row>
    <row r="449">
      <c r="A449" t="inlineStr">
        <is>
          <t>IRL</t>
        </is>
      </c>
      <c r="B449" t="inlineStr">
        <is>
          <t>2003-T4</t>
        </is>
      </c>
      <c r="C449">
        <f>IF(Indices!Q6="","",Indices!Q6)</f>
        <v/>
      </c>
      <c r="D449">
        <f>IF(C449="",0,8016)</f>
        <v/>
      </c>
    </row>
    <row r="450">
      <c r="A450" t="inlineStr">
        <is>
          <t>IRL</t>
        </is>
      </c>
      <c r="B450" t="inlineStr">
        <is>
          <t>2004-T1</t>
        </is>
      </c>
      <c r="C450">
        <f>IF(Indices!N7="","",Indices!N7)</f>
        <v/>
      </c>
      <c r="D450">
        <f>IF(C450="",0,8017)</f>
        <v/>
      </c>
    </row>
    <row r="451">
      <c r="A451" t="inlineStr">
        <is>
          <t>IRL</t>
        </is>
      </c>
      <c r="B451" t="inlineStr">
        <is>
          <t>2004-T2</t>
        </is>
      </c>
      <c r="C451">
        <f>IF(Indices!O7="","",Indices!O7)</f>
        <v/>
      </c>
      <c r="D451">
        <f>IF(C451="",0,8018)</f>
        <v/>
      </c>
    </row>
    <row r="452">
      <c r="A452" t="inlineStr">
        <is>
          <t>IRL</t>
        </is>
      </c>
      <c r="B452" t="inlineStr">
        <is>
          <t>2004-T3</t>
        </is>
      </c>
      <c r="C452">
        <f>IF(Indices!P7="","",Indices!P7)</f>
        <v/>
      </c>
      <c r="D452">
        <f>IF(C452="",0,8019)</f>
        <v/>
      </c>
    </row>
    <row r="453">
      <c r="A453" t="inlineStr">
        <is>
          <t>IRL</t>
        </is>
      </c>
      <c r="B453" t="inlineStr">
        <is>
          <t>2004-T4</t>
        </is>
      </c>
      <c r="C453">
        <f>IF(Indices!Q7="","",Indices!Q7)</f>
        <v/>
      </c>
      <c r="D453">
        <f>IF(C453="",0,8020)</f>
        <v/>
      </c>
    </row>
    <row r="454">
      <c r="A454" t="inlineStr">
        <is>
          <t>IRL</t>
        </is>
      </c>
      <c r="B454" t="inlineStr">
        <is>
          <t>2005-T1</t>
        </is>
      </c>
      <c r="C454">
        <f>IF(Indices!N8="","",Indices!N8)</f>
        <v/>
      </c>
      <c r="D454">
        <f>IF(C454="",0,8021)</f>
        <v/>
      </c>
    </row>
    <row r="455">
      <c r="A455" t="inlineStr">
        <is>
          <t>IRL</t>
        </is>
      </c>
      <c r="B455" t="inlineStr">
        <is>
          <t>2005-T2</t>
        </is>
      </c>
      <c r="C455">
        <f>IF(Indices!O8="","",Indices!O8)</f>
        <v/>
      </c>
      <c r="D455">
        <f>IF(C455="",0,8022)</f>
        <v/>
      </c>
    </row>
    <row r="456">
      <c r="A456" t="inlineStr">
        <is>
          <t>IRL</t>
        </is>
      </c>
      <c r="B456" t="inlineStr">
        <is>
          <t>2005-T3</t>
        </is>
      </c>
      <c r="C456">
        <f>IF(Indices!P8="","",Indices!P8)</f>
        <v/>
      </c>
      <c r="D456">
        <f>IF(C456="",0,8023)</f>
        <v/>
      </c>
    </row>
    <row r="457">
      <c r="A457" t="inlineStr">
        <is>
          <t>IRL</t>
        </is>
      </c>
      <c r="B457" t="inlineStr">
        <is>
          <t>2005-T4</t>
        </is>
      </c>
      <c r="C457">
        <f>IF(Indices!Q8="","",Indices!Q8)</f>
        <v/>
      </c>
      <c r="D457">
        <f>IF(C457="",0,8024)</f>
        <v/>
      </c>
    </row>
    <row r="458">
      <c r="A458" t="inlineStr">
        <is>
          <t>IRL</t>
        </is>
      </c>
      <c r="B458" t="inlineStr">
        <is>
          <t>2006-T1</t>
        </is>
      </c>
      <c r="C458">
        <f>IF(Indices!N9="","",Indices!N9)</f>
        <v/>
      </c>
      <c r="D458">
        <f>IF(C458="",0,8025)</f>
        <v/>
      </c>
    </row>
    <row r="459">
      <c r="A459" t="inlineStr">
        <is>
          <t>IRL</t>
        </is>
      </c>
      <c r="B459" t="inlineStr">
        <is>
          <t>2006-T2</t>
        </is>
      </c>
      <c r="C459">
        <f>IF(Indices!O9="","",Indices!O9)</f>
        <v/>
      </c>
      <c r="D459">
        <f>IF(C459="",0,8026)</f>
        <v/>
      </c>
    </row>
    <row r="460">
      <c r="A460" t="inlineStr">
        <is>
          <t>IRL</t>
        </is>
      </c>
      <c r="B460" t="inlineStr">
        <is>
          <t>2006-T3</t>
        </is>
      </c>
      <c r="C460">
        <f>IF(Indices!P9="","",Indices!P9)</f>
        <v/>
      </c>
      <c r="D460">
        <f>IF(C460="",0,8027)</f>
        <v/>
      </c>
    </row>
    <row r="461">
      <c r="A461" t="inlineStr">
        <is>
          <t>IRL</t>
        </is>
      </c>
      <c r="B461" t="inlineStr">
        <is>
          <t>2006-T4</t>
        </is>
      </c>
      <c r="C461">
        <f>IF(Indices!Q9="","",Indices!Q9)</f>
        <v/>
      </c>
      <c r="D461">
        <f>IF(C461="",0,8028)</f>
        <v/>
      </c>
    </row>
    <row r="462">
      <c r="A462" t="inlineStr">
        <is>
          <t>IRL</t>
        </is>
      </c>
      <c r="B462" t="inlineStr">
        <is>
          <t>2007-T1</t>
        </is>
      </c>
      <c r="C462">
        <f>IF(Indices!N10="","",Indices!N10)</f>
        <v/>
      </c>
      <c r="D462">
        <f>IF(C462="",0,8029)</f>
        <v/>
      </c>
    </row>
    <row r="463">
      <c r="A463" t="inlineStr">
        <is>
          <t>IRL</t>
        </is>
      </c>
      <c r="B463" t="inlineStr">
        <is>
          <t>2007-T2</t>
        </is>
      </c>
      <c r="C463">
        <f>IF(Indices!O10="","",Indices!O10)</f>
        <v/>
      </c>
      <c r="D463">
        <f>IF(C463="",0,8030)</f>
        <v/>
      </c>
    </row>
    <row r="464">
      <c r="A464" t="inlineStr">
        <is>
          <t>IRL</t>
        </is>
      </c>
      <c r="B464" t="inlineStr">
        <is>
          <t>2007-T3</t>
        </is>
      </c>
      <c r="C464">
        <f>IF(Indices!P10="","",Indices!P10)</f>
        <v/>
      </c>
      <c r="D464">
        <f>IF(C464="",0,8031)</f>
        <v/>
      </c>
    </row>
    <row r="465">
      <c r="A465" t="inlineStr">
        <is>
          <t>IRL</t>
        </is>
      </c>
      <c r="B465" t="inlineStr">
        <is>
          <t>2007-T4</t>
        </is>
      </c>
      <c r="C465">
        <f>IF(Indices!Q10="","",Indices!Q10)</f>
        <v/>
      </c>
      <c r="D465">
        <f>IF(C465="",0,8032)</f>
        <v/>
      </c>
    </row>
    <row r="466">
      <c r="A466" t="inlineStr">
        <is>
          <t>IRL</t>
        </is>
      </c>
      <c r="B466" t="inlineStr">
        <is>
          <t>2008-T1</t>
        </is>
      </c>
      <c r="C466">
        <f>IF(Indices!N11="","",Indices!N11)</f>
        <v/>
      </c>
      <c r="D466">
        <f>IF(C466="",0,8033)</f>
        <v/>
      </c>
    </row>
    <row r="467">
      <c r="A467" t="inlineStr">
        <is>
          <t>IRL</t>
        </is>
      </c>
      <c r="B467" t="inlineStr">
        <is>
          <t>2008-T2</t>
        </is>
      </c>
      <c r="C467">
        <f>IF(Indices!O11="","",Indices!O11)</f>
        <v/>
      </c>
      <c r="D467">
        <f>IF(C467="",0,8034)</f>
        <v/>
      </c>
    </row>
    <row r="468">
      <c r="A468" t="inlineStr">
        <is>
          <t>IRL</t>
        </is>
      </c>
      <c r="B468" t="inlineStr">
        <is>
          <t>2008-T3</t>
        </is>
      </c>
      <c r="C468">
        <f>IF(Indices!P11="","",Indices!P11)</f>
        <v/>
      </c>
      <c r="D468">
        <f>IF(C468="",0,8035)</f>
        <v/>
      </c>
    </row>
    <row r="469">
      <c r="A469" t="inlineStr">
        <is>
          <t>IRL</t>
        </is>
      </c>
      <c r="B469" t="inlineStr">
        <is>
          <t>2008-T4</t>
        </is>
      </c>
      <c r="C469">
        <f>IF(Indices!Q11="","",Indices!Q11)</f>
        <v/>
      </c>
      <c r="D469">
        <f>IF(C469="",0,8036)</f>
        <v/>
      </c>
    </row>
    <row r="470">
      <c r="A470" t="inlineStr">
        <is>
          <t>IRL</t>
        </is>
      </c>
      <c r="B470" t="inlineStr">
        <is>
          <t>2009-T1</t>
        </is>
      </c>
      <c r="C470">
        <f>IF(Indices!N12="","",Indices!N12)</f>
        <v/>
      </c>
      <c r="D470">
        <f>IF(C470="",0,8037)</f>
        <v/>
      </c>
    </row>
    <row r="471">
      <c r="A471" t="inlineStr">
        <is>
          <t>IRL</t>
        </is>
      </c>
      <c r="B471" t="inlineStr">
        <is>
          <t>2009-T2</t>
        </is>
      </c>
      <c r="C471">
        <f>IF(Indices!O12="","",Indices!O12)</f>
        <v/>
      </c>
      <c r="D471">
        <f>IF(C471="",0,8038)</f>
        <v/>
      </c>
    </row>
    <row r="472">
      <c r="A472" t="inlineStr">
        <is>
          <t>IRL</t>
        </is>
      </c>
      <c r="B472" t="inlineStr">
        <is>
          <t>2009-T3</t>
        </is>
      </c>
      <c r="C472">
        <f>IF(Indices!P12="","",Indices!P12)</f>
        <v/>
      </c>
      <c r="D472">
        <f>IF(C472="",0,8039)</f>
        <v/>
      </c>
    </row>
    <row r="473">
      <c r="A473" t="inlineStr">
        <is>
          <t>IRL</t>
        </is>
      </c>
      <c r="B473" t="inlineStr">
        <is>
          <t>2009-T4</t>
        </is>
      </c>
      <c r="C473">
        <f>IF(Indices!Q12="","",Indices!Q12)</f>
        <v/>
      </c>
      <c r="D473">
        <f>IF(C473="",0,8040)</f>
        <v/>
      </c>
    </row>
    <row r="474">
      <c r="A474" t="inlineStr">
        <is>
          <t>IRL</t>
        </is>
      </c>
      <c r="B474" t="inlineStr">
        <is>
          <t>2010-T1</t>
        </is>
      </c>
      <c r="C474">
        <f>IF(Indices!N13="","",Indices!N13)</f>
        <v/>
      </c>
      <c r="D474">
        <f>IF(C474="",0,8041)</f>
        <v/>
      </c>
    </row>
    <row r="475">
      <c r="A475" t="inlineStr">
        <is>
          <t>IRL</t>
        </is>
      </c>
      <c r="B475" t="inlineStr">
        <is>
          <t>2010-T2</t>
        </is>
      </c>
      <c r="C475">
        <f>IF(Indices!O13="","",Indices!O13)</f>
        <v/>
      </c>
      <c r="D475">
        <f>IF(C475="",0,8042)</f>
        <v/>
      </c>
    </row>
    <row r="476">
      <c r="A476" t="inlineStr">
        <is>
          <t>IRL</t>
        </is>
      </c>
      <c r="B476" t="inlineStr">
        <is>
          <t>2010-T3</t>
        </is>
      </c>
      <c r="C476">
        <f>IF(Indices!P13="","",Indices!P13)</f>
        <v/>
      </c>
      <c r="D476">
        <f>IF(C476="",0,8043)</f>
        <v/>
      </c>
    </row>
    <row r="477">
      <c r="A477" t="inlineStr">
        <is>
          <t>IRL</t>
        </is>
      </c>
      <c r="B477" t="inlineStr">
        <is>
          <t>2010-T4</t>
        </is>
      </c>
      <c r="C477">
        <f>IF(Indices!Q13="","",Indices!Q13)</f>
        <v/>
      </c>
      <c r="D477">
        <f>IF(C477="",0,8044)</f>
        <v/>
      </c>
    </row>
    <row r="478">
      <c r="A478" t="inlineStr">
        <is>
          <t>IRL</t>
        </is>
      </c>
      <c r="B478" t="inlineStr">
        <is>
          <t>2011-T1</t>
        </is>
      </c>
      <c r="C478">
        <f>IF(Indices!N14="","",Indices!N14)</f>
        <v/>
      </c>
      <c r="D478">
        <f>IF(C478="",0,8045)</f>
        <v/>
      </c>
    </row>
    <row r="479">
      <c r="A479" t="inlineStr">
        <is>
          <t>IRL</t>
        </is>
      </c>
      <c r="B479" t="inlineStr">
        <is>
          <t>2011-T2</t>
        </is>
      </c>
      <c r="C479">
        <f>IF(Indices!O14="","",Indices!O14)</f>
        <v/>
      </c>
      <c r="D479">
        <f>IF(C479="",0,8046)</f>
        <v/>
      </c>
    </row>
    <row r="480">
      <c r="A480" t="inlineStr">
        <is>
          <t>IRL</t>
        </is>
      </c>
      <c r="B480" t="inlineStr">
        <is>
          <t>2011-T3</t>
        </is>
      </c>
      <c r="C480">
        <f>IF(Indices!P14="","",Indices!P14)</f>
        <v/>
      </c>
      <c r="D480">
        <f>IF(C480="",0,8047)</f>
        <v/>
      </c>
    </row>
    <row r="481">
      <c r="A481" t="inlineStr">
        <is>
          <t>IRL</t>
        </is>
      </c>
      <c r="B481" t="inlineStr">
        <is>
          <t>2011-T4</t>
        </is>
      </c>
      <c r="C481">
        <f>IF(Indices!Q14="","",Indices!Q14)</f>
        <v/>
      </c>
      <c r="D481">
        <f>IF(C481="",0,8048)</f>
        <v/>
      </c>
    </row>
    <row r="482">
      <c r="A482" t="inlineStr">
        <is>
          <t>IRL</t>
        </is>
      </c>
      <c r="B482" t="inlineStr">
        <is>
          <t>2012-T1</t>
        </is>
      </c>
      <c r="C482">
        <f>IF(Indices!N15="","",Indices!N15)</f>
        <v/>
      </c>
      <c r="D482">
        <f>IF(C482="",0,8049)</f>
        <v/>
      </c>
    </row>
    <row r="483">
      <c r="A483" t="inlineStr">
        <is>
          <t>IRL</t>
        </is>
      </c>
      <c r="B483" t="inlineStr">
        <is>
          <t>2012-T2</t>
        </is>
      </c>
      <c r="C483">
        <f>IF(Indices!O15="","",Indices!O15)</f>
        <v/>
      </c>
      <c r="D483">
        <f>IF(C483="",0,8050)</f>
        <v/>
      </c>
    </row>
    <row r="484">
      <c r="A484" t="inlineStr">
        <is>
          <t>IRL</t>
        </is>
      </c>
      <c r="B484" t="inlineStr">
        <is>
          <t>2012-T3</t>
        </is>
      </c>
      <c r="C484">
        <f>IF(Indices!P15="","",Indices!P15)</f>
        <v/>
      </c>
      <c r="D484">
        <f>IF(C484="",0,8051)</f>
        <v/>
      </c>
    </row>
    <row r="485">
      <c r="A485" t="inlineStr">
        <is>
          <t>IRL</t>
        </is>
      </c>
      <c r="B485" t="inlineStr">
        <is>
          <t>2012-T4</t>
        </is>
      </c>
      <c r="C485">
        <f>IF(Indices!Q15="","",Indices!Q15)</f>
        <v/>
      </c>
      <c r="D485">
        <f>IF(C485="",0,8052)</f>
        <v/>
      </c>
    </row>
    <row r="486">
      <c r="A486" t="inlineStr">
        <is>
          <t>IRL</t>
        </is>
      </c>
      <c r="B486" t="inlineStr">
        <is>
          <t>2013-T1</t>
        </is>
      </c>
      <c r="C486">
        <f>IF(Indices!N16="","",Indices!N16)</f>
        <v/>
      </c>
      <c r="D486">
        <f>IF(C486="",0,8053)</f>
        <v/>
      </c>
    </row>
    <row r="487">
      <c r="A487" t="inlineStr">
        <is>
          <t>IRL</t>
        </is>
      </c>
      <c r="B487" t="inlineStr">
        <is>
          <t>2013-T2</t>
        </is>
      </c>
      <c r="C487">
        <f>IF(Indices!O16="","",Indices!O16)</f>
        <v/>
      </c>
      <c r="D487">
        <f>IF(C487="",0,8054)</f>
        <v/>
      </c>
    </row>
    <row r="488">
      <c r="A488" t="inlineStr">
        <is>
          <t>IRL</t>
        </is>
      </c>
      <c r="B488" t="inlineStr">
        <is>
          <t>2013-T3</t>
        </is>
      </c>
      <c r="C488">
        <f>IF(Indices!P16="","",Indices!P16)</f>
        <v/>
      </c>
      <c r="D488">
        <f>IF(C488="",0,8055)</f>
        <v/>
      </c>
    </row>
    <row r="489">
      <c r="A489" t="inlineStr">
        <is>
          <t>IRL</t>
        </is>
      </c>
      <c r="B489" t="inlineStr">
        <is>
          <t>2013-T4</t>
        </is>
      </c>
      <c r="C489">
        <f>IF(Indices!Q16="","",Indices!Q16)</f>
        <v/>
      </c>
      <c r="D489">
        <f>IF(C489="",0,8056)</f>
        <v/>
      </c>
    </row>
    <row r="490">
      <c r="A490" t="inlineStr">
        <is>
          <t>IRL</t>
        </is>
      </c>
      <c r="B490" t="inlineStr">
        <is>
          <t>2014-T1</t>
        </is>
      </c>
      <c r="C490">
        <f>IF(Indices!N17="","",Indices!N17)</f>
        <v/>
      </c>
      <c r="D490">
        <f>IF(C490="",0,8057)</f>
        <v/>
      </c>
    </row>
    <row r="491">
      <c r="A491" t="inlineStr">
        <is>
          <t>IRL</t>
        </is>
      </c>
      <c r="B491" t="inlineStr">
        <is>
          <t>2014-T2</t>
        </is>
      </c>
      <c r="C491">
        <f>IF(Indices!O17="","",Indices!O17)</f>
        <v/>
      </c>
      <c r="D491">
        <f>IF(C491="",0,8058)</f>
        <v/>
      </c>
    </row>
    <row r="492">
      <c r="A492" t="inlineStr">
        <is>
          <t>IRL</t>
        </is>
      </c>
      <c r="B492" t="inlineStr">
        <is>
          <t>2014-T3</t>
        </is>
      </c>
      <c r="C492">
        <f>IF(Indices!P17="","",Indices!P17)</f>
        <v/>
      </c>
      <c r="D492">
        <f>IF(C492="",0,8059)</f>
        <v/>
      </c>
    </row>
    <row r="493">
      <c r="A493" t="inlineStr">
        <is>
          <t>IRL</t>
        </is>
      </c>
      <c r="B493" t="inlineStr">
        <is>
          <t>2014-T4</t>
        </is>
      </c>
      <c r="C493">
        <f>IF(Indices!Q17="","",Indices!Q17)</f>
        <v/>
      </c>
      <c r="D493">
        <f>IF(C493="",0,8060)</f>
        <v/>
      </c>
    </row>
    <row r="494">
      <c r="A494" t="inlineStr">
        <is>
          <t>IRL</t>
        </is>
      </c>
      <c r="B494" t="inlineStr">
        <is>
          <t>2015-T1</t>
        </is>
      </c>
      <c r="C494">
        <f>IF(Indices!N18="","",Indices!N18)</f>
        <v/>
      </c>
      <c r="D494">
        <f>IF(C494="",0,8061)</f>
        <v/>
      </c>
    </row>
    <row r="495">
      <c r="A495" t="inlineStr">
        <is>
          <t>IRL</t>
        </is>
      </c>
      <c r="B495" t="inlineStr">
        <is>
          <t>2015-T2</t>
        </is>
      </c>
      <c r="C495">
        <f>IF(Indices!O18="","",Indices!O18)</f>
        <v/>
      </c>
      <c r="D495">
        <f>IF(C495="",0,8062)</f>
        <v/>
      </c>
    </row>
    <row r="496">
      <c r="A496" t="inlineStr">
        <is>
          <t>IRL</t>
        </is>
      </c>
      <c r="B496" t="inlineStr">
        <is>
          <t>2015-T3</t>
        </is>
      </c>
      <c r="C496">
        <f>IF(Indices!P18="","",Indices!P18)</f>
        <v/>
      </c>
      <c r="D496">
        <f>IF(C496="",0,8063)</f>
        <v/>
      </c>
    </row>
    <row r="497">
      <c r="A497" t="inlineStr">
        <is>
          <t>IRL</t>
        </is>
      </c>
      <c r="B497" t="inlineStr">
        <is>
          <t>2015-T4</t>
        </is>
      </c>
      <c r="C497">
        <f>IF(Indices!Q18="","",Indices!Q18)</f>
        <v/>
      </c>
      <c r="D497">
        <f>IF(C497="",0,8064)</f>
        <v/>
      </c>
    </row>
    <row r="498">
      <c r="A498" t="inlineStr">
        <is>
          <t>IRL</t>
        </is>
      </c>
      <c r="B498" t="inlineStr">
        <is>
          <t>2016-T1</t>
        </is>
      </c>
      <c r="C498">
        <f>IF(Indices!N19="","",Indices!N19)</f>
        <v/>
      </c>
      <c r="D498">
        <f>IF(C498="",0,8065)</f>
        <v/>
      </c>
    </row>
    <row r="499">
      <c r="A499" t="inlineStr">
        <is>
          <t>IRL</t>
        </is>
      </c>
      <c r="B499" t="inlineStr">
        <is>
          <t>2016-T2</t>
        </is>
      </c>
      <c r="C499">
        <f>IF(Indices!O19="","",Indices!O19)</f>
        <v/>
      </c>
      <c r="D499">
        <f>IF(C499="",0,8066)</f>
        <v/>
      </c>
    </row>
    <row r="500">
      <c r="A500" t="inlineStr">
        <is>
          <t>IRL</t>
        </is>
      </c>
      <c r="B500" t="inlineStr">
        <is>
          <t>2016-T3</t>
        </is>
      </c>
      <c r="C500">
        <f>IF(Indices!P19="","",Indices!P19)</f>
        <v/>
      </c>
      <c r="D500">
        <f>IF(C500="",0,8067)</f>
        <v/>
      </c>
    </row>
    <row r="501">
      <c r="A501" t="inlineStr">
        <is>
          <t>IRL</t>
        </is>
      </c>
      <c r="B501" t="inlineStr">
        <is>
          <t>2016-T4</t>
        </is>
      </c>
      <c r="C501">
        <f>IF(Indices!Q19="","",Indices!Q19)</f>
        <v/>
      </c>
      <c r="D501">
        <f>IF(C501="",0,8068)</f>
        <v/>
      </c>
    </row>
    <row r="502">
      <c r="A502" t="inlineStr">
        <is>
          <t>IRL</t>
        </is>
      </c>
      <c r="B502" t="inlineStr">
        <is>
          <t>2017-T1</t>
        </is>
      </c>
      <c r="C502">
        <f>IF(Indices!N20="","",Indices!N20)</f>
        <v/>
      </c>
      <c r="D502">
        <f>IF(C502="",0,8069)</f>
        <v/>
      </c>
    </row>
    <row r="503">
      <c r="A503" t="inlineStr">
        <is>
          <t>IRL</t>
        </is>
      </c>
      <c r="B503" t="inlineStr">
        <is>
          <t>2017-T2</t>
        </is>
      </c>
      <c r="C503">
        <f>IF(Indices!O20="","",Indices!O20)</f>
        <v/>
      </c>
      <c r="D503">
        <f>IF(C503="",0,8070)</f>
        <v/>
      </c>
    </row>
    <row r="504">
      <c r="A504" t="inlineStr">
        <is>
          <t>IRL</t>
        </is>
      </c>
      <c r="B504" t="inlineStr">
        <is>
          <t>2017-T3</t>
        </is>
      </c>
      <c r="C504">
        <f>IF(Indices!P20="","",Indices!P20)</f>
        <v/>
      </c>
      <c r="D504">
        <f>IF(C504="",0,8071)</f>
        <v/>
      </c>
    </row>
    <row r="505">
      <c r="A505" t="inlineStr">
        <is>
          <t>IRL</t>
        </is>
      </c>
      <c r="B505" t="inlineStr">
        <is>
          <t>2017-T4</t>
        </is>
      </c>
      <c r="C505">
        <f>IF(Indices!Q20="","",Indices!Q20)</f>
        <v/>
      </c>
      <c r="D505">
        <f>IF(C505="",0,8072)</f>
        <v/>
      </c>
    </row>
    <row r="506">
      <c r="A506" t="inlineStr">
        <is>
          <t>IRL</t>
        </is>
      </c>
      <c r="B506" t="inlineStr">
        <is>
          <t>2018-T1</t>
        </is>
      </c>
      <c r="C506">
        <f>IF(Indices!N21="","",Indices!N21)</f>
        <v/>
      </c>
      <c r="D506">
        <f>IF(C506="",0,8073)</f>
        <v/>
      </c>
    </row>
    <row r="507">
      <c r="A507" t="inlineStr">
        <is>
          <t>IRL</t>
        </is>
      </c>
      <c r="B507" t="inlineStr">
        <is>
          <t>2018-T2</t>
        </is>
      </c>
      <c r="C507">
        <f>IF(Indices!O21="","",Indices!O21)</f>
        <v/>
      </c>
      <c r="D507">
        <f>IF(C507="",0,8074)</f>
        <v/>
      </c>
    </row>
    <row r="508">
      <c r="A508" t="inlineStr">
        <is>
          <t>IRL</t>
        </is>
      </c>
      <c r="B508" t="inlineStr">
        <is>
          <t>2018-T3</t>
        </is>
      </c>
      <c r="C508">
        <f>IF(Indices!P21="","",Indices!P21)</f>
        <v/>
      </c>
      <c r="D508">
        <f>IF(C508="",0,8075)</f>
        <v/>
      </c>
    </row>
    <row r="509">
      <c r="A509" t="inlineStr">
        <is>
          <t>IRL</t>
        </is>
      </c>
      <c r="B509" t="inlineStr">
        <is>
          <t>2018-T4</t>
        </is>
      </c>
      <c r="C509">
        <f>IF(Indices!Q21="","",Indices!Q21)</f>
        <v/>
      </c>
      <c r="D509">
        <f>IF(C509="",0,8076)</f>
        <v/>
      </c>
    </row>
    <row r="510">
      <c r="A510" t="inlineStr">
        <is>
          <t>IRL</t>
        </is>
      </c>
      <c r="B510" t="inlineStr">
        <is>
          <t>2019-T1</t>
        </is>
      </c>
      <c r="C510">
        <f>IF(Indices!N22="","",Indices!N22)</f>
        <v/>
      </c>
      <c r="D510">
        <f>IF(C510="",0,8077)</f>
        <v/>
      </c>
    </row>
    <row r="511">
      <c r="A511" t="inlineStr">
        <is>
          <t>IRL</t>
        </is>
      </c>
      <c r="B511" t="inlineStr">
        <is>
          <t>2019-T2</t>
        </is>
      </c>
      <c r="C511">
        <f>IF(Indices!O22="","",Indices!O22)</f>
        <v/>
      </c>
      <c r="D511">
        <f>IF(C511="",0,8078)</f>
        <v/>
      </c>
    </row>
    <row r="512">
      <c r="A512" t="inlineStr">
        <is>
          <t>IRL</t>
        </is>
      </c>
      <c r="B512" t="inlineStr">
        <is>
          <t>2019-T3</t>
        </is>
      </c>
      <c r="C512">
        <f>IF(Indices!P22="","",Indices!P22)</f>
        <v/>
      </c>
      <c r="D512">
        <f>IF(C512="",0,8079)</f>
        <v/>
      </c>
    </row>
    <row r="513">
      <c r="A513" t="inlineStr">
        <is>
          <t>IRL</t>
        </is>
      </c>
      <c r="B513" t="inlineStr">
        <is>
          <t>2019-T4</t>
        </is>
      </c>
      <c r="C513">
        <f>IF(Indices!Q22="","",Indices!Q22)</f>
        <v/>
      </c>
      <c r="D513">
        <f>IF(C513="",0,8080)</f>
        <v/>
      </c>
    </row>
    <row r="514">
      <c r="A514" t="inlineStr">
        <is>
          <t>IRL</t>
        </is>
      </c>
      <c r="B514" t="inlineStr">
        <is>
          <t>2020-T1</t>
        </is>
      </c>
      <c r="C514">
        <f>IF(Indices!N23="","",Indices!N23)</f>
        <v/>
      </c>
      <c r="D514">
        <f>IF(C514="",0,8081)</f>
        <v/>
      </c>
    </row>
    <row r="515">
      <c r="A515" t="inlineStr">
        <is>
          <t>IRL</t>
        </is>
      </c>
      <c r="B515" t="inlineStr">
        <is>
          <t>2020-T2</t>
        </is>
      </c>
      <c r="C515">
        <f>IF(Indices!O23="","",Indices!O23)</f>
        <v/>
      </c>
      <c r="D515">
        <f>IF(C515="",0,8082)</f>
        <v/>
      </c>
    </row>
    <row r="516">
      <c r="A516" t="inlineStr">
        <is>
          <t>IRL</t>
        </is>
      </c>
      <c r="B516" t="inlineStr">
        <is>
          <t>2020-T3</t>
        </is>
      </c>
      <c r="C516">
        <f>IF(Indices!P23="","",Indices!P23)</f>
        <v/>
      </c>
      <c r="D516">
        <f>IF(C516="",0,8083)</f>
        <v/>
      </c>
    </row>
    <row r="517">
      <c r="A517" t="inlineStr">
        <is>
          <t>IRL</t>
        </is>
      </c>
      <c r="B517" t="inlineStr">
        <is>
          <t>2020-T4</t>
        </is>
      </c>
      <c r="C517">
        <f>IF(Indices!Q23="","",Indices!Q23)</f>
        <v/>
      </c>
      <c r="D517">
        <f>IF(C517="",0,8084)</f>
        <v/>
      </c>
    </row>
    <row r="518">
      <c r="A518" t="inlineStr">
        <is>
          <t>IRL</t>
        </is>
      </c>
      <c r="B518" t="inlineStr">
        <is>
          <t>2021-T1</t>
        </is>
      </c>
      <c r="C518">
        <f>IF(Indices!N24="","",Indices!N24)</f>
        <v/>
      </c>
      <c r="D518">
        <f>IF(C518="",0,8085)</f>
        <v/>
      </c>
    </row>
    <row r="519">
      <c r="A519" t="inlineStr">
        <is>
          <t>IRL</t>
        </is>
      </c>
      <c r="B519" t="inlineStr">
        <is>
          <t>2021-T2</t>
        </is>
      </c>
      <c r="C519">
        <f>IF(Indices!O24="","",Indices!O24)</f>
        <v/>
      </c>
      <c r="D519">
        <f>IF(C519="",0,8086)</f>
        <v/>
      </c>
    </row>
    <row r="520">
      <c r="A520" t="inlineStr">
        <is>
          <t>IRL</t>
        </is>
      </c>
      <c r="B520" t="inlineStr">
        <is>
          <t>2021-T3</t>
        </is>
      </c>
      <c r="C520">
        <f>IF(Indices!P24="","",Indices!P24)</f>
        <v/>
      </c>
      <c r="D520">
        <f>IF(C520="",0,8087)</f>
        <v/>
      </c>
    </row>
    <row r="521">
      <c r="A521" t="inlineStr">
        <is>
          <t>IRL</t>
        </is>
      </c>
      <c r="B521" t="inlineStr">
        <is>
          <t>2021-T4</t>
        </is>
      </c>
      <c r="C521">
        <f>IF(Indices!Q24="","",Indices!Q24)</f>
        <v/>
      </c>
      <c r="D521">
        <f>IF(C521="",0,8088)</f>
        <v/>
      </c>
    </row>
    <row r="522">
      <c r="A522" t="inlineStr">
        <is>
          <t>IRL</t>
        </is>
      </c>
      <c r="B522" t="inlineStr">
        <is>
          <t>2022-T1</t>
        </is>
      </c>
      <c r="C522">
        <f>IF(Indices!N25="","",Indices!N25)</f>
        <v/>
      </c>
      <c r="D522">
        <f>IF(C522="",0,8089)</f>
        <v/>
      </c>
    </row>
    <row r="523">
      <c r="A523" t="inlineStr">
        <is>
          <t>IRL</t>
        </is>
      </c>
      <c r="B523" t="inlineStr">
        <is>
          <t>2022-T2</t>
        </is>
      </c>
      <c r="C523">
        <f>IF(Indices!O25="","",Indices!O25)</f>
        <v/>
      </c>
      <c r="D523">
        <f>IF(C523="",0,8090)</f>
        <v/>
      </c>
    </row>
    <row r="524">
      <c r="A524" t="inlineStr">
        <is>
          <t>IRL</t>
        </is>
      </c>
      <c r="B524" t="inlineStr">
        <is>
          <t>2022-T3</t>
        </is>
      </c>
      <c r="C524">
        <f>IF(Indices!P25="","",Indices!P25)</f>
        <v/>
      </c>
      <c r="D524">
        <f>IF(C524="",0,8091)</f>
        <v/>
      </c>
    </row>
    <row r="525">
      <c r="A525" t="inlineStr">
        <is>
          <t>IRL</t>
        </is>
      </c>
      <c r="B525" t="inlineStr">
        <is>
          <t>2022-T4</t>
        </is>
      </c>
      <c r="C525">
        <f>IF(Indices!Q25="","",Indices!Q25)</f>
        <v/>
      </c>
      <c r="D525">
        <f>IF(C525="",0,8092)</f>
        <v/>
      </c>
    </row>
    <row r="526">
      <c r="A526" t="inlineStr">
        <is>
          <t>IRL</t>
        </is>
      </c>
      <c r="B526" t="inlineStr">
        <is>
          <t>2023-T1</t>
        </is>
      </c>
      <c r="C526">
        <f>IF(Indices!N26="","",Indices!N26)</f>
        <v/>
      </c>
      <c r="D526">
        <f>IF(C526="",0,8093)</f>
        <v/>
      </c>
    </row>
    <row r="527">
      <c r="A527" t="inlineStr">
        <is>
          <t>IRL</t>
        </is>
      </c>
      <c r="B527" t="inlineStr">
        <is>
          <t>2023-T2</t>
        </is>
      </c>
      <c r="C527">
        <f>IF(Indices!O26="","",Indices!O26)</f>
        <v/>
      </c>
      <c r="D527">
        <f>IF(C527="",0,8094)</f>
        <v/>
      </c>
    </row>
    <row r="528">
      <c r="A528" t="inlineStr">
        <is>
          <t>IRL</t>
        </is>
      </c>
      <c r="B528" t="inlineStr">
        <is>
          <t>2023-T3</t>
        </is>
      </c>
      <c r="C528">
        <f>IF(Indices!P26="","",Indices!P26)</f>
        <v/>
      </c>
      <c r="D528">
        <f>IF(C528="",0,8095)</f>
        <v/>
      </c>
    </row>
    <row r="529">
      <c r="A529" t="inlineStr">
        <is>
          <t>IRL</t>
        </is>
      </c>
      <c r="B529" t="inlineStr">
        <is>
          <t>2023-T4</t>
        </is>
      </c>
      <c r="C529">
        <f>IF(Indices!Q26="","",Indices!Q26)</f>
        <v/>
      </c>
      <c r="D529">
        <f>IF(C529="",0,8096)</f>
        <v/>
      </c>
    </row>
    <row r="530">
      <c r="A530" t="inlineStr">
        <is>
          <t>IRL</t>
        </is>
      </c>
      <c r="B530" t="inlineStr">
        <is>
          <t>2024-T1</t>
        </is>
      </c>
      <c r="C530">
        <f>IF(Indices!N27="","",Indices!N27)</f>
        <v/>
      </c>
      <c r="D530">
        <f>IF(C530="",0,8097)</f>
        <v/>
      </c>
    </row>
    <row r="531">
      <c r="A531" t="inlineStr">
        <is>
          <t>IRL</t>
        </is>
      </c>
      <c r="B531" t="inlineStr">
        <is>
          <t>2024-T2</t>
        </is>
      </c>
      <c r="C531">
        <f>IF(Indices!O27="","",Indices!O27)</f>
        <v/>
      </c>
      <c r="D531">
        <f>IF(C531="",0,8098)</f>
        <v/>
      </c>
    </row>
    <row r="532">
      <c r="A532" t="inlineStr">
        <is>
          <t>IRL</t>
        </is>
      </c>
      <c r="B532" t="inlineStr">
        <is>
          <t>2024-T3</t>
        </is>
      </c>
      <c r="C532">
        <f>IF(Indices!P27="","",Indices!P27)</f>
        <v/>
      </c>
      <c r="D532">
        <f>IF(C532="",0,8099)</f>
        <v/>
      </c>
    </row>
    <row r="533">
      <c r="A533" t="inlineStr">
        <is>
          <t>IRL</t>
        </is>
      </c>
      <c r="B533" t="inlineStr">
        <is>
          <t>2024-T4</t>
        </is>
      </c>
      <c r="C533">
        <f>IF(Indices!Q27="","",Indices!Q27)</f>
        <v/>
      </c>
      <c r="D533">
        <f>IF(C533="",0,8100)</f>
        <v/>
      </c>
    </row>
    <row r="534">
      <c r="A534" t="inlineStr">
        <is>
          <t>IRL</t>
        </is>
      </c>
      <c r="B534" t="inlineStr">
        <is>
          <t>2025-T1</t>
        </is>
      </c>
      <c r="C534">
        <f>IF(Indices!N28="","",Indices!N28)</f>
        <v/>
      </c>
      <c r="D534">
        <f>IF(C534="",0,8101)</f>
        <v/>
      </c>
    </row>
    <row r="535">
      <c r="A535" t="inlineStr">
        <is>
          <t>IRL</t>
        </is>
      </c>
      <c r="B535" t="inlineStr">
        <is>
          <t>2025-T2</t>
        </is>
      </c>
      <c r="C535">
        <f>IF(Indices!O28="","",Indices!O28)</f>
        <v/>
      </c>
      <c r="D535">
        <f>IF(C535="",0,8102)</f>
        <v/>
      </c>
    </row>
    <row r="536">
      <c r="A536" t="inlineStr">
        <is>
          <t>IRL</t>
        </is>
      </c>
      <c r="B536" t="inlineStr">
        <is>
          <t>2025-T3</t>
        </is>
      </c>
      <c r="C536">
        <f>IF(Indices!P28="","",Indices!P28)</f>
        <v/>
      </c>
      <c r="D536">
        <f>IF(C536="",0,8103)</f>
        <v/>
      </c>
    </row>
    <row r="537">
      <c r="A537" t="inlineStr">
        <is>
          <t>IRL</t>
        </is>
      </c>
      <c r="B537" t="inlineStr">
        <is>
          <t>2025-T4</t>
        </is>
      </c>
      <c r="C537">
        <f>IF(Indices!Q28="","",Indices!Q28)</f>
        <v/>
      </c>
      <c r="D537">
        <f>IF(C537="",0,8104)</f>
        <v/>
      </c>
    </row>
    <row r="538">
      <c r="A538" t="inlineStr">
        <is>
          <t>IRL</t>
        </is>
      </c>
      <c r="B538" t="inlineStr">
        <is>
          <t>2026-T1</t>
        </is>
      </c>
      <c r="C538">
        <f>IF(Indices!N29="","",Indices!N29)</f>
        <v/>
      </c>
      <c r="D538">
        <f>IF(C538="",0,8105)</f>
        <v/>
      </c>
    </row>
    <row r="539">
      <c r="A539" t="inlineStr">
        <is>
          <t>IRL</t>
        </is>
      </c>
      <c r="B539" t="inlineStr">
        <is>
          <t>2026-T2</t>
        </is>
      </c>
      <c r="C539">
        <f>IF(Indices!O29="","",Indices!O29)</f>
        <v/>
      </c>
      <c r="D539">
        <f>IF(C539="",0,8106)</f>
        <v/>
      </c>
    </row>
    <row r="540">
      <c r="A540" t="inlineStr">
        <is>
          <t>IRL</t>
        </is>
      </c>
      <c r="B540" t="inlineStr">
        <is>
          <t>2026-T3</t>
        </is>
      </c>
      <c r="C540">
        <f>IF(Indices!P29="","",Indices!P29)</f>
        <v/>
      </c>
      <c r="D540">
        <f>IF(C540="",0,8107)</f>
        <v/>
      </c>
    </row>
    <row r="541">
      <c r="A541" t="inlineStr">
        <is>
          <t>IRL</t>
        </is>
      </c>
      <c r="B541" t="inlineStr">
        <is>
          <t>2026-T4</t>
        </is>
      </c>
      <c r="C541">
        <f>IF(Indices!Q29="","",Indices!Q29)</f>
        <v/>
      </c>
      <c r="D541">
        <f>IF(C541="",0,8108)</f>
        <v/>
      </c>
    </row>
    <row r="542">
      <c r="A542" t="inlineStr">
        <is>
          <t>IRL</t>
        </is>
      </c>
      <c r="B542" t="inlineStr">
        <is>
          <t>2027-T1</t>
        </is>
      </c>
      <c r="C542">
        <f>IF(Indices!N30="","",Indices!N30)</f>
        <v/>
      </c>
      <c r="D542">
        <f>IF(C542="",0,8109)</f>
        <v/>
      </c>
    </row>
    <row r="543">
      <c r="A543" t="inlineStr">
        <is>
          <t>IRL</t>
        </is>
      </c>
      <c r="B543" t="inlineStr">
        <is>
          <t>2027-T2</t>
        </is>
      </c>
      <c r="C543">
        <f>IF(Indices!O30="","",Indices!O30)</f>
        <v/>
      </c>
      <c r="D543">
        <f>IF(C543="",0,8110)</f>
        <v/>
      </c>
    </row>
    <row r="544">
      <c r="A544" t="inlineStr">
        <is>
          <t>IRL</t>
        </is>
      </c>
      <c r="B544" t="inlineStr">
        <is>
          <t>2027-T3</t>
        </is>
      </c>
      <c r="C544">
        <f>IF(Indices!P30="","",Indices!P30)</f>
        <v/>
      </c>
      <c r="D544">
        <f>IF(C544="",0,8111)</f>
        <v/>
      </c>
    </row>
    <row r="545">
      <c r="A545" t="inlineStr">
        <is>
          <t>IRL</t>
        </is>
      </c>
      <c r="B545" t="inlineStr">
        <is>
          <t>2027-T4</t>
        </is>
      </c>
      <c r="C545">
        <f>IF(Indices!Q30="","",Indices!Q30)</f>
        <v/>
      </c>
      <c r="D545">
        <f>IF(C545="",0,8112)</f>
        <v/>
      </c>
    </row>
    <row r="546">
      <c r="A546" t="inlineStr">
        <is>
          <t>IRL</t>
        </is>
      </c>
      <c r="B546" t="inlineStr">
        <is>
          <t>2028-T1</t>
        </is>
      </c>
      <c r="C546">
        <f>IF(Indices!N31="","",Indices!N31)</f>
        <v/>
      </c>
      <c r="D546">
        <f>IF(C546="",0,8113)</f>
        <v/>
      </c>
    </row>
    <row r="547">
      <c r="A547" t="inlineStr">
        <is>
          <t>IRL</t>
        </is>
      </c>
      <c r="B547" t="inlineStr">
        <is>
          <t>2028-T2</t>
        </is>
      </c>
      <c r="C547">
        <f>IF(Indices!O31="","",Indices!O31)</f>
        <v/>
      </c>
      <c r="D547">
        <f>IF(C547="",0,8114)</f>
        <v/>
      </c>
    </row>
    <row r="548">
      <c r="A548" t="inlineStr">
        <is>
          <t>IRL</t>
        </is>
      </c>
      <c r="B548" t="inlineStr">
        <is>
          <t>2028-T3</t>
        </is>
      </c>
      <c r="C548">
        <f>IF(Indices!P31="","",Indices!P31)</f>
        <v/>
      </c>
      <c r="D548">
        <f>IF(C548="",0,8115)</f>
        <v/>
      </c>
    </row>
    <row r="549">
      <c r="A549" t="inlineStr">
        <is>
          <t>IRL</t>
        </is>
      </c>
      <c r="B549" t="inlineStr">
        <is>
          <t>2028-T4</t>
        </is>
      </c>
      <c r="C549">
        <f>IF(Indices!Q31="","",Indices!Q31)</f>
        <v/>
      </c>
      <c r="D549">
        <f>IF(C549="",0,8116)</f>
        <v/>
      </c>
    </row>
    <row r="550">
      <c r="A550" t="inlineStr">
        <is>
          <t>IRL</t>
        </is>
      </c>
      <c r="B550" t="inlineStr">
        <is>
          <t>2029-T1</t>
        </is>
      </c>
      <c r="C550">
        <f>IF(Indices!N32="","",Indices!N32)</f>
        <v/>
      </c>
      <c r="D550">
        <f>IF(C550="",0,8117)</f>
        <v/>
      </c>
    </row>
    <row r="551">
      <c r="A551" t="inlineStr">
        <is>
          <t>IRL</t>
        </is>
      </c>
      <c r="B551" t="inlineStr">
        <is>
          <t>2029-T2</t>
        </is>
      </c>
      <c r="C551">
        <f>IF(Indices!O32="","",Indices!O32)</f>
        <v/>
      </c>
      <c r="D551">
        <f>IF(C551="",0,8118)</f>
        <v/>
      </c>
    </row>
    <row r="552">
      <c r="A552" t="inlineStr">
        <is>
          <t>IRL</t>
        </is>
      </c>
      <c r="B552" t="inlineStr">
        <is>
          <t>2029-T3</t>
        </is>
      </c>
      <c r="C552">
        <f>IF(Indices!P32="","",Indices!P32)</f>
        <v/>
      </c>
      <c r="D552">
        <f>IF(C552="",0,8119)</f>
        <v/>
      </c>
    </row>
    <row r="553">
      <c r="A553" t="inlineStr">
        <is>
          <t>IRL</t>
        </is>
      </c>
      <c r="B553" t="inlineStr">
        <is>
          <t>2029-T4</t>
        </is>
      </c>
      <c r="C553">
        <f>IF(Indices!Q32="","",Indices!Q32)</f>
        <v/>
      </c>
      <c r="D553">
        <f>IF(C553="",0,8120)</f>
        <v/>
      </c>
    </row>
    <row r="554">
      <c r="A554" t="inlineStr">
        <is>
          <t>IRL</t>
        </is>
      </c>
      <c r="B554" t="inlineStr">
        <is>
          <t>2030-T1</t>
        </is>
      </c>
      <c r="C554">
        <f>IF(Indices!N33="","",Indices!N33)</f>
        <v/>
      </c>
      <c r="D554">
        <f>IF(C554="",0,8121)</f>
        <v/>
      </c>
    </row>
    <row r="555">
      <c r="A555" t="inlineStr">
        <is>
          <t>IRL</t>
        </is>
      </c>
      <c r="B555" t="inlineStr">
        <is>
          <t>2030-T2</t>
        </is>
      </c>
      <c r="C555">
        <f>IF(Indices!O33="","",Indices!O33)</f>
        <v/>
      </c>
      <c r="D555">
        <f>IF(C555="",0,8122)</f>
        <v/>
      </c>
    </row>
    <row r="556">
      <c r="A556" t="inlineStr">
        <is>
          <t>IRL</t>
        </is>
      </c>
      <c r="B556" t="inlineStr">
        <is>
          <t>2030-T3</t>
        </is>
      </c>
      <c r="C556">
        <f>IF(Indices!P33="","",Indices!P33)</f>
        <v/>
      </c>
      <c r="D556">
        <f>IF(C556="",0,8123)</f>
        <v/>
      </c>
    </row>
    <row r="557">
      <c r="A557" t="inlineStr">
        <is>
          <t>IRL</t>
        </is>
      </c>
      <c r="B557" t="inlineStr">
        <is>
          <t>2030-T4</t>
        </is>
      </c>
      <c r="C557">
        <f>IF(Indices!Q33="","",Indices!Q33)</f>
        <v/>
      </c>
      <c r="D557">
        <f>IF(C557="",0,8124)</f>
        <v/>
      </c>
    </row>
    <row r="558">
      <c r="A558" t="inlineStr">
        <is>
          <t>IRL</t>
        </is>
      </c>
      <c r="B558" t="inlineStr">
        <is>
          <t>2031-T1</t>
        </is>
      </c>
      <c r="C558">
        <f>IF(Indices!N34="","",Indices!N34)</f>
        <v/>
      </c>
      <c r="D558">
        <f>IF(C558="",0,8125)</f>
        <v/>
      </c>
    </row>
    <row r="559">
      <c r="A559" t="inlineStr">
        <is>
          <t>IRL</t>
        </is>
      </c>
      <c r="B559" t="inlineStr">
        <is>
          <t>2031-T2</t>
        </is>
      </c>
      <c r="C559">
        <f>IF(Indices!O34="","",Indices!O34)</f>
        <v/>
      </c>
      <c r="D559">
        <f>IF(C559="",0,8126)</f>
        <v/>
      </c>
    </row>
    <row r="560">
      <c r="A560" t="inlineStr">
        <is>
          <t>IRL</t>
        </is>
      </c>
      <c r="B560" t="inlineStr">
        <is>
          <t>2031-T3</t>
        </is>
      </c>
      <c r="C560">
        <f>IF(Indices!P34="","",Indices!P34)</f>
        <v/>
      </c>
      <c r="D560">
        <f>IF(C560="",0,8127)</f>
        <v/>
      </c>
    </row>
    <row r="561">
      <c r="A561" t="inlineStr">
        <is>
          <t>IRL</t>
        </is>
      </c>
      <c r="B561" t="inlineStr">
        <is>
          <t>2031-T4</t>
        </is>
      </c>
      <c r="C561">
        <f>IF(Indices!Q34="","",Indices!Q34)</f>
        <v/>
      </c>
      <c r="D561">
        <f>IF(C561="",0,8128)</f>
        <v/>
      </c>
    </row>
    <row r="562">
      <c r="A562" t="inlineStr">
        <is>
          <t>IRL</t>
        </is>
      </c>
      <c r="B562" t="inlineStr">
        <is>
          <t>2032-T1</t>
        </is>
      </c>
      <c r="C562">
        <f>IF(Indices!N35="","",Indices!N35)</f>
        <v/>
      </c>
      <c r="D562">
        <f>IF(C562="",0,8129)</f>
        <v/>
      </c>
    </row>
    <row r="563">
      <c r="A563" t="inlineStr">
        <is>
          <t>IRL</t>
        </is>
      </c>
      <c r="B563" t="inlineStr">
        <is>
          <t>2032-T2</t>
        </is>
      </c>
      <c r="C563">
        <f>IF(Indices!O35="","",Indices!O35)</f>
        <v/>
      </c>
      <c r="D563">
        <f>IF(C563="",0,8130)</f>
        <v/>
      </c>
    </row>
    <row r="564">
      <c r="A564" t="inlineStr">
        <is>
          <t>IRL</t>
        </is>
      </c>
      <c r="B564" t="inlineStr">
        <is>
          <t>2032-T3</t>
        </is>
      </c>
      <c r="C564">
        <f>IF(Indices!P35="","",Indices!P35)</f>
        <v/>
      </c>
      <c r="D564">
        <f>IF(C564="",0,8131)</f>
        <v/>
      </c>
    </row>
    <row r="565">
      <c r="A565" t="inlineStr">
        <is>
          <t>IRL</t>
        </is>
      </c>
      <c r="B565" t="inlineStr">
        <is>
          <t>2032-T4</t>
        </is>
      </c>
      <c r="C565">
        <f>IF(Indices!Q35="","",Indices!Q35)</f>
        <v/>
      </c>
      <c r="D565">
        <f>IF(C565="",0,8132)</f>
        <v/>
      </c>
    </row>
    <row r="566">
      <c r="A566" t="inlineStr">
        <is>
          <t>IRL</t>
        </is>
      </c>
      <c r="B566" t="inlineStr">
        <is>
          <t>2033-T1</t>
        </is>
      </c>
      <c r="C566">
        <f>IF(Indices!N36="","",Indices!N36)</f>
        <v/>
      </c>
      <c r="D566">
        <f>IF(C566="",0,8133)</f>
        <v/>
      </c>
    </row>
    <row r="567">
      <c r="A567" t="inlineStr">
        <is>
          <t>IRL</t>
        </is>
      </c>
      <c r="B567" t="inlineStr">
        <is>
          <t>2033-T2</t>
        </is>
      </c>
      <c r="C567">
        <f>IF(Indices!O36="","",Indices!O36)</f>
        <v/>
      </c>
      <c r="D567">
        <f>IF(C567="",0,8134)</f>
        <v/>
      </c>
    </row>
    <row r="568">
      <c r="A568" t="inlineStr">
        <is>
          <t>IRL</t>
        </is>
      </c>
      <c r="B568" t="inlineStr">
        <is>
          <t>2033-T3</t>
        </is>
      </c>
      <c r="C568">
        <f>IF(Indices!P36="","",Indices!P36)</f>
        <v/>
      </c>
      <c r="D568">
        <f>IF(C568="",0,8135)</f>
        <v/>
      </c>
    </row>
    <row r="569">
      <c r="A569" t="inlineStr">
        <is>
          <t>IRL</t>
        </is>
      </c>
      <c r="B569" t="inlineStr">
        <is>
          <t>2033-T4</t>
        </is>
      </c>
      <c r="C569">
        <f>IF(Indices!Q36="","",Indices!Q36)</f>
        <v/>
      </c>
      <c r="D569">
        <f>IF(C569="",0,8136)</f>
        <v/>
      </c>
    </row>
    <row r="570">
      <c r="A570" t="inlineStr">
        <is>
          <t>IRL</t>
        </is>
      </c>
      <c r="B570" t="inlineStr">
        <is>
          <t>2034-T1</t>
        </is>
      </c>
      <c r="C570">
        <f>IF(Indices!N37="","",Indices!N37)</f>
        <v/>
      </c>
      <c r="D570">
        <f>IF(C570="",0,8137)</f>
        <v/>
      </c>
    </row>
    <row r="571">
      <c r="A571" t="inlineStr">
        <is>
          <t>IRL</t>
        </is>
      </c>
      <c r="B571" t="inlineStr">
        <is>
          <t>2034-T2</t>
        </is>
      </c>
      <c r="C571">
        <f>IF(Indices!O37="","",Indices!O37)</f>
        <v/>
      </c>
      <c r="D571">
        <f>IF(C571="",0,8138)</f>
        <v/>
      </c>
    </row>
    <row r="572">
      <c r="A572" t="inlineStr">
        <is>
          <t>IRL</t>
        </is>
      </c>
      <c r="B572" t="inlineStr">
        <is>
          <t>2034-T3</t>
        </is>
      </c>
      <c r="C572">
        <f>IF(Indices!P37="","",Indices!P37)</f>
        <v/>
      </c>
      <c r="D572">
        <f>IF(C572="",0,8139)</f>
        <v/>
      </c>
    </row>
    <row r="573">
      <c r="A573" t="inlineStr">
        <is>
          <t>IRL</t>
        </is>
      </c>
      <c r="B573" t="inlineStr">
        <is>
          <t>2034-T4</t>
        </is>
      </c>
      <c r="C573">
        <f>IF(Indices!Q37="","",Indices!Q37)</f>
        <v/>
      </c>
      <c r="D573">
        <f>IF(C573="",0,8140)</f>
        <v/>
      </c>
    </row>
    <row r="574">
      <c r="A574" t="inlineStr">
        <is>
          <t>IRL</t>
        </is>
      </c>
      <c r="B574" t="inlineStr">
        <is>
          <t>2035-T1</t>
        </is>
      </c>
      <c r="C574">
        <f>IF(Indices!N38="","",Indices!N38)</f>
        <v/>
      </c>
      <c r="D574">
        <f>IF(C574="",0,8141)</f>
        <v/>
      </c>
    </row>
    <row r="575">
      <c r="A575" t="inlineStr">
        <is>
          <t>IRL</t>
        </is>
      </c>
      <c r="B575" t="inlineStr">
        <is>
          <t>2035-T2</t>
        </is>
      </c>
      <c r="C575">
        <f>IF(Indices!O38="","",Indices!O38)</f>
        <v/>
      </c>
      <c r="D575">
        <f>IF(C575="",0,8142)</f>
        <v/>
      </c>
    </row>
    <row r="576">
      <c r="A576" t="inlineStr">
        <is>
          <t>IRL</t>
        </is>
      </c>
      <c r="B576" t="inlineStr">
        <is>
          <t>2035-T3</t>
        </is>
      </c>
      <c r="C576">
        <f>IF(Indices!P38="","",Indices!P38)</f>
        <v/>
      </c>
      <c r="D576">
        <f>IF(C576="",0,8143)</f>
        <v/>
      </c>
    </row>
    <row r="577">
      <c r="A577" t="inlineStr">
        <is>
          <t>IRL</t>
        </is>
      </c>
      <c r="B577" t="inlineStr">
        <is>
          <t>2035-T4</t>
        </is>
      </c>
      <c r="C577">
        <f>IF(Indices!Q38="","",Indices!Q38)</f>
        <v/>
      </c>
      <c r="D577">
        <f>IF(C577="",0,8144)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2026-09-09T21:32:55Z</dcterms:created>
  <dcterms:modified xsi:type="dcterms:W3CDTF">2026-09-09T21:32:56Z</dcterms:modified>
</cp:coreProperties>
</file>