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Société" sheetId="2" state="visible" r:id="rId2"/>
    <sheet name="Récapitulatif" sheetId="3" state="visible" r:id="rId3"/>
    <sheet name="Indices" sheetId="4" state="visible" r:id="rId4"/>
    <sheet name="Grille_rang" sheetId="5" state="hidden" r:id="rId5"/>
    <sheet name="Grille indices" sheetId="6" state="visible" r:id="rId6"/>
    <sheet name="Modèle" sheetId="7" state="visible" r:id="rId7"/>
    <sheet name="B01" sheetId="8" state="visible" r:id="rId8"/>
    <sheet name="B02" sheetId="9" state="visible" r:id="rId9"/>
    <sheet name="B03" sheetId="10" state="visible" r:id="rId10"/>
    <sheet name="B04" sheetId="11" state="visible" r:id="rId11"/>
    <sheet name="Pennylane" sheetId="12" state="visible" r:id="rId12"/>
  </sheets>
  <definedNames>
    <definedName name="_xlnm._FilterDatabase" localSheetId="2" hidden="1">'Récapitulatif'!$A$1:$R$41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\ &quot;€&quot;"/>
    <numFmt numFmtId="167" formatCode="0.000000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7F7F7F"/>
    </font>
    <font>
      <b val="1"/>
      <color rgb="00C00000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0" fillId="4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vertical="top" wrapText="1"/>
    </xf>
    <xf numFmtId="166" fontId="4" fillId="0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/>
    </xf>
    <xf numFmtId="0" fontId="0" fillId="2" borderId="1" pivotButton="0" quotePrefix="0" xfId="0"/>
    <xf numFmtId="2" fontId="0" fillId="2" borderId="1" pivotButton="0" quotePrefix="0" xfId="0"/>
    <xf numFmtId="1" fontId="0" fillId="2" borderId="1" pivotButton="0" quotePrefix="0" xfId="0"/>
    <xf numFmtId="2" fontId="0" fillId="4" borderId="1" pivotButton="0" quotePrefix="0" xfId="0"/>
    <xf numFmtId="1" fontId="0" fillId="4" borderId="1" pivotButton="0" quotePrefix="0" xfId="0"/>
    <xf numFmtId="0" fontId="5" fillId="5" borderId="0" applyAlignment="1" pivotButton="0" quotePrefix="0" xfId="0">
      <alignment horizontal="center" wrapText="1"/>
    </xf>
    <xf numFmtId="2" fontId="0" fillId="0" borderId="1" pivotButton="0" quotePrefix="0" xfId="0"/>
    <xf numFmtId="1" fontId="0" fillId="0" borderId="1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165" fontId="0" fillId="4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4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167" fontId="0" fillId="0" borderId="1" pivotButton="0" quotePrefix="0" xfId="0"/>
    <xf numFmtId="10" fontId="0" fillId="0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C00000"/>
      </font>
    </dxf>
    <dxf>
      <font>
        <i val="1"/>
        <color rgb="007F7F7F"/>
      </font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b val="1"/>
        <color rgb="001F4E79"/>
      </font>
      <fill>
        <patternFill patternType="solid">
          <fgColor rgb="00DDEBF7"/>
        </patternFill>
      </fill>
    </dxf>
    <dxf>
      <font>
        <color rgb="00BFBFB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2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>
      <c r="B2" s="1" t="inlineStr">
        <is>
          <t>Suivi des réindexations de loyers – SCI EXEMPLE (DÉMO)</t>
        </is>
      </c>
    </row>
    <row r="3">
      <c r="B3" s="2" t="inlineStr">
        <is>
          <t>Modèle v0.3.0 généré le 09/09/2026</t>
        </is>
      </c>
    </row>
    <row r="5">
      <c r="B5" s="3" t="inlineStr">
        <is>
          <t>⚠ CLASSEUR DE DÉMONSTRATION : indices ILAT/ICC/IRL et baux FICTIFS (ILC = valeurs INSEE réelles). Ne pas utiliser pour un calcul réel.</t>
        </is>
      </c>
      <c r="C5" s="4" t="n"/>
      <c r="D5" s="4" t="n"/>
      <c r="E5" s="4" t="n"/>
      <c r="F5" s="4" t="n"/>
    </row>
    <row r="7">
      <c r="B7" s="5" t="inlineStr">
        <is>
          <t>Derniers indices collés (feuille Indices)</t>
        </is>
      </c>
    </row>
    <row r="8">
      <c r="B8" s="6" t="inlineStr">
        <is>
          <t>Série</t>
        </is>
      </c>
      <c r="C8" s="6" t="inlineStr">
        <is>
          <t>Dernier trimestre</t>
        </is>
      </c>
      <c r="D8" s="6" t="inlineStr">
        <is>
          <t>Valeur</t>
        </is>
      </c>
      <c r="E8" s="6" t="inlineStr">
        <is>
          <t>Variation annuelle</t>
        </is>
      </c>
    </row>
    <row r="9">
      <c r="B9" t="inlineStr">
        <is>
          <t>ILC – Indice des loyers commerciaux (ILC) - Base 100 au 1er trimestre 2008</t>
        </is>
      </c>
      <c r="C9">
        <f>IF(_xlfn.MAXIFS(Grille_rang!$B:$B,Grille_rang!$A:$A,"ILC")=0,"aucune valeur",INT((_xlfn.MAXIFS(Grille_rang!$B:$B,Grille_rang!$A:$A,"ILC")-1)/4)&amp;"-T"&amp;(_xlfn.MAXIFS(Grille_rang!$B:$B,Grille_rang!$A:$A,"ILC")-INT((_xlfn.MAXIFS(Grille_rang!$B:$B,Grille_rang!$A:$A,"ILC")-1)/4)*4))</f>
        <v/>
      </c>
      <c r="D9" s="7">
        <f>IF(_xlfn.MAXIFS(Grille_rang!$B:$B,Grille_rang!$A:$A,"ILC")=0,"",IF(OR(C9="","ILC"=""),"",IFERROR(IF(SUMIFS(INDEX(Indices!$A:$P,0,MATCH("ILC",Indices!$1:$1,0)+1),INDEX(Indices!$A:$P,0,MATCH("ILC",Indices!$1:$1,0)),C9)=0,"",SUMIFS(INDEX(Indices!$A:$P,0,MATCH("ILC",Indices!$1:$1,0)+1),INDEX(Indices!$A:$P,0,MATCH("ILC",Indices!$1:$1,0)),C9)),"")))</f>
        <v/>
      </c>
      <c r="E9" s="8">
        <f>IFERROR(D9/IF(OR(TEXT(VALUE(LEFT(C9,4))-1,"0")&amp;RIGHT(C9,3)="","ILC"=""),"",IFERROR(IF(SUMIFS(INDEX(Indices!$A:$P,0,MATCH("ILC",Indices!$1:$1,0)+1),INDEX(Indices!$A:$P,0,MATCH("ILC",Indices!$1:$1,0)),TEXT(VALUE(LEFT(C9,4))-1,"0")&amp;RIGHT(C9,3))=0,"",SUMIFS(INDEX(Indices!$A:$P,0,MATCH("ILC",Indices!$1:$1,0)+1),INDEX(Indices!$A:$P,0,MATCH("ILC",Indices!$1:$1,0)),TEXT(VALUE(LEFT(C9,4))-1,"0")&amp;RIGHT(C9,3))),""))-1,"")</f>
        <v/>
      </c>
    </row>
    <row r="10">
      <c r="B10" t="inlineStr">
        <is>
          <t>ILAT – Indice des loyers des activités tertiaires (ILAT) - Base 100 au 1er trimestre 2010</t>
        </is>
      </c>
      <c r="C10">
        <f>IF(_xlfn.MAXIFS(Grille_rang!$B:$B,Grille_rang!$A:$A,"ILAT")=0,"aucune valeur",INT((_xlfn.MAXIFS(Grille_rang!$B:$B,Grille_rang!$A:$A,"ILAT")-1)/4)&amp;"-T"&amp;(_xlfn.MAXIFS(Grille_rang!$B:$B,Grille_rang!$A:$A,"ILAT")-INT((_xlfn.MAXIFS(Grille_rang!$B:$B,Grille_rang!$A:$A,"ILAT")-1)/4)*4))</f>
        <v/>
      </c>
      <c r="D10" s="7">
        <f>IF(_xlfn.MAXIFS(Grille_rang!$B:$B,Grille_rang!$A:$A,"ILAT")=0,"",IF(OR(C10="","ILAT"=""),"",IFERROR(IF(SUMIFS(INDEX(Indices!$A:$P,0,MATCH("ILAT",Indices!$1:$1,0)+1),INDEX(Indices!$A:$P,0,MATCH("ILAT",Indices!$1:$1,0)),C10)=0,"",SUMIFS(INDEX(Indices!$A:$P,0,MATCH("ILAT",Indices!$1:$1,0)+1),INDEX(Indices!$A:$P,0,MATCH("ILAT",Indices!$1:$1,0)),C10)),"")))</f>
        <v/>
      </c>
      <c r="E10" s="8">
        <f>IFERROR(D10/IF(OR(TEXT(VALUE(LEFT(C10,4))-1,"0")&amp;RIGHT(C10,3)="","ILAT"=""),"",IFERROR(IF(SUMIFS(INDEX(Indices!$A:$P,0,MATCH("ILAT",Indices!$1:$1,0)+1),INDEX(Indices!$A:$P,0,MATCH("ILAT",Indices!$1:$1,0)),TEXT(VALUE(LEFT(C10,4))-1,"0")&amp;RIGHT(C10,3))=0,"",SUMIFS(INDEX(Indices!$A:$P,0,MATCH("ILAT",Indices!$1:$1,0)+1),INDEX(Indices!$A:$P,0,MATCH("ILAT",Indices!$1:$1,0)),TEXT(VALUE(LEFT(C10,4))-1,"0")&amp;RIGHT(C10,3))),""))-1,"")</f>
        <v/>
      </c>
    </row>
    <row r="11">
      <c r="B11" t="inlineStr">
        <is>
          <t>ICC – Indice du coût de la construction des immeubles à usage d'habitation (ICC) - Base 100 au 4e trimestre 1953</t>
        </is>
      </c>
      <c r="C11">
        <f>IF(_xlfn.MAXIFS(Grille_rang!$B:$B,Grille_rang!$A:$A,"ICC")=0,"aucune valeur",INT((_xlfn.MAXIFS(Grille_rang!$B:$B,Grille_rang!$A:$A,"ICC")-1)/4)&amp;"-T"&amp;(_xlfn.MAXIFS(Grille_rang!$B:$B,Grille_rang!$A:$A,"ICC")-INT((_xlfn.MAXIFS(Grille_rang!$B:$B,Grille_rang!$A:$A,"ICC")-1)/4)*4))</f>
        <v/>
      </c>
      <c r="D11" s="7">
        <f>IF(_xlfn.MAXIFS(Grille_rang!$B:$B,Grille_rang!$A:$A,"ICC")=0,"",IF(OR(C11="","ICC"=""),"",IFERROR(IF(SUMIFS(INDEX(Indices!$A:$P,0,MATCH("ICC",Indices!$1:$1,0)+1),INDEX(Indices!$A:$P,0,MATCH("ICC",Indices!$1:$1,0)),C11)=0,"",SUMIFS(INDEX(Indices!$A:$P,0,MATCH("ICC",Indices!$1:$1,0)+1),INDEX(Indices!$A:$P,0,MATCH("ICC",Indices!$1:$1,0)),C11)),"")))</f>
        <v/>
      </c>
      <c r="E11" s="8">
        <f>IFERROR(D11/IF(OR(TEXT(VALUE(LEFT(C11,4))-1,"0")&amp;RIGHT(C11,3)="","ICC"=""),"",IFERROR(IF(SUMIFS(INDEX(Indices!$A:$P,0,MATCH("ICC",Indices!$1:$1,0)+1),INDEX(Indices!$A:$P,0,MATCH("ICC",Indices!$1:$1,0)),TEXT(VALUE(LEFT(C11,4))-1,"0")&amp;RIGHT(C11,3))=0,"",SUMIFS(INDEX(Indices!$A:$P,0,MATCH("ICC",Indices!$1:$1,0)+1),INDEX(Indices!$A:$P,0,MATCH("ICC",Indices!$1:$1,0)),TEXT(VALUE(LEFT(C11,4))-1,"0")&amp;RIGHT(C11,3))),""))-1,"")</f>
        <v/>
      </c>
    </row>
    <row r="12">
      <c r="B12" t="inlineStr">
        <is>
          <t>IRL – Indice de référence des loyers (IRL) - Base 100 au 4e trimestre 1998</t>
        </is>
      </c>
      <c r="C12">
        <f>IF(_xlfn.MAXIFS(Grille_rang!$B:$B,Grille_rang!$A:$A,"IRL")=0,"aucune valeur",INT((_xlfn.MAXIFS(Grille_rang!$B:$B,Grille_rang!$A:$A,"IRL")-1)/4)&amp;"-T"&amp;(_xlfn.MAXIFS(Grille_rang!$B:$B,Grille_rang!$A:$A,"IRL")-INT((_xlfn.MAXIFS(Grille_rang!$B:$B,Grille_rang!$A:$A,"IRL")-1)/4)*4))</f>
        <v/>
      </c>
      <c r="D12" s="7">
        <f>IF(_xlfn.MAXIFS(Grille_rang!$B:$B,Grille_rang!$A:$A,"IRL")=0,"",IF(OR(C12="","IRL"=""),"",IFERROR(IF(SUMIFS(INDEX(Indices!$A:$P,0,MATCH("IRL",Indices!$1:$1,0)+1),INDEX(Indices!$A:$P,0,MATCH("IRL",Indices!$1:$1,0)),C12)=0,"",SUMIFS(INDEX(Indices!$A:$P,0,MATCH("IRL",Indices!$1:$1,0)+1),INDEX(Indices!$A:$P,0,MATCH("IRL",Indices!$1:$1,0)),C12)),"")))</f>
        <v/>
      </c>
      <c r="E12" s="8">
        <f>IFERROR(D12/IF(OR(TEXT(VALUE(LEFT(C12,4))-1,"0")&amp;RIGHT(C12,3)="","IRL"=""),"",IFERROR(IF(SUMIFS(INDEX(Indices!$A:$P,0,MATCH("IRL",Indices!$1:$1,0)+1),INDEX(Indices!$A:$P,0,MATCH("IRL",Indices!$1:$1,0)),TEXT(VALUE(LEFT(C12,4))-1,"0")&amp;RIGHT(C12,3))=0,"",SUMIFS(INDEX(Indices!$A:$P,0,MATCH("IRL",Indices!$1:$1,0)+1),INDEX(Indices!$A:$P,0,MATCH("IRL",Indices!$1:$1,0)),TEXT(VALUE(LEFT(C12,4))-1,"0")&amp;RIGHT(C12,3))),""))-1,"")</f>
        <v/>
      </c>
    </row>
    <row r="14">
      <c r="B14" s="5" t="inlineStr">
        <is>
          <t>Mode d'emploi</t>
        </is>
      </c>
    </row>
    <row r="15">
      <c r="B15" t="inlineStr">
        <is>
          <t>1. Feuille « Indices » : sur insee.fr (série 001532540 pour l'ILC, 001617112 ILAT, 000008630 ICC, 001515333 IRL), « Télécharger » au format xlsx, puis copier les lignes Période / valeur / date JO dans la zone de la série. Un simple collage remplace le précédent. Le reste du classeur se recalcule.</t>
        </is>
      </c>
    </row>
    <row r="16">
      <c r="B16" t="inlineStr">
        <is>
          <t>2. Nouveau bail : clic droit sur l'onglet « Modèle » &gt; Déplacer ou copier &gt; Créer une copie ; renommer l'onglet avec l'ID du bail (ex. B01 ou DUPONT) ; remplir les cellules jaunes de la fiche ; la colonne Contrôles doit afficher OK.</t>
        </is>
      </c>
    </row>
    <row r="17">
      <c r="B17" t="inlineStr">
        <is>
          <t>3. Feuille « Récapitulatif » : saisir le nom du nouvel onglet en colonne A. La ligne se remplit (loyer actuel, prochaine révision, action…). Le total des loyers est en bas.</t>
        </is>
      </c>
    </row>
    <row r="18">
      <c r="B18" t="inlineStr">
        <is>
          <t>4. Fiche de bail : le tableau des révisions se remplit dès la saisie. Statut ✔ Calculable = révision échue et indice connu : facturer, puis renseigner « Appliqué ? » et la date.</t>
        </is>
      </c>
    </row>
    <row r="19">
      <c r="B19" t="inlineStr">
        <is>
          <t xml:space="preserve">   Colonne « Décision » : vide ou Appliquer = révision appliquée ; « Geler – sans rattrapage » = le client renonce à la variation de l'année ; « Geler – rattrapage possible » = loyer inchangé mais la révision suivante repart de l'indice de la dernière révision appliquée.</t>
        </is>
      </c>
    </row>
    <row r="20">
      <c r="B20" t="inlineStr">
        <is>
          <t xml:space="preserve">   Colonne « Consigne (à faire) » : instruction libre du dossier, reprise dans la situation de la fiche et dans le récapitulatif.</t>
        </is>
      </c>
    </row>
    <row r="21">
      <c r="B21" t="inlineStr">
        <is>
          <t>5. Feuille « Pennylane » : corps des abonnements de facturation, pour l'automatisation ultérieure. Réglages communs dans la feuille Société.</t>
        </is>
      </c>
    </row>
    <row r="22">
      <c r="B22" t="inlineStr">
        <is>
          <t>Trimestres : notation AAAA-Tn (2024-T2 = 2e trimestre 2024). Convention par défaut du trimestre de base : dernier indice publié à la prise d'effet (T-2) ; à caler sur la clause du bail.</t>
        </is>
      </c>
    </row>
    <row r="23">
      <c r="B23" t="inlineStr">
        <is>
          <t>Ne pas modifier la structure des fiches (lignes 3 à 24 et tableau) : le récapitulatif et le script y lisent des cellules fixes.</t>
        </is>
      </c>
    </row>
    <row r="25">
      <c r="B25" s="5" t="inlineStr">
        <is>
          <t>Points de vigilance juridiques (à confirmer par le juriste du dossier)</t>
        </is>
      </c>
    </row>
    <row r="26">
      <c r="B26" t="inlineStr">
        <is>
          <t>• Depuis la loi Pinel (n° 2014-626 du 18 juin 2014), l'ILC et l'ILAT sont les indices de référence des baux commerciaux (art. L145-34 et L145-38 C. com.) ; l'ICC subsiste dans les clauses des baux antérieurs.</t>
        </is>
      </c>
    </row>
    <row r="27">
      <c r="B27" t="inlineStr">
        <is>
          <t>• Plafonnement légal de la variation de l'ILC à 3,5 % pour les PME (loi n° 2022-1158 du 16 août 2022, art. 14, puis prolongation) : période et champ à vérifier bail par bail ; utiliser « Plafond annuel (%) ».</t>
        </is>
      </c>
    </row>
    <row r="28">
      <c r="B28" t="inlineStr">
        <is>
          <t>• Une clause d'indexation ne jouant qu'à la hausse est réputée non écrite (art. L112-1 C. mon. fin. et jurisprudence Cass. 3e civ.) : le classeur applique la baisse si l'indice recule.</t>
        </is>
      </c>
    </row>
    <row r="29">
      <c r="B29" t="inlineStr">
        <is>
          <t>• Révision légale triennale (L145-38), déplafonnement et lissage : hors périmètre ; le classeur traite la clause d'échelle mobile contractuelle.</t>
        </is>
      </c>
    </row>
    <row r="30">
      <c r="B30" t="inlineStr">
        <is>
          <t>• Le renoncement du bailleur à une indexation (gel) est un acte de gestion à documenter (consigne, courrier) ; sa portée juridique n'est pas tranchée par l'outil.</t>
        </is>
      </c>
    </row>
    <row r="32">
      <c r="B32" s="2" t="inlineStr">
        <is>
          <t>Légende : fond jaune = saisie ; autres cellules = formules.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50" customWidth="1" min="2" max="2"/>
  </cols>
  <sheetData>
    <row r="1">
      <c r="A1" s="5" t="inlineStr">
        <is>
          <t>Raison sociale</t>
        </is>
      </c>
      <c r="B1" s="9" t="inlineStr">
        <is>
          <t>SCI EXEMPLE (DÉMO)</t>
        </is>
      </c>
    </row>
    <row r="2">
      <c r="A2" s="5" t="inlineStr">
        <is>
          <t>SIREN</t>
        </is>
      </c>
      <c r="B2" s="9" t="inlineStr">
        <is>
          <t>000000000</t>
        </is>
      </c>
    </row>
    <row r="3">
      <c r="A3" s="5" t="inlineStr">
        <is>
          <t>Forme</t>
        </is>
      </c>
      <c r="B3" s="9" t="inlineStr">
        <is>
          <t>SCI</t>
        </is>
      </c>
    </row>
    <row r="4">
      <c r="A4" s="5" t="inlineStr">
        <is>
          <t>Régime TVA des loyers</t>
        </is>
      </c>
      <c r="B4" s="9" t="inlineStr">
        <is>
          <t>Loyers soumis à TVA sur option (20 %)</t>
        </is>
      </c>
    </row>
    <row r="5">
      <c r="A5" s="5" t="inlineStr">
        <is>
          <t>Identifiant société Pennylane</t>
        </is>
      </c>
      <c r="B5" s="9" t="inlineStr"/>
    </row>
    <row r="6">
      <c r="A6" s="5" t="inlineStr">
        <is>
          <t>Contact cabinet</t>
        </is>
      </c>
      <c r="B6" s="9" t="inlineStr">
        <is>
          <t>cabinet – démonstration</t>
        </is>
      </c>
    </row>
    <row r="7">
      <c r="A7" s="5" t="inlineStr">
        <is>
          <t>Adresse du bailleur (courriers)</t>
        </is>
      </c>
      <c r="B7" s="9" t="inlineStr">
        <is>
          <t>1 place de la Bourse
75002 Paris</t>
        </is>
      </c>
    </row>
    <row r="8">
      <c r="A8" s="5" t="inlineStr">
        <is>
          <t>Signataire des courriers</t>
        </is>
      </c>
      <c r="B8" s="9" t="inlineStr">
        <is>
          <t>Mme Claire Exemple</t>
        </is>
      </c>
    </row>
    <row r="9">
      <c r="A9" s="5" t="inlineStr">
        <is>
          <t>Qualité du signataire</t>
        </is>
      </c>
      <c r="B9" s="9" t="inlineStr">
        <is>
          <t>Gérante</t>
        </is>
      </c>
    </row>
    <row r="10">
      <c r="A10" s="5" t="inlineStr">
        <is>
          <t>Ville de signature</t>
        </is>
      </c>
      <c r="B10" s="9" t="inlineStr">
        <is>
          <t>Paris</t>
        </is>
      </c>
    </row>
    <row r="11">
      <c r="A11" s="5" t="inlineStr">
        <is>
          <t>Pennylane – mode des factures</t>
        </is>
      </c>
      <c r="B11" s="9" t="inlineStr">
        <is>
          <t>awaiting_validation</t>
        </is>
      </c>
    </row>
    <row r="12">
      <c r="A12" s="5" t="inlineStr">
        <is>
          <t>Pennylane – conditions de paiement</t>
        </is>
      </c>
      <c r="B12" s="9" t="inlineStr">
        <is>
          <t>upon_receipt</t>
        </is>
      </c>
    </row>
    <row r="13">
      <c r="A13" s="5" t="inlineStr">
        <is>
          <t>Pennylane – moyen de paiement</t>
        </is>
      </c>
      <c r="B13" s="9" t="inlineStr">
        <is>
          <t>offline</t>
        </is>
      </c>
    </row>
    <row r="14">
      <c r="A14" s="5" t="inlineStr">
        <is>
          <t>Date de génération</t>
        </is>
      </c>
      <c r="B14" s="10" t="n">
        <v>46274</v>
      </c>
    </row>
    <row r="15">
      <c r="A15" s="5" t="inlineStr">
        <is>
          <t>Mode démonstration</t>
        </is>
      </c>
      <c r="B15" s="11" t="inlineStr">
        <is>
          <t>OUI</t>
        </is>
      </c>
    </row>
    <row r="16">
      <c r="A16" s="5" t="inlineStr">
        <is>
          <t>Capacité – révisions par bail</t>
        </is>
      </c>
      <c r="B16" s="11" t="n">
        <v>12</v>
      </c>
    </row>
    <row r="17">
      <c r="A17" s="5" t="inlineStr">
        <is>
          <t>Version du modèle</t>
        </is>
      </c>
      <c r="B17" s="11" t="inlineStr">
        <is>
          <t>0.3.0</t>
        </is>
      </c>
    </row>
  </sheetData>
  <dataValidations count="3">
    <dataValidation sqref="B11" showDropDown="0" showInputMessage="0" showErrorMessage="0" allowBlank="0" type="list">
      <formula1>"awaiting_validation,finalized"</formula1>
    </dataValidation>
    <dataValidation sqref="B12" showDropDown="0" showInputMessage="0" showErrorMessage="0" allowBlank="0" type="list">
      <formula1>"upon_receipt,7_days,15_days,30_days,30_days_end_of_month,45_days,45_days_end_of_month,60_days"</formula1>
    </dataValidation>
    <dataValidation sqref="B13" showDropDown="0" showInputMessage="0" showErrorMessage="0" allowBlank="0" type="list">
      <formula1>"offline,gocardless_direct_debit,pro_account_sepa_core"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2" customWidth="1" min="4" max="4"/>
    <col width="6" customWidth="1" min="5" max="5"/>
    <col width="11" customWidth="1" min="6" max="6"/>
    <col width="11" customWidth="1" min="7" max="7"/>
    <col width="13" customWidth="1" min="8" max="8"/>
    <col width="13" customWidth="1" min="9" max="9"/>
    <col width="12" customWidth="1" min="10" max="10"/>
    <col width="11" customWidth="1" min="11" max="11"/>
    <col width="10" customWidth="1" min="12" max="12"/>
    <col width="8" customWidth="1" min="13" max="13"/>
    <col width="8" customWidth="1" min="14" max="14"/>
    <col width="7" customWidth="1" min="15" max="15"/>
    <col width="34" customWidth="1" min="16" max="16"/>
    <col width="40" customWidth="1" min="17" max="17"/>
    <col width="30" customWidth="1" min="18" max="18"/>
  </cols>
  <sheetData>
    <row r="1" ht="42" customHeight="1">
      <c r="A1" s="12" t="inlineStr">
        <is>
          <t>Onglet</t>
        </is>
      </c>
      <c r="B1" s="12" t="inlineStr">
        <is>
          <t>ID bail</t>
        </is>
      </c>
      <c r="C1" s="12" t="inlineStr">
        <is>
          <t>Local</t>
        </is>
      </c>
      <c r="D1" s="12" t="inlineStr">
        <is>
          <t>Locataire</t>
        </is>
      </c>
      <c r="E1" s="12" t="inlineStr">
        <is>
          <t>Indice</t>
        </is>
      </c>
      <c r="F1" s="12" t="inlineStr">
        <is>
          <t>Prise d'effet</t>
        </is>
      </c>
      <c r="G1" s="12" t="inlineStr">
        <is>
          <t>Date de fin</t>
        </is>
      </c>
      <c r="H1" s="12" t="inlineStr">
        <is>
          <t>Loyer initial annuel HT</t>
        </is>
      </c>
      <c r="I1" s="12" t="inlineStr">
        <is>
          <t>Loyer actuel (annuel HT)</t>
        </is>
      </c>
      <c r="J1" s="12" t="inlineStr">
        <is>
          <t>Loyer actuel mensuel HT</t>
        </is>
      </c>
      <c r="K1" s="12" t="inlineStr">
        <is>
          <t>Prochaine révision</t>
        </is>
      </c>
      <c r="L1" s="12" t="inlineStr">
        <is>
          <t>Trimestre attendu</t>
        </is>
      </c>
      <c r="M1" s="12" t="inlineStr">
        <is>
          <t>Indice publié ?</t>
        </is>
      </c>
      <c r="N1" s="12" t="inlineStr">
        <is>
          <t>À facturer</t>
        </is>
      </c>
      <c r="O1" s="12" t="inlineStr">
        <is>
          <t>Gelées</t>
        </is>
      </c>
      <c r="P1" s="12" t="inlineStr">
        <is>
          <t>Action</t>
        </is>
      </c>
      <c r="Q1" s="12" t="inlineStr">
        <is>
          <t>Consigne prochaine révision</t>
        </is>
      </c>
      <c r="R1" s="12" t="inlineStr">
        <is>
          <t>Contrôles</t>
        </is>
      </c>
    </row>
    <row r="2">
      <c r="A2" s="13" t="inlineStr">
        <is>
          <t>B01</t>
        </is>
      </c>
      <c r="B2" s="14">
        <f>IF($A2="","",IFERROR(INDIRECT("'"&amp;$A2&amp;"'!$C$3"),"⚠ onglet introuvable"))</f>
        <v/>
      </c>
      <c r="C2" s="14">
        <f>IF($A2="","",IFERROR(INDIRECT("'"&amp;$A2&amp;"'!$C$4"),"⚠ onglet introuvable"))</f>
        <v/>
      </c>
      <c r="D2" s="14">
        <f>IF($A2="","",IFERROR(INDIRECT("'"&amp;$A2&amp;"'!$C$5"),"⚠ onglet introuvable"))</f>
        <v/>
      </c>
      <c r="E2" s="14">
        <f>IF($A2="","",IFERROR(INDIRECT("'"&amp;$A2&amp;"'!$C$15"),"⚠ onglet introuvable"))</f>
        <v/>
      </c>
      <c r="F2" s="15">
        <f>IF($A2="","",IFERROR(INDIRECT("'"&amp;$A2&amp;"'!$C$8"),"⚠ onglet introuvable"))</f>
        <v/>
      </c>
      <c r="G2" s="15">
        <f>IF($A2="","",IFERROR(INDIRECT("'"&amp;$A2&amp;"'!$C$10"),"⚠ onglet introuvable"))</f>
        <v/>
      </c>
      <c r="H2" s="16">
        <f>IF($A2="","",IFERROR(INDIRECT("'"&amp;$A2&amp;"'!$C$11"),"⚠ onglet introuvable"))</f>
        <v/>
      </c>
      <c r="I2" s="16">
        <f>IF($A2="","",IFERROR(INDIRECT("'"&amp;$A2&amp;"'!$K$3"),"⚠ onglet introuvable"))</f>
        <v/>
      </c>
      <c r="J2" s="16">
        <f>IF($A2="","",IFERROR(INDIRECT("'"&amp;$A2&amp;"'!$K$4"),"⚠ onglet introuvable"))</f>
        <v/>
      </c>
      <c r="K2" s="15">
        <f>IF($A2="","",IFERROR(INDIRECT("'"&amp;$A2&amp;"'!$K$6"),"⚠ onglet introuvable"))</f>
        <v/>
      </c>
      <c r="L2" s="14">
        <f>IF($A2="","",IFERROR(INDIRECT("'"&amp;$A2&amp;"'!$K$7"),"⚠ onglet introuvable"))</f>
        <v/>
      </c>
      <c r="M2" s="14">
        <f>IF($A2="","",IFERROR(INDIRECT("'"&amp;$A2&amp;"'!$K$8"),"⚠ onglet introuvable"))</f>
        <v/>
      </c>
      <c r="N2" s="14">
        <f>IF($A2="","",IFERROR(INDIRECT("'"&amp;$A2&amp;"'!$K$9"),"⚠ onglet introuvable"))</f>
        <v/>
      </c>
      <c r="O2" s="14">
        <f>IF($A2="","",IFERROR(INDIRECT("'"&amp;$A2&amp;"'!$K$10"),"⚠ onglet introuvable"))</f>
        <v/>
      </c>
      <c r="P2" s="14">
        <f>IF($A2="","",IFERROR(INDIRECT("'"&amp;$A2&amp;"'!$K$11"),"⚠ onglet introuvable"))</f>
        <v/>
      </c>
      <c r="Q2" s="17">
        <f>IF($A2="","",IFERROR(INDIRECT("'"&amp;$A2&amp;"'!$K$12"),"⚠ onglet introuvable"))</f>
        <v/>
      </c>
      <c r="R2" s="14">
        <f>IF($A2="","",IF(B2="⚠ onglet introuvable","⚠ onglet introuvable",IF(IFERROR(INDIRECT("'"&amp;$A2&amp;"'!$C$24"),"⚠ onglet introuvable")&lt;&gt;"OK",IFERROR(INDIRECT("'"&amp;$A2&amp;"'!$C$24"),"⚠ onglet introuvable"),IF(B2&lt;&gt;$A2,"ID bail ≠ nom d'onglet","OK"))))</f>
        <v/>
      </c>
    </row>
    <row r="3">
      <c r="A3" s="13" t="inlineStr">
        <is>
          <t>B02</t>
        </is>
      </c>
      <c r="B3" s="14">
        <f>IF($A3="","",IFERROR(INDIRECT("'"&amp;$A3&amp;"'!$C$3"),"⚠ onglet introuvable"))</f>
        <v/>
      </c>
      <c r="C3" s="14">
        <f>IF($A3="","",IFERROR(INDIRECT("'"&amp;$A3&amp;"'!$C$4"),"⚠ onglet introuvable"))</f>
        <v/>
      </c>
      <c r="D3" s="14">
        <f>IF($A3="","",IFERROR(INDIRECT("'"&amp;$A3&amp;"'!$C$5"),"⚠ onglet introuvable"))</f>
        <v/>
      </c>
      <c r="E3" s="14">
        <f>IF($A3="","",IFERROR(INDIRECT("'"&amp;$A3&amp;"'!$C$15"),"⚠ onglet introuvable"))</f>
        <v/>
      </c>
      <c r="F3" s="15">
        <f>IF($A3="","",IFERROR(INDIRECT("'"&amp;$A3&amp;"'!$C$8"),"⚠ onglet introuvable"))</f>
        <v/>
      </c>
      <c r="G3" s="15">
        <f>IF($A3="","",IFERROR(INDIRECT("'"&amp;$A3&amp;"'!$C$10"),"⚠ onglet introuvable"))</f>
        <v/>
      </c>
      <c r="H3" s="16">
        <f>IF($A3="","",IFERROR(INDIRECT("'"&amp;$A3&amp;"'!$C$11"),"⚠ onglet introuvable"))</f>
        <v/>
      </c>
      <c r="I3" s="16">
        <f>IF($A3="","",IFERROR(INDIRECT("'"&amp;$A3&amp;"'!$K$3"),"⚠ onglet introuvable"))</f>
        <v/>
      </c>
      <c r="J3" s="16">
        <f>IF($A3="","",IFERROR(INDIRECT("'"&amp;$A3&amp;"'!$K$4"),"⚠ onglet introuvable"))</f>
        <v/>
      </c>
      <c r="K3" s="15">
        <f>IF($A3="","",IFERROR(INDIRECT("'"&amp;$A3&amp;"'!$K$6"),"⚠ onglet introuvable"))</f>
        <v/>
      </c>
      <c r="L3" s="14">
        <f>IF($A3="","",IFERROR(INDIRECT("'"&amp;$A3&amp;"'!$K$7"),"⚠ onglet introuvable"))</f>
        <v/>
      </c>
      <c r="M3" s="14">
        <f>IF($A3="","",IFERROR(INDIRECT("'"&amp;$A3&amp;"'!$K$8"),"⚠ onglet introuvable"))</f>
        <v/>
      </c>
      <c r="N3" s="14">
        <f>IF($A3="","",IFERROR(INDIRECT("'"&amp;$A3&amp;"'!$K$9"),"⚠ onglet introuvable"))</f>
        <v/>
      </c>
      <c r="O3" s="14">
        <f>IF($A3="","",IFERROR(INDIRECT("'"&amp;$A3&amp;"'!$K$10"),"⚠ onglet introuvable"))</f>
        <v/>
      </c>
      <c r="P3" s="14">
        <f>IF($A3="","",IFERROR(INDIRECT("'"&amp;$A3&amp;"'!$K$11"),"⚠ onglet introuvable"))</f>
        <v/>
      </c>
      <c r="Q3" s="17">
        <f>IF($A3="","",IFERROR(INDIRECT("'"&amp;$A3&amp;"'!$K$12"),"⚠ onglet introuvable"))</f>
        <v/>
      </c>
      <c r="R3" s="14">
        <f>IF($A3="","",IF(B3="⚠ onglet introuvable","⚠ onglet introuvable",IF(IFERROR(INDIRECT("'"&amp;$A3&amp;"'!$C$24"),"⚠ onglet introuvable")&lt;&gt;"OK",IFERROR(INDIRECT("'"&amp;$A3&amp;"'!$C$24"),"⚠ onglet introuvable"),IF(B3&lt;&gt;$A3,"ID bail ≠ nom d'onglet","OK"))))</f>
        <v/>
      </c>
    </row>
    <row r="4">
      <c r="A4" s="13" t="inlineStr">
        <is>
          <t>B03</t>
        </is>
      </c>
      <c r="B4" s="14">
        <f>IF($A4="","",IFERROR(INDIRECT("'"&amp;$A4&amp;"'!$C$3"),"⚠ onglet introuvable"))</f>
        <v/>
      </c>
      <c r="C4" s="14">
        <f>IF($A4="","",IFERROR(INDIRECT("'"&amp;$A4&amp;"'!$C$4"),"⚠ onglet introuvable"))</f>
        <v/>
      </c>
      <c r="D4" s="14">
        <f>IF($A4="","",IFERROR(INDIRECT("'"&amp;$A4&amp;"'!$C$5"),"⚠ onglet introuvable"))</f>
        <v/>
      </c>
      <c r="E4" s="14">
        <f>IF($A4="","",IFERROR(INDIRECT("'"&amp;$A4&amp;"'!$C$15"),"⚠ onglet introuvable"))</f>
        <v/>
      </c>
      <c r="F4" s="15">
        <f>IF($A4="","",IFERROR(INDIRECT("'"&amp;$A4&amp;"'!$C$8"),"⚠ onglet introuvable"))</f>
        <v/>
      </c>
      <c r="G4" s="15">
        <f>IF($A4="","",IFERROR(INDIRECT("'"&amp;$A4&amp;"'!$C$10"),"⚠ onglet introuvable"))</f>
        <v/>
      </c>
      <c r="H4" s="16">
        <f>IF($A4="","",IFERROR(INDIRECT("'"&amp;$A4&amp;"'!$C$11"),"⚠ onglet introuvable"))</f>
        <v/>
      </c>
      <c r="I4" s="16">
        <f>IF($A4="","",IFERROR(INDIRECT("'"&amp;$A4&amp;"'!$K$3"),"⚠ onglet introuvable"))</f>
        <v/>
      </c>
      <c r="J4" s="16">
        <f>IF($A4="","",IFERROR(INDIRECT("'"&amp;$A4&amp;"'!$K$4"),"⚠ onglet introuvable"))</f>
        <v/>
      </c>
      <c r="K4" s="15">
        <f>IF($A4="","",IFERROR(INDIRECT("'"&amp;$A4&amp;"'!$K$6"),"⚠ onglet introuvable"))</f>
        <v/>
      </c>
      <c r="L4" s="14">
        <f>IF($A4="","",IFERROR(INDIRECT("'"&amp;$A4&amp;"'!$K$7"),"⚠ onglet introuvable"))</f>
        <v/>
      </c>
      <c r="M4" s="14">
        <f>IF($A4="","",IFERROR(INDIRECT("'"&amp;$A4&amp;"'!$K$8"),"⚠ onglet introuvable"))</f>
        <v/>
      </c>
      <c r="N4" s="14">
        <f>IF($A4="","",IFERROR(INDIRECT("'"&amp;$A4&amp;"'!$K$9"),"⚠ onglet introuvable"))</f>
        <v/>
      </c>
      <c r="O4" s="14">
        <f>IF($A4="","",IFERROR(INDIRECT("'"&amp;$A4&amp;"'!$K$10"),"⚠ onglet introuvable"))</f>
        <v/>
      </c>
      <c r="P4" s="14">
        <f>IF($A4="","",IFERROR(INDIRECT("'"&amp;$A4&amp;"'!$K$11"),"⚠ onglet introuvable"))</f>
        <v/>
      </c>
      <c r="Q4" s="17">
        <f>IF($A4="","",IFERROR(INDIRECT("'"&amp;$A4&amp;"'!$K$12"),"⚠ onglet introuvable"))</f>
        <v/>
      </c>
      <c r="R4" s="14">
        <f>IF($A4="","",IF(B4="⚠ onglet introuvable","⚠ onglet introuvable",IF(IFERROR(INDIRECT("'"&amp;$A4&amp;"'!$C$24"),"⚠ onglet introuvable")&lt;&gt;"OK",IFERROR(INDIRECT("'"&amp;$A4&amp;"'!$C$24"),"⚠ onglet introuvable"),IF(B4&lt;&gt;$A4,"ID bail ≠ nom d'onglet","OK"))))</f>
        <v/>
      </c>
    </row>
    <row r="5">
      <c r="A5" s="13" t="inlineStr">
        <is>
          <t>B04</t>
        </is>
      </c>
      <c r="B5" s="14">
        <f>IF($A5="","",IFERROR(INDIRECT("'"&amp;$A5&amp;"'!$C$3"),"⚠ onglet introuvable"))</f>
        <v/>
      </c>
      <c r="C5" s="14">
        <f>IF($A5="","",IFERROR(INDIRECT("'"&amp;$A5&amp;"'!$C$4"),"⚠ onglet introuvable"))</f>
        <v/>
      </c>
      <c r="D5" s="14">
        <f>IF($A5="","",IFERROR(INDIRECT("'"&amp;$A5&amp;"'!$C$5"),"⚠ onglet introuvable"))</f>
        <v/>
      </c>
      <c r="E5" s="14">
        <f>IF($A5="","",IFERROR(INDIRECT("'"&amp;$A5&amp;"'!$C$15"),"⚠ onglet introuvable"))</f>
        <v/>
      </c>
      <c r="F5" s="15">
        <f>IF($A5="","",IFERROR(INDIRECT("'"&amp;$A5&amp;"'!$C$8"),"⚠ onglet introuvable"))</f>
        <v/>
      </c>
      <c r="G5" s="15">
        <f>IF($A5="","",IFERROR(INDIRECT("'"&amp;$A5&amp;"'!$C$10"),"⚠ onglet introuvable"))</f>
        <v/>
      </c>
      <c r="H5" s="16">
        <f>IF($A5="","",IFERROR(INDIRECT("'"&amp;$A5&amp;"'!$C$11"),"⚠ onglet introuvable"))</f>
        <v/>
      </c>
      <c r="I5" s="16">
        <f>IF($A5="","",IFERROR(INDIRECT("'"&amp;$A5&amp;"'!$K$3"),"⚠ onglet introuvable"))</f>
        <v/>
      </c>
      <c r="J5" s="16">
        <f>IF($A5="","",IFERROR(INDIRECT("'"&amp;$A5&amp;"'!$K$4"),"⚠ onglet introuvable"))</f>
        <v/>
      </c>
      <c r="K5" s="15">
        <f>IF($A5="","",IFERROR(INDIRECT("'"&amp;$A5&amp;"'!$K$6"),"⚠ onglet introuvable"))</f>
        <v/>
      </c>
      <c r="L5" s="14">
        <f>IF($A5="","",IFERROR(INDIRECT("'"&amp;$A5&amp;"'!$K$7"),"⚠ onglet introuvable"))</f>
        <v/>
      </c>
      <c r="M5" s="14">
        <f>IF($A5="","",IFERROR(INDIRECT("'"&amp;$A5&amp;"'!$K$8"),"⚠ onglet introuvable"))</f>
        <v/>
      </c>
      <c r="N5" s="14">
        <f>IF($A5="","",IFERROR(INDIRECT("'"&amp;$A5&amp;"'!$K$9"),"⚠ onglet introuvable"))</f>
        <v/>
      </c>
      <c r="O5" s="14">
        <f>IF($A5="","",IFERROR(INDIRECT("'"&amp;$A5&amp;"'!$K$10"),"⚠ onglet introuvable"))</f>
        <v/>
      </c>
      <c r="P5" s="14">
        <f>IF($A5="","",IFERROR(INDIRECT("'"&amp;$A5&amp;"'!$K$11"),"⚠ onglet introuvable"))</f>
        <v/>
      </c>
      <c r="Q5" s="17">
        <f>IF($A5="","",IFERROR(INDIRECT("'"&amp;$A5&amp;"'!$K$12"),"⚠ onglet introuvable"))</f>
        <v/>
      </c>
      <c r="R5" s="14">
        <f>IF($A5="","",IF(B5="⚠ onglet introuvable","⚠ onglet introuvable",IF(IFERROR(INDIRECT("'"&amp;$A5&amp;"'!$C$24"),"⚠ onglet introuvable")&lt;&gt;"OK",IFERROR(INDIRECT("'"&amp;$A5&amp;"'!$C$24"),"⚠ onglet introuvable"),IF(B5&lt;&gt;$A5,"ID bail ≠ nom d'onglet","OK"))))</f>
        <v/>
      </c>
    </row>
    <row r="6">
      <c r="A6" s="13" t="n"/>
      <c r="B6" s="14">
        <f>IF($A6="","",IFERROR(INDIRECT("'"&amp;$A6&amp;"'!$C$3"),"⚠ onglet introuvable"))</f>
        <v/>
      </c>
      <c r="C6" s="14">
        <f>IF($A6="","",IFERROR(INDIRECT("'"&amp;$A6&amp;"'!$C$4"),"⚠ onglet introuvable"))</f>
        <v/>
      </c>
      <c r="D6" s="14">
        <f>IF($A6="","",IFERROR(INDIRECT("'"&amp;$A6&amp;"'!$C$5"),"⚠ onglet introuvable"))</f>
        <v/>
      </c>
      <c r="E6" s="14">
        <f>IF($A6="","",IFERROR(INDIRECT("'"&amp;$A6&amp;"'!$C$15"),"⚠ onglet introuvable"))</f>
        <v/>
      </c>
      <c r="F6" s="15">
        <f>IF($A6="","",IFERROR(INDIRECT("'"&amp;$A6&amp;"'!$C$8"),"⚠ onglet introuvable"))</f>
        <v/>
      </c>
      <c r="G6" s="15">
        <f>IF($A6="","",IFERROR(INDIRECT("'"&amp;$A6&amp;"'!$C$10"),"⚠ onglet introuvable"))</f>
        <v/>
      </c>
      <c r="H6" s="16">
        <f>IF($A6="","",IFERROR(INDIRECT("'"&amp;$A6&amp;"'!$C$11"),"⚠ onglet introuvable"))</f>
        <v/>
      </c>
      <c r="I6" s="16">
        <f>IF($A6="","",IFERROR(INDIRECT("'"&amp;$A6&amp;"'!$K$3"),"⚠ onglet introuvable"))</f>
        <v/>
      </c>
      <c r="J6" s="16">
        <f>IF($A6="","",IFERROR(INDIRECT("'"&amp;$A6&amp;"'!$K$4"),"⚠ onglet introuvable"))</f>
        <v/>
      </c>
      <c r="K6" s="15">
        <f>IF($A6="","",IFERROR(INDIRECT("'"&amp;$A6&amp;"'!$K$6"),"⚠ onglet introuvable"))</f>
        <v/>
      </c>
      <c r="L6" s="14">
        <f>IF($A6="","",IFERROR(INDIRECT("'"&amp;$A6&amp;"'!$K$7"),"⚠ onglet introuvable"))</f>
        <v/>
      </c>
      <c r="M6" s="14">
        <f>IF($A6="","",IFERROR(INDIRECT("'"&amp;$A6&amp;"'!$K$8"),"⚠ onglet introuvable"))</f>
        <v/>
      </c>
      <c r="N6" s="14">
        <f>IF($A6="","",IFERROR(INDIRECT("'"&amp;$A6&amp;"'!$K$9"),"⚠ onglet introuvable"))</f>
        <v/>
      </c>
      <c r="O6" s="14">
        <f>IF($A6="","",IFERROR(INDIRECT("'"&amp;$A6&amp;"'!$K$10"),"⚠ onglet introuvable"))</f>
        <v/>
      </c>
      <c r="P6" s="14">
        <f>IF($A6="","",IFERROR(INDIRECT("'"&amp;$A6&amp;"'!$K$11"),"⚠ onglet introuvable"))</f>
        <v/>
      </c>
      <c r="Q6" s="17">
        <f>IF($A6="","",IFERROR(INDIRECT("'"&amp;$A6&amp;"'!$K$12"),"⚠ onglet introuvable"))</f>
        <v/>
      </c>
      <c r="R6" s="14">
        <f>IF($A6="","",IF(B6="⚠ onglet introuvable","⚠ onglet introuvable",IF(IFERROR(INDIRECT("'"&amp;$A6&amp;"'!$C$24"),"⚠ onglet introuvable")&lt;&gt;"OK",IFERROR(INDIRECT("'"&amp;$A6&amp;"'!$C$24"),"⚠ onglet introuvable"),IF(B6&lt;&gt;$A6,"ID bail ≠ nom d'onglet","OK"))))</f>
        <v/>
      </c>
    </row>
    <row r="7">
      <c r="A7" s="13" t="n"/>
      <c r="B7" s="14">
        <f>IF($A7="","",IFERROR(INDIRECT("'"&amp;$A7&amp;"'!$C$3"),"⚠ onglet introuvable"))</f>
        <v/>
      </c>
      <c r="C7" s="14">
        <f>IF($A7="","",IFERROR(INDIRECT("'"&amp;$A7&amp;"'!$C$4"),"⚠ onglet introuvable"))</f>
        <v/>
      </c>
      <c r="D7" s="14">
        <f>IF($A7="","",IFERROR(INDIRECT("'"&amp;$A7&amp;"'!$C$5"),"⚠ onglet introuvable"))</f>
        <v/>
      </c>
      <c r="E7" s="14">
        <f>IF($A7="","",IFERROR(INDIRECT("'"&amp;$A7&amp;"'!$C$15"),"⚠ onglet introuvable"))</f>
        <v/>
      </c>
      <c r="F7" s="15">
        <f>IF($A7="","",IFERROR(INDIRECT("'"&amp;$A7&amp;"'!$C$8"),"⚠ onglet introuvable"))</f>
        <v/>
      </c>
      <c r="G7" s="15">
        <f>IF($A7="","",IFERROR(INDIRECT("'"&amp;$A7&amp;"'!$C$10"),"⚠ onglet introuvable"))</f>
        <v/>
      </c>
      <c r="H7" s="16">
        <f>IF($A7="","",IFERROR(INDIRECT("'"&amp;$A7&amp;"'!$C$11"),"⚠ onglet introuvable"))</f>
        <v/>
      </c>
      <c r="I7" s="16">
        <f>IF($A7="","",IFERROR(INDIRECT("'"&amp;$A7&amp;"'!$K$3"),"⚠ onglet introuvable"))</f>
        <v/>
      </c>
      <c r="J7" s="16">
        <f>IF($A7="","",IFERROR(INDIRECT("'"&amp;$A7&amp;"'!$K$4"),"⚠ onglet introuvable"))</f>
        <v/>
      </c>
      <c r="K7" s="15">
        <f>IF($A7="","",IFERROR(INDIRECT("'"&amp;$A7&amp;"'!$K$6"),"⚠ onglet introuvable"))</f>
        <v/>
      </c>
      <c r="L7" s="14">
        <f>IF($A7="","",IFERROR(INDIRECT("'"&amp;$A7&amp;"'!$K$7"),"⚠ onglet introuvable"))</f>
        <v/>
      </c>
      <c r="M7" s="14">
        <f>IF($A7="","",IFERROR(INDIRECT("'"&amp;$A7&amp;"'!$K$8"),"⚠ onglet introuvable"))</f>
        <v/>
      </c>
      <c r="N7" s="14">
        <f>IF($A7="","",IFERROR(INDIRECT("'"&amp;$A7&amp;"'!$K$9"),"⚠ onglet introuvable"))</f>
        <v/>
      </c>
      <c r="O7" s="14">
        <f>IF($A7="","",IFERROR(INDIRECT("'"&amp;$A7&amp;"'!$K$10"),"⚠ onglet introuvable"))</f>
        <v/>
      </c>
      <c r="P7" s="14">
        <f>IF($A7="","",IFERROR(INDIRECT("'"&amp;$A7&amp;"'!$K$11"),"⚠ onglet introuvable"))</f>
        <v/>
      </c>
      <c r="Q7" s="17">
        <f>IF($A7="","",IFERROR(INDIRECT("'"&amp;$A7&amp;"'!$K$12"),"⚠ onglet introuvable"))</f>
        <v/>
      </c>
      <c r="R7" s="14">
        <f>IF($A7="","",IF(B7="⚠ onglet introuvable","⚠ onglet introuvable",IF(IFERROR(INDIRECT("'"&amp;$A7&amp;"'!$C$24"),"⚠ onglet introuvable")&lt;&gt;"OK",IFERROR(INDIRECT("'"&amp;$A7&amp;"'!$C$24"),"⚠ onglet introuvable"),IF(B7&lt;&gt;$A7,"ID bail ≠ nom d'onglet","OK"))))</f>
        <v/>
      </c>
    </row>
    <row r="8">
      <c r="A8" s="13" t="n"/>
      <c r="B8" s="14">
        <f>IF($A8="","",IFERROR(INDIRECT("'"&amp;$A8&amp;"'!$C$3"),"⚠ onglet introuvable"))</f>
        <v/>
      </c>
      <c r="C8" s="14">
        <f>IF($A8="","",IFERROR(INDIRECT("'"&amp;$A8&amp;"'!$C$4"),"⚠ onglet introuvable"))</f>
        <v/>
      </c>
      <c r="D8" s="14">
        <f>IF($A8="","",IFERROR(INDIRECT("'"&amp;$A8&amp;"'!$C$5"),"⚠ onglet introuvable"))</f>
        <v/>
      </c>
      <c r="E8" s="14">
        <f>IF($A8="","",IFERROR(INDIRECT("'"&amp;$A8&amp;"'!$C$15"),"⚠ onglet introuvable"))</f>
        <v/>
      </c>
      <c r="F8" s="15">
        <f>IF($A8="","",IFERROR(INDIRECT("'"&amp;$A8&amp;"'!$C$8"),"⚠ onglet introuvable"))</f>
        <v/>
      </c>
      <c r="G8" s="15">
        <f>IF($A8="","",IFERROR(INDIRECT("'"&amp;$A8&amp;"'!$C$10"),"⚠ onglet introuvable"))</f>
        <v/>
      </c>
      <c r="H8" s="16">
        <f>IF($A8="","",IFERROR(INDIRECT("'"&amp;$A8&amp;"'!$C$11"),"⚠ onglet introuvable"))</f>
        <v/>
      </c>
      <c r="I8" s="16">
        <f>IF($A8="","",IFERROR(INDIRECT("'"&amp;$A8&amp;"'!$K$3"),"⚠ onglet introuvable"))</f>
        <v/>
      </c>
      <c r="J8" s="16">
        <f>IF($A8="","",IFERROR(INDIRECT("'"&amp;$A8&amp;"'!$K$4"),"⚠ onglet introuvable"))</f>
        <v/>
      </c>
      <c r="K8" s="15">
        <f>IF($A8="","",IFERROR(INDIRECT("'"&amp;$A8&amp;"'!$K$6"),"⚠ onglet introuvable"))</f>
        <v/>
      </c>
      <c r="L8" s="14">
        <f>IF($A8="","",IFERROR(INDIRECT("'"&amp;$A8&amp;"'!$K$7"),"⚠ onglet introuvable"))</f>
        <v/>
      </c>
      <c r="M8" s="14">
        <f>IF($A8="","",IFERROR(INDIRECT("'"&amp;$A8&amp;"'!$K$8"),"⚠ onglet introuvable"))</f>
        <v/>
      </c>
      <c r="N8" s="14">
        <f>IF($A8="","",IFERROR(INDIRECT("'"&amp;$A8&amp;"'!$K$9"),"⚠ onglet introuvable"))</f>
        <v/>
      </c>
      <c r="O8" s="14">
        <f>IF($A8="","",IFERROR(INDIRECT("'"&amp;$A8&amp;"'!$K$10"),"⚠ onglet introuvable"))</f>
        <v/>
      </c>
      <c r="P8" s="14">
        <f>IF($A8="","",IFERROR(INDIRECT("'"&amp;$A8&amp;"'!$K$11"),"⚠ onglet introuvable"))</f>
        <v/>
      </c>
      <c r="Q8" s="17">
        <f>IF($A8="","",IFERROR(INDIRECT("'"&amp;$A8&amp;"'!$K$12"),"⚠ onglet introuvable"))</f>
        <v/>
      </c>
      <c r="R8" s="14">
        <f>IF($A8="","",IF(B8="⚠ onglet introuvable","⚠ onglet introuvable",IF(IFERROR(INDIRECT("'"&amp;$A8&amp;"'!$C$24"),"⚠ onglet introuvable")&lt;&gt;"OK",IFERROR(INDIRECT("'"&amp;$A8&amp;"'!$C$24"),"⚠ onglet introuvable"),IF(B8&lt;&gt;$A8,"ID bail ≠ nom d'onglet","OK"))))</f>
        <v/>
      </c>
    </row>
    <row r="9">
      <c r="A9" s="13" t="n"/>
      <c r="B9" s="14">
        <f>IF($A9="","",IFERROR(INDIRECT("'"&amp;$A9&amp;"'!$C$3"),"⚠ onglet introuvable"))</f>
        <v/>
      </c>
      <c r="C9" s="14">
        <f>IF($A9="","",IFERROR(INDIRECT("'"&amp;$A9&amp;"'!$C$4"),"⚠ onglet introuvable"))</f>
        <v/>
      </c>
      <c r="D9" s="14">
        <f>IF($A9="","",IFERROR(INDIRECT("'"&amp;$A9&amp;"'!$C$5"),"⚠ onglet introuvable"))</f>
        <v/>
      </c>
      <c r="E9" s="14">
        <f>IF($A9="","",IFERROR(INDIRECT("'"&amp;$A9&amp;"'!$C$15"),"⚠ onglet introuvable"))</f>
        <v/>
      </c>
      <c r="F9" s="15">
        <f>IF($A9="","",IFERROR(INDIRECT("'"&amp;$A9&amp;"'!$C$8"),"⚠ onglet introuvable"))</f>
        <v/>
      </c>
      <c r="G9" s="15">
        <f>IF($A9="","",IFERROR(INDIRECT("'"&amp;$A9&amp;"'!$C$10"),"⚠ onglet introuvable"))</f>
        <v/>
      </c>
      <c r="H9" s="16">
        <f>IF($A9="","",IFERROR(INDIRECT("'"&amp;$A9&amp;"'!$C$11"),"⚠ onglet introuvable"))</f>
        <v/>
      </c>
      <c r="I9" s="16">
        <f>IF($A9="","",IFERROR(INDIRECT("'"&amp;$A9&amp;"'!$K$3"),"⚠ onglet introuvable"))</f>
        <v/>
      </c>
      <c r="J9" s="16">
        <f>IF($A9="","",IFERROR(INDIRECT("'"&amp;$A9&amp;"'!$K$4"),"⚠ onglet introuvable"))</f>
        <v/>
      </c>
      <c r="K9" s="15">
        <f>IF($A9="","",IFERROR(INDIRECT("'"&amp;$A9&amp;"'!$K$6"),"⚠ onglet introuvable"))</f>
        <v/>
      </c>
      <c r="L9" s="14">
        <f>IF($A9="","",IFERROR(INDIRECT("'"&amp;$A9&amp;"'!$K$7"),"⚠ onglet introuvable"))</f>
        <v/>
      </c>
      <c r="M9" s="14">
        <f>IF($A9="","",IFERROR(INDIRECT("'"&amp;$A9&amp;"'!$K$8"),"⚠ onglet introuvable"))</f>
        <v/>
      </c>
      <c r="N9" s="14">
        <f>IF($A9="","",IFERROR(INDIRECT("'"&amp;$A9&amp;"'!$K$9"),"⚠ onglet introuvable"))</f>
        <v/>
      </c>
      <c r="O9" s="14">
        <f>IF($A9="","",IFERROR(INDIRECT("'"&amp;$A9&amp;"'!$K$10"),"⚠ onglet introuvable"))</f>
        <v/>
      </c>
      <c r="P9" s="14">
        <f>IF($A9="","",IFERROR(INDIRECT("'"&amp;$A9&amp;"'!$K$11"),"⚠ onglet introuvable"))</f>
        <v/>
      </c>
      <c r="Q9" s="17">
        <f>IF($A9="","",IFERROR(INDIRECT("'"&amp;$A9&amp;"'!$K$12"),"⚠ onglet introuvable"))</f>
        <v/>
      </c>
      <c r="R9" s="14">
        <f>IF($A9="","",IF(B9="⚠ onglet introuvable","⚠ onglet introuvable",IF(IFERROR(INDIRECT("'"&amp;$A9&amp;"'!$C$24"),"⚠ onglet introuvable")&lt;&gt;"OK",IFERROR(INDIRECT("'"&amp;$A9&amp;"'!$C$24"),"⚠ onglet introuvable"),IF(B9&lt;&gt;$A9,"ID bail ≠ nom d'onglet","OK"))))</f>
        <v/>
      </c>
    </row>
    <row r="10">
      <c r="A10" s="13" t="n"/>
      <c r="B10" s="14">
        <f>IF($A10="","",IFERROR(INDIRECT("'"&amp;$A10&amp;"'!$C$3"),"⚠ onglet introuvable"))</f>
        <v/>
      </c>
      <c r="C10" s="14">
        <f>IF($A10="","",IFERROR(INDIRECT("'"&amp;$A10&amp;"'!$C$4"),"⚠ onglet introuvable"))</f>
        <v/>
      </c>
      <c r="D10" s="14">
        <f>IF($A10="","",IFERROR(INDIRECT("'"&amp;$A10&amp;"'!$C$5"),"⚠ onglet introuvable"))</f>
        <v/>
      </c>
      <c r="E10" s="14">
        <f>IF($A10="","",IFERROR(INDIRECT("'"&amp;$A10&amp;"'!$C$15"),"⚠ onglet introuvable"))</f>
        <v/>
      </c>
      <c r="F10" s="15">
        <f>IF($A10="","",IFERROR(INDIRECT("'"&amp;$A10&amp;"'!$C$8"),"⚠ onglet introuvable"))</f>
        <v/>
      </c>
      <c r="G10" s="15">
        <f>IF($A10="","",IFERROR(INDIRECT("'"&amp;$A10&amp;"'!$C$10"),"⚠ onglet introuvable"))</f>
        <v/>
      </c>
      <c r="H10" s="16">
        <f>IF($A10="","",IFERROR(INDIRECT("'"&amp;$A10&amp;"'!$C$11"),"⚠ onglet introuvable"))</f>
        <v/>
      </c>
      <c r="I10" s="16">
        <f>IF($A10="","",IFERROR(INDIRECT("'"&amp;$A10&amp;"'!$K$3"),"⚠ onglet introuvable"))</f>
        <v/>
      </c>
      <c r="J10" s="16">
        <f>IF($A10="","",IFERROR(INDIRECT("'"&amp;$A10&amp;"'!$K$4"),"⚠ onglet introuvable"))</f>
        <v/>
      </c>
      <c r="K10" s="15">
        <f>IF($A10="","",IFERROR(INDIRECT("'"&amp;$A10&amp;"'!$K$6"),"⚠ onglet introuvable"))</f>
        <v/>
      </c>
      <c r="L10" s="14">
        <f>IF($A10="","",IFERROR(INDIRECT("'"&amp;$A10&amp;"'!$K$7"),"⚠ onglet introuvable"))</f>
        <v/>
      </c>
      <c r="M10" s="14">
        <f>IF($A10="","",IFERROR(INDIRECT("'"&amp;$A10&amp;"'!$K$8"),"⚠ onglet introuvable"))</f>
        <v/>
      </c>
      <c r="N10" s="14">
        <f>IF($A10="","",IFERROR(INDIRECT("'"&amp;$A10&amp;"'!$K$9"),"⚠ onglet introuvable"))</f>
        <v/>
      </c>
      <c r="O10" s="14">
        <f>IF($A10="","",IFERROR(INDIRECT("'"&amp;$A10&amp;"'!$K$10"),"⚠ onglet introuvable"))</f>
        <v/>
      </c>
      <c r="P10" s="14">
        <f>IF($A10="","",IFERROR(INDIRECT("'"&amp;$A10&amp;"'!$K$11"),"⚠ onglet introuvable"))</f>
        <v/>
      </c>
      <c r="Q10" s="17">
        <f>IF($A10="","",IFERROR(INDIRECT("'"&amp;$A10&amp;"'!$K$12"),"⚠ onglet introuvable"))</f>
        <v/>
      </c>
      <c r="R10" s="14">
        <f>IF($A10="","",IF(B10="⚠ onglet introuvable","⚠ onglet introuvable",IF(IFERROR(INDIRECT("'"&amp;$A10&amp;"'!$C$24"),"⚠ onglet introuvable")&lt;&gt;"OK",IFERROR(INDIRECT("'"&amp;$A10&amp;"'!$C$24"),"⚠ onglet introuvable"),IF(B10&lt;&gt;$A10,"ID bail ≠ nom d'onglet","OK"))))</f>
        <v/>
      </c>
    </row>
    <row r="11">
      <c r="A11" s="13" t="n"/>
      <c r="B11" s="14">
        <f>IF($A11="","",IFERROR(INDIRECT("'"&amp;$A11&amp;"'!$C$3"),"⚠ onglet introuvable"))</f>
        <v/>
      </c>
      <c r="C11" s="14">
        <f>IF($A11="","",IFERROR(INDIRECT("'"&amp;$A11&amp;"'!$C$4"),"⚠ onglet introuvable"))</f>
        <v/>
      </c>
      <c r="D11" s="14">
        <f>IF($A11="","",IFERROR(INDIRECT("'"&amp;$A11&amp;"'!$C$5"),"⚠ onglet introuvable"))</f>
        <v/>
      </c>
      <c r="E11" s="14">
        <f>IF($A11="","",IFERROR(INDIRECT("'"&amp;$A11&amp;"'!$C$15"),"⚠ onglet introuvable"))</f>
        <v/>
      </c>
      <c r="F11" s="15">
        <f>IF($A11="","",IFERROR(INDIRECT("'"&amp;$A11&amp;"'!$C$8"),"⚠ onglet introuvable"))</f>
        <v/>
      </c>
      <c r="G11" s="15">
        <f>IF($A11="","",IFERROR(INDIRECT("'"&amp;$A11&amp;"'!$C$10"),"⚠ onglet introuvable"))</f>
        <v/>
      </c>
      <c r="H11" s="16">
        <f>IF($A11="","",IFERROR(INDIRECT("'"&amp;$A11&amp;"'!$C$11"),"⚠ onglet introuvable"))</f>
        <v/>
      </c>
      <c r="I11" s="16">
        <f>IF($A11="","",IFERROR(INDIRECT("'"&amp;$A11&amp;"'!$K$3"),"⚠ onglet introuvable"))</f>
        <v/>
      </c>
      <c r="J11" s="16">
        <f>IF($A11="","",IFERROR(INDIRECT("'"&amp;$A11&amp;"'!$K$4"),"⚠ onglet introuvable"))</f>
        <v/>
      </c>
      <c r="K11" s="15">
        <f>IF($A11="","",IFERROR(INDIRECT("'"&amp;$A11&amp;"'!$K$6"),"⚠ onglet introuvable"))</f>
        <v/>
      </c>
      <c r="L11" s="14">
        <f>IF($A11="","",IFERROR(INDIRECT("'"&amp;$A11&amp;"'!$K$7"),"⚠ onglet introuvable"))</f>
        <v/>
      </c>
      <c r="M11" s="14">
        <f>IF($A11="","",IFERROR(INDIRECT("'"&amp;$A11&amp;"'!$K$8"),"⚠ onglet introuvable"))</f>
        <v/>
      </c>
      <c r="N11" s="14">
        <f>IF($A11="","",IFERROR(INDIRECT("'"&amp;$A11&amp;"'!$K$9"),"⚠ onglet introuvable"))</f>
        <v/>
      </c>
      <c r="O11" s="14">
        <f>IF($A11="","",IFERROR(INDIRECT("'"&amp;$A11&amp;"'!$K$10"),"⚠ onglet introuvable"))</f>
        <v/>
      </c>
      <c r="P11" s="14">
        <f>IF($A11="","",IFERROR(INDIRECT("'"&amp;$A11&amp;"'!$K$11"),"⚠ onglet introuvable"))</f>
        <v/>
      </c>
      <c r="Q11" s="17">
        <f>IF($A11="","",IFERROR(INDIRECT("'"&amp;$A11&amp;"'!$K$12"),"⚠ onglet introuvable"))</f>
        <v/>
      </c>
      <c r="R11" s="14">
        <f>IF($A11="","",IF(B11="⚠ onglet introuvable","⚠ onglet introuvable",IF(IFERROR(INDIRECT("'"&amp;$A11&amp;"'!$C$24"),"⚠ onglet introuvable")&lt;&gt;"OK",IFERROR(INDIRECT("'"&amp;$A11&amp;"'!$C$24"),"⚠ onglet introuvable"),IF(B11&lt;&gt;$A11,"ID bail ≠ nom d'onglet","OK"))))</f>
        <v/>
      </c>
    </row>
    <row r="12">
      <c r="A12" s="13" t="n"/>
      <c r="B12" s="14">
        <f>IF($A12="","",IFERROR(INDIRECT("'"&amp;$A12&amp;"'!$C$3"),"⚠ onglet introuvable"))</f>
        <v/>
      </c>
      <c r="C12" s="14">
        <f>IF($A12="","",IFERROR(INDIRECT("'"&amp;$A12&amp;"'!$C$4"),"⚠ onglet introuvable"))</f>
        <v/>
      </c>
      <c r="D12" s="14">
        <f>IF($A12="","",IFERROR(INDIRECT("'"&amp;$A12&amp;"'!$C$5"),"⚠ onglet introuvable"))</f>
        <v/>
      </c>
      <c r="E12" s="14">
        <f>IF($A12="","",IFERROR(INDIRECT("'"&amp;$A12&amp;"'!$C$15"),"⚠ onglet introuvable"))</f>
        <v/>
      </c>
      <c r="F12" s="15">
        <f>IF($A12="","",IFERROR(INDIRECT("'"&amp;$A12&amp;"'!$C$8"),"⚠ onglet introuvable"))</f>
        <v/>
      </c>
      <c r="G12" s="15">
        <f>IF($A12="","",IFERROR(INDIRECT("'"&amp;$A12&amp;"'!$C$10"),"⚠ onglet introuvable"))</f>
        <v/>
      </c>
      <c r="H12" s="16">
        <f>IF($A12="","",IFERROR(INDIRECT("'"&amp;$A12&amp;"'!$C$11"),"⚠ onglet introuvable"))</f>
        <v/>
      </c>
      <c r="I12" s="16">
        <f>IF($A12="","",IFERROR(INDIRECT("'"&amp;$A12&amp;"'!$K$3"),"⚠ onglet introuvable"))</f>
        <v/>
      </c>
      <c r="J12" s="16">
        <f>IF($A12="","",IFERROR(INDIRECT("'"&amp;$A12&amp;"'!$K$4"),"⚠ onglet introuvable"))</f>
        <v/>
      </c>
      <c r="K12" s="15">
        <f>IF($A12="","",IFERROR(INDIRECT("'"&amp;$A12&amp;"'!$K$6"),"⚠ onglet introuvable"))</f>
        <v/>
      </c>
      <c r="L12" s="14">
        <f>IF($A12="","",IFERROR(INDIRECT("'"&amp;$A12&amp;"'!$K$7"),"⚠ onglet introuvable"))</f>
        <v/>
      </c>
      <c r="M12" s="14">
        <f>IF($A12="","",IFERROR(INDIRECT("'"&amp;$A12&amp;"'!$K$8"),"⚠ onglet introuvable"))</f>
        <v/>
      </c>
      <c r="N12" s="14">
        <f>IF($A12="","",IFERROR(INDIRECT("'"&amp;$A12&amp;"'!$K$9"),"⚠ onglet introuvable"))</f>
        <v/>
      </c>
      <c r="O12" s="14">
        <f>IF($A12="","",IFERROR(INDIRECT("'"&amp;$A12&amp;"'!$K$10"),"⚠ onglet introuvable"))</f>
        <v/>
      </c>
      <c r="P12" s="14">
        <f>IF($A12="","",IFERROR(INDIRECT("'"&amp;$A12&amp;"'!$K$11"),"⚠ onglet introuvable"))</f>
        <v/>
      </c>
      <c r="Q12" s="17">
        <f>IF($A12="","",IFERROR(INDIRECT("'"&amp;$A12&amp;"'!$K$12"),"⚠ onglet introuvable"))</f>
        <v/>
      </c>
      <c r="R12" s="14">
        <f>IF($A12="","",IF(B12="⚠ onglet introuvable","⚠ onglet introuvable",IF(IFERROR(INDIRECT("'"&amp;$A12&amp;"'!$C$24"),"⚠ onglet introuvable")&lt;&gt;"OK",IFERROR(INDIRECT("'"&amp;$A12&amp;"'!$C$24"),"⚠ onglet introuvable"),IF(B12&lt;&gt;$A12,"ID bail ≠ nom d'onglet","OK"))))</f>
        <v/>
      </c>
    </row>
    <row r="13">
      <c r="A13" s="13" t="n"/>
      <c r="B13" s="14">
        <f>IF($A13="","",IFERROR(INDIRECT("'"&amp;$A13&amp;"'!$C$3"),"⚠ onglet introuvable"))</f>
        <v/>
      </c>
      <c r="C13" s="14">
        <f>IF($A13="","",IFERROR(INDIRECT("'"&amp;$A13&amp;"'!$C$4"),"⚠ onglet introuvable"))</f>
        <v/>
      </c>
      <c r="D13" s="14">
        <f>IF($A13="","",IFERROR(INDIRECT("'"&amp;$A13&amp;"'!$C$5"),"⚠ onglet introuvable"))</f>
        <v/>
      </c>
      <c r="E13" s="14">
        <f>IF($A13="","",IFERROR(INDIRECT("'"&amp;$A13&amp;"'!$C$15"),"⚠ onglet introuvable"))</f>
        <v/>
      </c>
      <c r="F13" s="15">
        <f>IF($A13="","",IFERROR(INDIRECT("'"&amp;$A13&amp;"'!$C$8"),"⚠ onglet introuvable"))</f>
        <v/>
      </c>
      <c r="G13" s="15">
        <f>IF($A13="","",IFERROR(INDIRECT("'"&amp;$A13&amp;"'!$C$10"),"⚠ onglet introuvable"))</f>
        <v/>
      </c>
      <c r="H13" s="16">
        <f>IF($A13="","",IFERROR(INDIRECT("'"&amp;$A13&amp;"'!$C$11"),"⚠ onglet introuvable"))</f>
        <v/>
      </c>
      <c r="I13" s="16">
        <f>IF($A13="","",IFERROR(INDIRECT("'"&amp;$A13&amp;"'!$K$3"),"⚠ onglet introuvable"))</f>
        <v/>
      </c>
      <c r="J13" s="16">
        <f>IF($A13="","",IFERROR(INDIRECT("'"&amp;$A13&amp;"'!$K$4"),"⚠ onglet introuvable"))</f>
        <v/>
      </c>
      <c r="K13" s="15">
        <f>IF($A13="","",IFERROR(INDIRECT("'"&amp;$A13&amp;"'!$K$6"),"⚠ onglet introuvable"))</f>
        <v/>
      </c>
      <c r="L13" s="14">
        <f>IF($A13="","",IFERROR(INDIRECT("'"&amp;$A13&amp;"'!$K$7"),"⚠ onglet introuvable"))</f>
        <v/>
      </c>
      <c r="M13" s="14">
        <f>IF($A13="","",IFERROR(INDIRECT("'"&amp;$A13&amp;"'!$K$8"),"⚠ onglet introuvable"))</f>
        <v/>
      </c>
      <c r="N13" s="14">
        <f>IF($A13="","",IFERROR(INDIRECT("'"&amp;$A13&amp;"'!$K$9"),"⚠ onglet introuvable"))</f>
        <v/>
      </c>
      <c r="O13" s="14">
        <f>IF($A13="","",IFERROR(INDIRECT("'"&amp;$A13&amp;"'!$K$10"),"⚠ onglet introuvable"))</f>
        <v/>
      </c>
      <c r="P13" s="14">
        <f>IF($A13="","",IFERROR(INDIRECT("'"&amp;$A13&amp;"'!$K$11"),"⚠ onglet introuvable"))</f>
        <v/>
      </c>
      <c r="Q13" s="17">
        <f>IF($A13="","",IFERROR(INDIRECT("'"&amp;$A13&amp;"'!$K$12"),"⚠ onglet introuvable"))</f>
        <v/>
      </c>
      <c r="R13" s="14">
        <f>IF($A13="","",IF(B13="⚠ onglet introuvable","⚠ onglet introuvable",IF(IFERROR(INDIRECT("'"&amp;$A13&amp;"'!$C$24"),"⚠ onglet introuvable")&lt;&gt;"OK",IFERROR(INDIRECT("'"&amp;$A13&amp;"'!$C$24"),"⚠ onglet introuvable"),IF(B13&lt;&gt;$A13,"ID bail ≠ nom d'onglet","OK"))))</f>
        <v/>
      </c>
    </row>
    <row r="14">
      <c r="A14" s="13" t="n"/>
      <c r="B14" s="14">
        <f>IF($A14="","",IFERROR(INDIRECT("'"&amp;$A14&amp;"'!$C$3"),"⚠ onglet introuvable"))</f>
        <v/>
      </c>
      <c r="C14" s="14">
        <f>IF($A14="","",IFERROR(INDIRECT("'"&amp;$A14&amp;"'!$C$4"),"⚠ onglet introuvable"))</f>
        <v/>
      </c>
      <c r="D14" s="14">
        <f>IF($A14="","",IFERROR(INDIRECT("'"&amp;$A14&amp;"'!$C$5"),"⚠ onglet introuvable"))</f>
        <v/>
      </c>
      <c r="E14" s="14">
        <f>IF($A14="","",IFERROR(INDIRECT("'"&amp;$A14&amp;"'!$C$15"),"⚠ onglet introuvable"))</f>
        <v/>
      </c>
      <c r="F14" s="15">
        <f>IF($A14="","",IFERROR(INDIRECT("'"&amp;$A14&amp;"'!$C$8"),"⚠ onglet introuvable"))</f>
        <v/>
      </c>
      <c r="G14" s="15">
        <f>IF($A14="","",IFERROR(INDIRECT("'"&amp;$A14&amp;"'!$C$10"),"⚠ onglet introuvable"))</f>
        <v/>
      </c>
      <c r="H14" s="16">
        <f>IF($A14="","",IFERROR(INDIRECT("'"&amp;$A14&amp;"'!$C$11"),"⚠ onglet introuvable"))</f>
        <v/>
      </c>
      <c r="I14" s="16">
        <f>IF($A14="","",IFERROR(INDIRECT("'"&amp;$A14&amp;"'!$K$3"),"⚠ onglet introuvable"))</f>
        <v/>
      </c>
      <c r="J14" s="16">
        <f>IF($A14="","",IFERROR(INDIRECT("'"&amp;$A14&amp;"'!$K$4"),"⚠ onglet introuvable"))</f>
        <v/>
      </c>
      <c r="K14" s="15">
        <f>IF($A14="","",IFERROR(INDIRECT("'"&amp;$A14&amp;"'!$K$6"),"⚠ onglet introuvable"))</f>
        <v/>
      </c>
      <c r="L14" s="14">
        <f>IF($A14="","",IFERROR(INDIRECT("'"&amp;$A14&amp;"'!$K$7"),"⚠ onglet introuvable"))</f>
        <v/>
      </c>
      <c r="M14" s="14">
        <f>IF($A14="","",IFERROR(INDIRECT("'"&amp;$A14&amp;"'!$K$8"),"⚠ onglet introuvable"))</f>
        <v/>
      </c>
      <c r="N14" s="14">
        <f>IF($A14="","",IFERROR(INDIRECT("'"&amp;$A14&amp;"'!$K$9"),"⚠ onglet introuvable"))</f>
        <v/>
      </c>
      <c r="O14" s="14">
        <f>IF($A14="","",IFERROR(INDIRECT("'"&amp;$A14&amp;"'!$K$10"),"⚠ onglet introuvable"))</f>
        <v/>
      </c>
      <c r="P14" s="14">
        <f>IF($A14="","",IFERROR(INDIRECT("'"&amp;$A14&amp;"'!$K$11"),"⚠ onglet introuvable"))</f>
        <v/>
      </c>
      <c r="Q14" s="17">
        <f>IF($A14="","",IFERROR(INDIRECT("'"&amp;$A14&amp;"'!$K$12"),"⚠ onglet introuvable"))</f>
        <v/>
      </c>
      <c r="R14" s="14">
        <f>IF($A14="","",IF(B14="⚠ onglet introuvable","⚠ onglet introuvable",IF(IFERROR(INDIRECT("'"&amp;$A14&amp;"'!$C$24"),"⚠ onglet introuvable")&lt;&gt;"OK",IFERROR(INDIRECT("'"&amp;$A14&amp;"'!$C$24"),"⚠ onglet introuvable"),IF(B14&lt;&gt;$A14,"ID bail ≠ nom d'onglet","OK"))))</f>
        <v/>
      </c>
    </row>
    <row r="15">
      <c r="A15" s="13" t="n"/>
      <c r="B15" s="14">
        <f>IF($A15="","",IFERROR(INDIRECT("'"&amp;$A15&amp;"'!$C$3"),"⚠ onglet introuvable"))</f>
        <v/>
      </c>
      <c r="C15" s="14">
        <f>IF($A15="","",IFERROR(INDIRECT("'"&amp;$A15&amp;"'!$C$4"),"⚠ onglet introuvable"))</f>
        <v/>
      </c>
      <c r="D15" s="14">
        <f>IF($A15="","",IFERROR(INDIRECT("'"&amp;$A15&amp;"'!$C$5"),"⚠ onglet introuvable"))</f>
        <v/>
      </c>
      <c r="E15" s="14">
        <f>IF($A15="","",IFERROR(INDIRECT("'"&amp;$A15&amp;"'!$C$15"),"⚠ onglet introuvable"))</f>
        <v/>
      </c>
      <c r="F15" s="15">
        <f>IF($A15="","",IFERROR(INDIRECT("'"&amp;$A15&amp;"'!$C$8"),"⚠ onglet introuvable"))</f>
        <v/>
      </c>
      <c r="G15" s="15">
        <f>IF($A15="","",IFERROR(INDIRECT("'"&amp;$A15&amp;"'!$C$10"),"⚠ onglet introuvable"))</f>
        <v/>
      </c>
      <c r="H15" s="16">
        <f>IF($A15="","",IFERROR(INDIRECT("'"&amp;$A15&amp;"'!$C$11"),"⚠ onglet introuvable"))</f>
        <v/>
      </c>
      <c r="I15" s="16">
        <f>IF($A15="","",IFERROR(INDIRECT("'"&amp;$A15&amp;"'!$K$3"),"⚠ onglet introuvable"))</f>
        <v/>
      </c>
      <c r="J15" s="16">
        <f>IF($A15="","",IFERROR(INDIRECT("'"&amp;$A15&amp;"'!$K$4"),"⚠ onglet introuvable"))</f>
        <v/>
      </c>
      <c r="K15" s="15">
        <f>IF($A15="","",IFERROR(INDIRECT("'"&amp;$A15&amp;"'!$K$6"),"⚠ onglet introuvable"))</f>
        <v/>
      </c>
      <c r="L15" s="14">
        <f>IF($A15="","",IFERROR(INDIRECT("'"&amp;$A15&amp;"'!$K$7"),"⚠ onglet introuvable"))</f>
        <v/>
      </c>
      <c r="M15" s="14">
        <f>IF($A15="","",IFERROR(INDIRECT("'"&amp;$A15&amp;"'!$K$8"),"⚠ onglet introuvable"))</f>
        <v/>
      </c>
      <c r="N15" s="14">
        <f>IF($A15="","",IFERROR(INDIRECT("'"&amp;$A15&amp;"'!$K$9"),"⚠ onglet introuvable"))</f>
        <v/>
      </c>
      <c r="O15" s="14">
        <f>IF($A15="","",IFERROR(INDIRECT("'"&amp;$A15&amp;"'!$K$10"),"⚠ onglet introuvable"))</f>
        <v/>
      </c>
      <c r="P15" s="14">
        <f>IF($A15="","",IFERROR(INDIRECT("'"&amp;$A15&amp;"'!$K$11"),"⚠ onglet introuvable"))</f>
        <v/>
      </c>
      <c r="Q15" s="17">
        <f>IF($A15="","",IFERROR(INDIRECT("'"&amp;$A15&amp;"'!$K$12"),"⚠ onglet introuvable"))</f>
        <v/>
      </c>
      <c r="R15" s="14">
        <f>IF($A15="","",IF(B15="⚠ onglet introuvable","⚠ onglet introuvable",IF(IFERROR(INDIRECT("'"&amp;$A15&amp;"'!$C$24"),"⚠ onglet introuvable")&lt;&gt;"OK",IFERROR(INDIRECT("'"&amp;$A15&amp;"'!$C$24"),"⚠ onglet introuvable"),IF(B15&lt;&gt;$A15,"ID bail ≠ nom d'onglet","OK"))))</f>
        <v/>
      </c>
    </row>
    <row r="16">
      <c r="A16" s="13" t="n"/>
      <c r="B16" s="14">
        <f>IF($A16="","",IFERROR(INDIRECT("'"&amp;$A16&amp;"'!$C$3"),"⚠ onglet introuvable"))</f>
        <v/>
      </c>
      <c r="C16" s="14">
        <f>IF($A16="","",IFERROR(INDIRECT("'"&amp;$A16&amp;"'!$C$4"),"⚠ onglet introuvable"))</f>
        <v/>
      </c>
      <c r="D16" s="14">
        <f>IF($A16="","",IFERROR(INDIRECT("'"&amp;$A16&amp;"'!$C$5"),"⚠ onglet introuvable"))</f>
        <v/>
      </c>
      <c r="E16" s="14">
        <f>IF($A16="","",IFERROR(INDIRECT("'"&amp;$A16&amp;"'!$C$15"),"⚠ onglet introuvable"))</f>
        <v/>
      </c>
      <c r="F16" s="15">
        <f>IF($A16="","",IFERROR(INDIRECT("'"&amp;$A16&amp;"'!$C$8"),"⚠ onglet introuvable"))</f>
        <v/>
      </c>
      <c r="G16" s="15">
        <f>IF($A16="","",IFERROR(INDIRECT("'"&amp;$A16&amp;"'!$C$10"),"⚠ onglet introuvable"))</f>
        <v/>
      </c>
      <c r="H16" s="16">
        <f>IF($A16="","",IFERROR(INDIRECT("'"&amp;$A16&amp;"'!$C$11"),"⚠ onglet introuvable"))</f>
        <v/>
      </c>
      <c r="I16" s="16">
        <f>IF($A16="","",IFERROR(INDIRECT("'"&amp;$A16&amp;"'!$K$3"),"⚠ onglet introuvable"))</f>
        <v/>
      </c>
      <c r="J16" s="16">
        <f>IF($A16="","",IFERROR(INDIRECT("'"&amp;$A16&amp;"'!$K$4"),"⚠ onglet introuvable"))</f>
        <v/>
      </c>
      <c r="K16" s="15">
        <f>IF($A16="","",IFERROR(INDIRECT("'"&amp;$A16&amp;"'!$K$6"),"⚠ onglet introuvable"))</f>
        <v/>
      </c>
      <c r="L16" s="14">
        <f>IF($A16="","",IFERROR(INDIRECT("'"&amp;$A16&amp;"'!$K$7"),"⚠ onglet introuvable"))</f>
        <v/>
      </c>
      <c r="M16" s="14">
        <f>IF($A16="","",IFERROR(INDIRECT("'"&amp;$A16&amp;"'!$K$8"),"⚠ onglet introuvable"))</f>
        <v/>
      </c>
      <c r="N16" s="14">
        <f>IF($A16="","",IFERROR(INDIRECT("'"&amp;$A16&amp;"'!$K$9"),"⚠ onglet introuvable"))</f>
        <v/>
      </c>
      <c r="O16" s="14">
        <f>IF($A16="","",IFERROR(INDIRECT("'"&amp;$A16&amp;"'!$K$10"),"⚠ onglet introuvable"))</f>
        <v/>
      </c>
      <c r="P16" s="14">
        <f>IF($A16="","",IFERROR(INDIRECT("'"&amp;$A16&amp;"'!$K$11"),"⚠ onglet introuvable"))</f>
        <v/>
      </c>
      <c r="Q16" s="17">
        <f>IF($A16="","",IFERROR(INDIRECT("'"&amp;$A16&amp;"'!$K$12"),"⚠ onglet introuvable"))</f>
        <v/>
      </c>
      <c r="R16" s="14">
        <f>IF($A16="","",IF(B16="⚠ onglet introuvable","⚠ onglet introuvable",IF(IFERROR(INDIRECT("'"&amp;$A16&amp;"'!$C$24"),"⚠ onglet introuvable")&lt;&gt;"OK",IFERROR(INDIRECT("'"&amp;$A16&amp;"'!$C$24"),"⚠ onglet introuvable"),IF(B16&lt;&gt;$A16,"ID bail ≠ nom d'onglet","OK"))))</f>
        <v/>
      </c>
    </row>
    <row r="17">
      <c r="A17" s="13" t="n"/>
      <c r="B17" s="14">
        <f>IF($A17="","",IFERROR(INDIRECT("'"&amp;$A17&amp;"'!$C$3"),"⚠ onglet introuvable"))</f>
        <v/>
      </c>
      <c r="C17" s="14">
        <f>IF($A17="","",IFERROR(INDIRECT("'"&amp;$A17&amp;"'!$C$4"),"⚠ onglet introuvable"))</f>
        <v/>
      </c>
      <c r="D17" s="14">
        <f>IF($A17="","",IFERROR(INDIRECT("'"&amp;$A17&amp;"'!$C$5"),"⚠ onglet introuvable"))</f>
        <v/>
      </c>
      <c r="E17" s="14">
        <f>IF($A17="","",IFERROR(INDIRECT("'"&amp;$A17&amp;"'!$C$15"),"⚠ onglet introuvable"))</f>
        <v/>
      </c>
      <c r="F17" s="15">
        <f>IF($A17="","",IFERROR(INDIRECT("'"&amp;$A17&amp;"'!$C$8"),"⚠ onglet introuvable"))</f>
        <v/>
      </c>
      <c r="G17" s="15">
        <f>IF($A17="","",IFERROR(INDIRECT("'"&amp;$A17&amp;"'!$C$10"),"⚠ onglet introuvable"))</f>
        <v/>
      </c>
      <c r="H17" s="16">
        <f>IF($A17="","",IFERROR(INDIRECT("'"&amp;$A17&amp;"'!$C$11"),"⚠ onglet introuvable"))</f>
        <v/>
      </c>
      <c r="I17" s="16">
        <f>IF($A17="","",IFERROR(INDIRECT("'"&amp;$A17&amp;"'!$K$3"),"⚠ onglet introuvable"))</f>
        <v/>
      </c>
      <c r="J17" s="16">
        <f>IF($A17="","",IFERROR(INDIRECT("'"&amp;$A17&amp;"'!$K$4"),"⚠ onglet introuvable"))</f>
        <v/>
      </c>
      <c r="K17" s="15">
        <f>IF($A17="","",IFERROR(INDIRECT("'"&amp;$A17&amp;"'!$K$6"),"⚠ onglet introuvable"))</f>
        <v/>
      </c>
      <c r="L17" s="14">
        <f>IF($A17="","",IFERROR(INDIRECT("'"&amp;$A17&amp;"'!$K$7"),"⚠ onglet introuvable"))</f>
        <v/>
      </c>
      <c r="M17" s="14">
        <f>IF($A17="","",IFERROR(INDIRECT("'"&amp;$A17&amp;"'!$K$8"),"⚠ onglet introuvable"))</f>
        <v/>
      </c>
      <c r="N17" s="14">
        <f>IF($A17="","",IFERROR(INDIRECT("'"&amp;$A17&amp;"'!$K$9"),"⚠ onglet introuvable"))</f>
        <v/>
      </c>
      <c r="O17" s="14">
        <f>IF($A17="","",IFERROR(INDIRECT("'"&amp;$A17&amp;"'!$K$10"),"⚠ onglet introuvable"))</f>
        <v/>
      </c>
      <c r="P17" s="14">
        <f>IF($A17="","",IFERROR(INDIRECT("'"&amp;$A17&amp;"'!$K$11"),"⚠ onglet introuvable"))</f>
        <v/>
      </c>
      <c r="Q17" s="17">
        <f>IF($A17="","",IFERROR(INDIRECT("'"&amp;$A17&amp;"'!$K$12"),"⚠ onglet introuvable"))</f>
        <v/>
      </c>
      <c r="R17" s="14">
        <f>IF($A17="","",IF(B17="⚠ onglet introuvable","⚠ onglet introuvable",IF(IFERROR(INDIRECT("'"&amp;$A17&amp;"'!$C$24"),"⚠ onglet introuvable")&lt;&gt;"OK",IFERROR(INDIRECT("'"&amp;$A17&amp;"'!$C$24"),"⚠ onglet introuvable"),IF(B17&lt;&gt;$A17,"ID bail ≠ nom d'onglet","OK"))))</f>
        <v/>
      </c>
    </row>
    <row r="18">
      <c r="A18" s="13" t="n"/>
      <c r="B18" s="14">
        <f>IF($A18="","",IFERROR(INDIRECT("'"&amp;$A18&amp;"'!$C$3"),"⚠ onglet introuvable"))</f>
        <v/>
      </c>
      <c r="C18" s="14">
        <f>IF($A18="","",IFERROR(INDIRECT("'"&amp;$A18&amp;"'!$C$4"),"⚠ onglet introuvable"))</f>
        <v/>
      </c>
      <c r="D18" s="14">
        <f>IF($A18="","",IFERROR(INDIRECT("'"&amp;$A18&amp;"'!$C$5"),"⚠ onglet introuvable"))</f>
        <v/>
      </c>
      <c r="E18" s="14">
        <f>IF($A18="","",IFERROR(INDIRECT("'"&amp;$A18&amp;"'!$C$15"),"⚠ onglet introuvable"))</f>
        <v/>
      </c>
      <c r="F18" s="15">
        <f>IF($A18="","",IFERROR(INDIRECT("'"&amp;$A18&amp;"'!$C$8"),"⚠ onglet introuvable"))</f>
        <v/>
      </c>
      <c r="G18" s="15">
        <f>IF($A18="","",IFERROR(INDIRECT("'"&amp;$A18&amp;"'!$C$10"),"⚠ onglet introuvable"))</f>
        <v/>
      </c>
      <c r="H18" s="16">
        <f>IF($A18="","",IFERROR(INDIRECT("'"&amp;$A18&amp;"'!$C$11"),"⚠ onglet introuvable"))</f>
        <v/>
      </c>
      <c r="I18" s="16">
        <f>IF($A18="","",IFERROR(INDIRECT("'"&amp;$A18&amp;"'!$K$3"),"⚠ onglet introuvable"))</f>
        <v/>
      </c>
      <c r="J18" s="16">
        <f>IF($A18="","",IFERROR(INDIRECT("'"&amp;$A18&amp;"'!$K$4"),"⚠ onglet introuvable"))</f>
        <v/>
      </c>
      <c r="K18" s="15">
        <f>IF($A18="","",IFERROR(INDIRECT("'"&amp;$A18&amp;"'!$K$6"),"⚠ onglet introuvable"))</f>
        <v/>
      </c>
      <c r="L18" s="14">
        <f>IF($A18="","",IFERROR(INDIRECT("'"&amp;$A18&amp;"'!$K$7"),"⚠ onglet introuvable"))</f>
        <v/>
      </c>
      <c r="M18" s="14">
        <f>IF($A18="","",IFERROR(INDIRECT("'"&amp;$A18&amp;"'!$K$8"),"⚠ onglet introuvable"))</f>
        <v/>
      </c>
      <c r="N18" s="14">
        <f>IF($A18="","",IFERROR(INDIRECT("'"&amp;$A18&amp;"'!$K$9"),"⚠ onglet introuvable"))</f>
        <v/>
      </c>
      <c r="O18" s="14">
        <f>IF($A18="","",IFERROR(INDIRECT("'"&amp;$A18&amp;"'!$K$10"),"⚠ onglet introuvable"))</f>
        <v/>
      </c>
      <c r="P18" s="14">
        <f>IF($A18="","",IFERROR(INDIRECT("'"&amp;$A18&amp;"'!$K$11"),"⚠ onglet introuvable"))</f>
        <v/>
      </c>
      <c r="Q18" s="17">
        <f>IF($A18="","",IFERROR(INDIRECT("'"&amp;$A18&amp;"'!$K$12"),"⚠ onglet introuvable"))</f>
        <v/>
      </c>
      <c r="R18" s="14">
        <f>IF($A18="","",IF(B18="⚠ onglet introuvable","⚠ onglet introuvable",IF(IFERROR(INDIRECT("'"&amp;$A18&amp;"'!$C$24"),"⚠ onglet introuvable")&lt;&gt;"OK",IFERROR(INDIRECT("'"&amp;$A18&amp;"'!$C$24"),"⚠ onglet introuvable"),IF(B18&lt;&gt;$A18,"ID bail ≠ nom d'onglet","OK"))))</f>
        <v/>
      </c>
    </row>
    <row r="19">
      <c r="A19" s="13" t="n"/>
      <c r="B19" s="14">
        <f>IF($A19="","",IFERROR(INDIRECT("'"&amp;$A19&amp;"'!$C$3"),"⚠ onglet introuvable"))</f>
        <v/>
      </c>
      <c r="C19" s="14">
        <f>IF($A19="","",IFERROR(INDIRECT("'"&amp;$A19&amp;"'!$C$4"),"⚠ onglet introuvable"))</f>
        <v/>
      </c>
      <c r="D19" s="14">
        <f>IF($A19="","",IFERROR(INDIRECT("'"&amp;$A19&amp;"'!$C$5"),"⚠ onglet introuvable"))</f>
        <v/>
      </c>
      <c r="E19" s="14">
        <f>IF($A19="","",IFERROR(INDIRECT("'"&amp;$A19&amp;"'!$C$15"),"⚠ onglet introuvable"))</f>
        <v/>
      </c>
      <c r="F19" s="15">
        <f>IF($A19="","",IFERROR(INDIRECT("'"&amp;$A19&amp;"'!$C$8"),"⚠ onglet introuvable"))</f>
        <v/>
      </c>
      <c r="G19" s="15">
        <f>IF($A19="","",IFERROR(INDIRECT("'"&amp;$A19&amp;"'!$C$10"),"⚠ onglet introuvable"))</f>
        <v/>
      </c>
      <c r="H19" s="16">
        <f>IF($A19="","",IFERROR(INDIRECT("'"&amp;$A19&amp;"'!$C$11"),"⚠ onglet introuvable"))</f>
        <v/>
      </c>
      <c r="I19" s="16">
        <f>IF($A19="","",IFERROR(INDIRECT("'"&amp;$A19&amp;"'!$K$3"),"⚠ onglet introuvable"))</f>
        <v/>
      </c>
      <c r="J19" s="16">
        <f>IF($A19="","",IFERROR(INDIRECT("'"&amp;$A19&amp;"'!$K$4"),"⚠ onglet introuvable"))</f>
        <v/>
      </c>
      <c r="K19" s="15">
        <f>IF($A19="","",IFERROR(INDIRECT("'"&amp;$A19&amp;"'!$K$6"),"⚠ onglet introuvable"))</f>
        <v/>
      </c>
      <c r="L19" s="14">
        <f>IF($A19="","",IFERROR(INDIRECT("'"&amp;$A19&amp;"'!$K$7"),"⚠ onglet introuvable"))</f>
        <v/>
      </c>
      <c r="M19" s="14">
        <f>IF($A19="","",IFERROR(INDIRECT("'"&amp;$A19&amp;"'!$K$8"),"⚠ onglet introuvable"))</f>
        <v/>
      </c>
      <c r="N19" s="14">
        <f>IF($A19="","",IFERROR(INDIRECT("'"&amp;$A19&amp;"'!$K$9"),"⚠ onglet introuvable"))</f>
        <v/>
      </c>
      <c r="O19" s="14">
        <f>IF($A19="","",IFERROR(INDIRECT("'"&amp;$A19&amp;"'!$K$10"),"⚠ onglet introuvable"))</f>
        <v/>
      </c>
      <c r="P19" s="14">
        <f>IF($A19="","",IFERROR(INDIRECT("'"&amp;$A19&amp;"'!$K$11"),"⚠ onglet introuvable"))</f>
        <v/>
      </c>
      <c r="Q19" s="17">
        <f>IF($A19="","",IFERROR(INDIRECT("'"&amp;$A19&amp;"'!$K$12"),"⚠ onglet introuvable"))</f>
        <v/>
      </c>
      <c r="R19" s="14">
        <f>IF($A19="","",IF(B19="⚠ onglet introuvable","⚠ onglet introuvable",IF(IFERROR(INDIRECT("'"&amp;$A19&amp;"'!$C$24"),"⚠ onglet introuvable")&lt;&gt;"OK",IFERROR(INDIRECT("'"&amp;$A19&amp;"'!$C$24"),"⚠ onglet introuvable"),IF(B19&lt;&gt;$A19,"ID bail ≠ nom d'onglet","OK"))))</f>
        <v/>
      </c>
    </row>
    <row r="20">
      <c r="A20" s="13" t="n"/>
      <c r="B20" s="14">
        <f>IF($A20="","",IFERROR(INDIRECT("'"&amp;$A20&amp;"'!$C$3"),"⚠ onglet introuvable"))</f>
        <v/>
      </c>
      <c r="C20" s="14">
        <f>IF($A20="","",IFERROR(INDIRECT("'"&amp;$A20&amp;"'!$C$4"),"⚠ onglet introuvable"))</f>
        <v/>
      </c>
      <c r="D20" s="14">
        <f>IF($A20="","",IFERROR(INDIRECT("'"&amp;$A20&amp;"'!$C$5"),"⚠ onglet introuvable"))</f>
        <v/>
      </c>
      <c r="E20" s="14">
        <f>IF($A20="","",IFERROR(INDIRECT("'"&amp;$A20&amp;"'!$C$15"),"⚠ onglet introuvable"))</f>
        <v/>
      </c>
      <c r="F20" s="15">
        <f>IF($A20="","",IFERROR(INDIRECT("'"&amp;$A20&amp;"'!$C$8"),"⚠ onglet introuvable"))</f>
        <v/>
      </c>
      <c r="G20" s="15">
        <f>IF($A20="","",IFERROR(INDIRECT("'"&amp;$A20&amp;"'!$C$10"),"⚠ onglet introuvable"))</f>
        <v/>
      </c>
      <c r="H20" s="16">
        <f>IF($A20="","",IFERROR(INDIRECT("'"&amp;$A20&amp;"'!$C$11"),"⚠ onglet introuvable"))</f>
        <v/>
      </c>
      <c r="I20" s="16">
        <f>IF($A20="","",IFERROR(INDIRECT("'"&amp;$A20&amp;"'!$K$3"),"⚠ onglet introuvable"))</f>
        <v/>
      </c>
      <c r="J20" s="16">
        <f>IF($A20="","",IFERROR(INDIRECT("'"&amp;$A20&amp;"'!$K$4"),"⚠ onglet introuvable"))</f>
        <v/>
      </c>
      <c r="K20" s="15">
        <f>IF($A20="","",IFERROR(INDIRECT("'"&amp;$A20&amp;"'!$K$6"),"⚠ onglet introuvable"))</f>
        <v/>
      </c>
      <c r="L20" s="14">
        <f>IF($A20="","",IFERROR(INDIRECT("'"&amp;$A20&amp;"'!$K$7"),"⚠ onglet introuvable"))</f>
        <v/>
      </c>
      <c r="M20" s="14">
        <f>IF($A20="","",IFERROR(INDIRECT("'"&amp;$A20&amp;"'!$K$8"),"⚠ onglet introuvable"))</f>
        <v/>
      </c>
      <c r="N20" s="14">
        <f>IF($A20="","",IFERROR(INDIRECT("'"&amp;$A20&amp;"'!$K$9"),"⚠ onglet introuvable"))</f>
        <v/>
      </c>
      <c r="O20" s="14">
        <f>IF($A20="","",IFERROR(INDIRECT("'"&amp;$A20&amp;"'!$K$10"),"⚠ onglet introuvable"))</f>
        <v/>
      </c>
      <c r="P20" s="14">
        <f>IF($A20="","",IFERROR(INDIRECT("'"&amp;$A20&amp;"'!$K$11"),"⚠ onglet introuvable"))</f>
        <v/>
      </c>
      <c r="Q20" s="17">
        <f>IF($A20="","",IFERROR(INDIRECT("'"&amp;$A20&amp;"'!$K$12"),"⚠ onglet introuvable"))</f>
        <v/>
      </c>
      <c r="R20" s="14">
        <f>IF($A20="","",IF(B20="⚠ onglet introuvable","⚠ onglet introuvable",IF(IFERROR(INDIRECT("'"&amp;$A20&amp;"'!$C$24"),"⚠ onglet introuvable")&lt;&gt;"OK",IFERROR(INDIRECT("'"&amp;$A20&amp;"'!$C$24"),"⚠ onglet introuvable"),IF(B20&lt;&gt;$A20,"ID bail ≠ nom d'onglet","OK"))))</f>
        <v/>
      </c>
    </row>
    <row r="21">
      <c r="A21" s="13" t="n"/>
      <c r="B21" s="14">
        <f>IF($A21="","",IFERROR(INDIRECT("'"&amp;$A21&amp;"'!$C$3"),"⚠ onglet introuvable"))</f>
        <v/>
      </c>
      <c r="C21" s="14">
        <f>IF($A21="","",IFERROR(INDIRECT("'"&amp;$A21&amp;"'!$C$4"),"⚠ onglet introuvable"))</f>
        <v/>
      </c>
      <c r="D21" s="14">
        <f>IF($A21="","",IFERROR(INDIRECT("'"&amp;$A21&amp;"'!$C$5"),"⚠ onglet introuvable"))</f>
        <v/>
      </c>
      <c r="E21" s="14">
        <f>IF($A21="","",IFERROR(INDIRECT("'"&amp;$A21&amp;"'!$C$15"),"⚠ onglet introuvable"))</f>
        <v/>
      </c>
      <c r="F21" s="15">
        <f>IF($A21="","",IFERROR(INDIRECT("'"&amp;$A21&amp;"'!$C$8"),"⚠ onglet introuvable"))</f>
        <v/>
      </c>
      <c r="G21" s="15">
        <f>IF($A21="","",IFERROR(INDIRECT("'"&amp;$A21&amp;"'!$C$10"),"⚠ onglet introuvable"))</f>
        <v/>
      </c>
      <c r="H21" s="16">
        <f>IF($A21="","",IFERROR(INDIRECT("'"&amp;$A21&amp;"'!$C$11"),"⚠ onglet introuvable"))</f>
        <v/>
      </c>
      <c r="I21" s="16">
        <f>IF($A21="","",IFERROR(INDIRECT("'"&amp;$A21&amp;"'!$K$3"),"⚠ onglet introuvable"))</f>
        <v/>
      </c>
      <c r="J21" s="16">
        <f>IF($A21="","",IFERROR(INDIRECT("'"&amp;$A21&amp;"'!$K$4"),"⚠ onglet introuvable"))</f>
        <v/>
      </c>
      <c r="K21" s="15">
        <f>IF($A21="","",IFERROR(INDIRECT("'"&amp;$A21&amp;"'!$K$6"),"⚠ onglet introuvable"))</f>
        <v/>
      </c>
      <c r="L21" s="14">
        <f>IF($A21="","",IFERROR(INDIRECT("'"&amp;$A21&amp;"'!$K$7"),"⚠ onglet introuvable"))</f>
        <v/>
      </c>
      <c r="M21" s="14">
        <f>IF($A21="","",IFERROR(INDIRECT("'"&amp;$A21&amp;"'!$K$8"),"⚠ onglet introuvable"))</f>
        <v/>
      </c>
      <c r="N21" s="14">
        <f>IF($A21="","",IFERROR(INDIRECT("'"&amp;$A21&amp;"'!$K$9"),"⚠ onglet introuvable"))</f>
        <v/>
      </c>
      <c r="O21" s="14">
        <f>IF($A21="","",IFERROR(INDIRECT("'"&amp;$A21&amp;"'!$K$10"),"⚠ onglet introuvable"))</f>
        <v/>
      </c>
      <c r="P21" s="14">
        <f>IF($A21="","",IFERROR(INDIRECT("'"&amp;$A21&amp;"'!$K$11"),"⚠ onglet introuvable"))</f>
        <v/>
      </c>
      <c r="Q21" s="17">
        <f>IF($A21="","",IFERROR(INDIRECT("'"&amp;$A21&amp;"'!$K$12"),"⚠ onglet introuvable"))</f>
        <v/>
      </c>
      <c r="R21" s="14">
        <f>IF($A21="","",IF(B21="⚠ onglet introuvable","⚠ onglet introuvable",IF(IFERROR(INDIRECT("'"&amp;$A21&amp;"'!$C$24"),"⚠ onglet introuvable")&lt;&gt;"OK",IFERROR(INDIRECT("'"&amp;$A21&amp;"'!$C$24"),"⚠ onglet introuvable"),IF(B21&lt;&gt;$A21,"ID bail ≠ nom d'onglet","OK"))))</f>
        <v/>
      </c>
    </row>
    <row r="22">
      <c r="A22" s="13" t="n"/>
      <c r="B22" s="14">
        <f>IF($A22="","",IFERROR(INDIRECT("'"&amp;$A22&amp;"'!$C$3"),"⚠ onglet introuvable"))</f>
        <v/>
      </c>
      <c r="C22" s="14">
        <f>IF($A22="","",IFERROR(INDIRECT("'"&amp;$A22&amp;"'!$C$4"),"⚠ onglet introuvable"))</f>
        <v/>
      </c>
      <c r="D22" s="14">
        <f>IF($A22="","",IFERROR(INDIRECT("'"&amp;$A22&amp;"'!$C$5"),"⚠ onglet introuvable"))</f>
        <v/>
      </c>
      <c r="E22" s="14">
        <f>IF($A22="","",IFERROR(INDIRECT("'"&amp;$A22&amp;"'!$C$15"),"⚠ onglet introuvable"))</f>
        <v/>
      </c>
      <c r="F22" s="15">
        <f>IF($A22="","",IFERROR(INDIRECT("'"&amp;$A22&amp;"'!$C$8"),"⚠ onglet introuvable"))</f>
        <v/>
      </c>
      <c r="G22" s="15">
        <f>IF($A22="","",IFERROR(INDIRECT("'"&amp;$A22&amp;"'!$C$10"),"⚠ onglet introuvable"))</f>
        <v/>
      </c>
      <c r="H22" s="16">
        <f>IF($A22="","",IFERROR(INDIRECT("'"&amp;$A22&amp;"'!$C$11"),"⚠ onglet introuvable"))</f>
        <v/>
      </c>
      <c r="I22" s="16">
        <f>IF($A22="","",IFERROR(INDIRECT("'"&amp;$A22&amp;"'!$K$3"),"⚠ onglet introuvable"))</f>
        <v/>
      </c>
      <c r="J22" s="16">
        <f>IF($A22="","",IFERROR(INDIRECT("'"&amp;$A22&amp;"'!$K$4"),"⚠ onglet introuvable"))</f>
        <v/>
      </c>
      <c r="K22" s="15">
        <f>IF($A22="","",IFERROR(INDIRECT("'"&amp;$A22&amp;"'!$K$6"),"⚠ onglet introuvable"))</f>
        <v/>
      </c>
      <c r="L22" s="14">
        <f>IF($A22="","",IFERROR(INDIRECT("'"&amp;$A22&amp;"'!$K$7"),"⚠ onglet introuvable"))</f>
        <v/>
      </c>
      <c r="M22" s="14">
        <f>IF($A22="","",IFERROR(INDIRECT("'"&amp;$A22&amp;"'!$K$8"),"⚠ onglet introuvable"))</f>
        <v/>
      </c>
      <c r="N22" s="14">
        <f>IF($A22="","",IFERROR(INDIRECT("'"&amp;$A22&amp;"'!$K$9"),"⚠ onglet introuvable"))</f>
        <v/>
      </c>
      <c r="O22" s="14">
        <f>IF($A22="","",IFERROR(INDIRECT("'"&amp;$A22&amp;"'!$K$10"),"⚠ onglet introuvable"))</f>
        <v/>
      </c>
      <c r="P22" s="14">
        <f>IF($A22="","",IFERROR(INDIRECT("'"&amp;$A22&amp;"'!$K$11"),"⚠ onglet introuvable"))</f>
        <v/>
      </c>
      <c r="Q22" s="17">
        <f>IF($A22="","",IFERROR(INDIRECT("'"&amp;$A22&amp;"'!$K$12"),"⚠ onglet introuvable"))</f>
        <v/>
      </c>
      <c r="R22" s="14">
        <f>IF($A22="","",IF(B22="⚠ onglet introuvable","⚠ onglet introuvable",IF(IFERROR(INDIRECT("'"&amp;$A22&amp;"'!$C$24"),"⚠ onglet introuvable")&lt;&gt;"OK",IFERROR(INDIRECT("'"&amp;$A22&amp;"'!$C$24"),"⚠ onglet introuvable"),IF(B22&lt;&gt;$A22,"ID bail ≠ nom d'onglet","OK"))))</f>
        <v/>
      </c>
    </row>
    <row r="23">
      <c r="A23" s="13" t="n"/>
      <c r="B23" s="14">
        <f>IF($A23="","",IFERROR(INDIRECT("'"&amp;$A23&amp;"'!$C$3"),"⚠ onglet introuvable"))</f>
        <v/>
      </c>
      <c r="C23" s="14">
        <f>IF($A23="","",IFERROR(INDIRECT("'"&amp;$A23&amp;"'!$C$4"),"⚠ onglet introuvable"))</f>
        <v/>
      </c>
      <c r="D23" s="14">
        <f>IF($A23="","",IFERROR(INDIRECT("'"&amp;$A23&amp;"'!$C$5"),"⚠ onglet introuvable"))</f>
        <v/>
      </c>
      <c r="E23" s="14">
        <f>IF($A23="","",IFERROR(INDIRECT("'"&amp;$A23&amp;"'!$C$15"),"⚠ onglet introuvable"))</f>
        <v/>
      </c>
      <c r="F23" s="15">
        <f>IF($A23="","",IFERROR(INDIRECT("'"&amp;$A23&amp;"'!$C$8"),"⚠ onglet introuvable"))</f>
        <v/>
      </c>
      <c r="G23" s="15">
        <f>IF($A23="","",IFERROR(INDIRECT("'"&amp;$A23&amp;"'!$C$10"),"⚠ onglet introuvable"))</f>
        <v/>
      </c>
      <c r="H23" s="16">
        <f>IF($A23="","",IFERROR(INDIRECT("'"&amp;$A23&amp;"'!$C$11"),"⚠ onglet introuvable"))</f>
        <v/>
      </c>
      <c r="I23" s="16">
        <f>IF($A23="","",IFERROR(INDIRECT("'"&amp;$A23&amp;"'!$K$3"),"⚠ onglet introuvable"))</f>
        <v/>
      </c>
      <c r="J23" s="16">
        <f>IF($A23="","",IFERROR(INDIRECT("'"&amp;$A23&amp;"'!$K$4"),"⚠ onglet introuvable"))</f>
        <v/>
      </c>
      <c r="K23" s="15">
        <f>IF($A23="","",IFERROR(INDIRECT("'"&amp;$A23&amp;"'!$K$6"),"⚠ onglet introuvable"))</f>
        <v/>
      </c>
      <c r="L23" s="14">
        <f>IF($A23="","",IFERROR(INDIRECT("'"&amp;$A23&amp;"'!$K$7"),"⚠ onglet introuvable"))</f>
        <v/>
      </c>
      <c r="M23" s="14">
        <f>IF($A23="","",IFERROR(INDIRECT("'"&amp;$A23&amp;"'!$K$8"),"⚠ onglet introuvable"))</f>
        <v/>
      </c>
      <c r="N23" s="14">
        <f>IF($A23="","",IFERROR(INDIRECT("'"&amp;$A23&amp;"'!$K$9"),"⚠ onglet introuvable"))</f>
        <v/>
      </c>
      <c r="O23" s="14">
        <f>IF($A23="","",IFERROR(INDIRECT("'"&amp;$A23&amp;"'!$K$10"),"⚠ onglet introuvable"))</f>
        <v/>
      </c>
      <c r="P23" s="14">
        <f>IF($A23="","",IFERROR(INDIRECT("'"&amp;$A23&amp;"'!$K$11"),"⚠ onglet introuvable"))</f>
        <v/>
      </c>
      <c r="Q23" s="17">
        <f>IF($A23="","",IFERROR(INDIRECT("'"&amp;$A23&amp;"'!$K$12"),"⚠ onglet introuvable"))</f>
        <v/>
      </c>
      <c r="R23" s="14">
        <f>IF($A23="","",IF(B23="⚠ onglet introuvable","⚠ onglet introuvable",IF(IFERROR(INDIRECT("'"&amp;$A23&amp;"'!$C$24"),"⚠ onglet introuvable")&lt;&gt;"OK",IFERROR(INDIRECT("'"&amp;$A23&amp;"'!$C$24"),"⚠ onglet introuvable"),IF(B23&lt;&gt;$A23,"ID bail ≠ nom d'onglet","OK"))))</f>
        <v/>
      </c>
    </row>
    <row r="24">
      <c r="A24" s="13" t="n"/>
      <c r="B24" s="14">
        <f>IF($A24="","",IFERROR(INDIRECT("'"&amp;$A24&amp;"'!$C$3"),"⚠ onglet introuvable"))</f>
        <v/>
      </c>
      <c r="C24" s="14">
        <f>IF($A24="","",IFERROR(INDIRECT("'"&amp;$A24&amp;"'!$C$4"),"⚠ onglet introuvable"))</f>
        <v/>
      </c>
      <c r="D24" s="14">
        <f>IF($A24="","",IFERROR(INDIRECT("'"&amp;$A24&amp;"'!$C$5"),"⚠ onglet introuvable"))</f>
        <v/>
      </c>
      <c r="E24" s="14">
        <f>IF($A24="","",IFERROR(INDIRECT("'"&amp;$A24&amp;"'!$C$15"),"⚠ onglet introuvable"))</f>
        <v/>
      </c>
      <c r="F24" s="15">
        <f>IF($A24="","",IFERROR(INDIRECT("'"&amp;$A24&amp;"'!$C$8"),"⚠ onglet introuvable"))</f>
        <v/>
      </c>
      <c r="G24" s="15">
        <f>IF($A24="","",IFERROR(INDIRECT("'"&amp;$A24&amp;"'!$C$10"),"⚠ onglet introuvable"))</f>
        <v/>
      </c>
      <c r="H24" s="16">
        <f>IF($A24="","",IFERROR(INDIRECT("'"&amp;$A24&amp;"'!$C$11"),"⚠ onglet introuvable"))</f>
        <v/>
      </c>
      <c r="I24" s="16">
        <f>IF($A24="","",IFERROR(INDIRECT("'"&amp;$A24&amp;"'!$K$3"),"⚠ onglet introuvable"))</f>
        <v/>
      </c>
      <c r="J24" s="16">
        <f>IF($A24="","",IFERROR(INDIRECT("'"&amp;$A24&amp;"'!$K$4"),"⚠ onglet introuvable"))</f>
        <v/>
      </c>
      <c r="K24" s="15">
        <f>IF($A24="","",IFERROR(INDIRECT("'"&amp;$A24&amp;"'!$K$6"),"⚠ onglet introuvable"))</f>
        <v/>
      </c>
      <c r="L24" s="14">
        <f>IF($A24="","",IFERROR(INDIRECT("'"&amp;$A24&amp;"'!$K$7"),"⚠ onglet introuvable"))</f>
        <v/>
      </c>
      <c r="M24" s="14">
        <f>IF($A24="","",IFERROR(INDIRECT("'"&amp;$A24&amp;"'!$K$8"),"⚠ onglet introuvable"))</f>
        <v/>
      </c>
      <c r="N24" s="14">
        <f>IF($A24="","",IFERROR(INDIRECT("'"&amp;$A24&amp;"'!$K$9"),"⚠ onglet introuvable"))</f>
        <v/>
      </c>
      <c r="O24" s="14">
        <f>IF($A24="","",IFERROR(INDIRECT("'"&amp;$A24&amp;"'!$K$10"),"⚠ onglet introuvable"))</f>
        <v/>
      </c>
      <c r="P24" s="14">
        <f>IF($A24="","",IFERROR(INDIRECT("'"&amp;$A24&amp;"'!$K$11"),"⚠ onglet introuvable"))</f>
        <v/>
      </c>
      <c r="Q24" s="17">
        <f>IF($A24="","",IFERROR(INDIRECT("'"&amp;$A24&amp;"'!$K$12"),"⚠ onglet introuvable"))</f>
        <v/>
      </c>
      <c r="R24" s="14">
        <f>IF($A24="","",IF(B24="⚠ onglet introuvable","⚠ onglet introuvable",IF(IFERROR(INDIRECT("'"&amp;$A24&amp;"'!$C$24"),"⚠ onglet introuvable")&lt;&gt;"OK",IFERROR(INDIRECT("'"&amp;$A24&amp;"'!$C$24"),"⚠ onglet introuvable"),IF(B24&lt;&gt;$A24,"ID bail ≠ nom d'onglet","OK"))))</f>
        <v/>
      </c>
    </row>
    <row r="25">
      <c r="A25" s="13" t="n"/>
      <c r="B25" s="14">
        <f>IF($A25="","",IFERROR(INDIRECT("'"&amp;$A25&amp;"'!$C$3"),"⚠ onglet introuvable"))</f>
        <v/>
      </c>
      <c r="C25" s="14">
        <f>IF($A25="","",IFERROR(INDIRECT("'"&amp;$A25&amp;"'!$C$4"),"⚠ onglet introuvable"))</f>
        <v/>
      </c>
      <c r="D25" s="14">
        <f>IF($A25="","",IFERROR(INDIRECT("'"&amp;$A25&amp;"'!$C$5"),"⚠ onglet introuvable"))</f>
        <v/>
      </c>
      <c r="E25" s="14">
        <f>IF($A25="","",IFERROR(INDIRECT("'"&amp;$A25&amp;"'!$C$15"),"⚠ onglet introuvable"))</f>
        <v/>
      </c>
      <c r="F25" s="15">
        <f>IF($A25="","",IFERROR(INDIRECT("'"&amp;$A25&amp;"'!$C$8"),"⚠ onglet introuvable"))</f>
        <v/>
      </c>
      <c r="G25" s="15">
        <f>IF($A25="","",IFERROR(INDIRECT("'"&amp;$A25&amp;"'!$C$10"),"⚠ onglet introuvable"))</f>
        <v/>
      </c>
      <c r="H25" s="16">
        <f>IF($A25="","",IFERROR(INDIRECT("'"&amp;$A25&amp;"'!$C$11"),"⚠ onglet introuvable"))</f>
        <v/>
      </c>
      <c r="I25" s="16">
        <f>IF($A25="","",IFERROR(INDIRECT("'"&amp;$A25&amp;"'!$K$3"),"⚠ onglet introuvable"))</f>
        <v/>
      </c>
      <c r="J25" s="16">
        <f>IF($A25="","",IFERROR(INDIRECT("'"&amp;$A25&amp;"'!$K$4"),"⚠ onglet introuvable"))</f>
        <v/>
      </c>
      <c r="K25" s="15">
        <f>IF($A25="","",IFERROR(INDIRECT("'"&amp;$A25&amp;"'!$K$6"),"⚠ onglet introuvable"))</f>
        <v/>
      </c>
      <c r="L25" s="14">
        <f>IF($A25="","",IFERROR(INDIRECT("'"&amp;$A25&amp;"'!$K$7"),"⚠ onglet introuvable"))</f>
        <v/>
      </c>
      <c r="M25" s="14">
        <f>IF($A25="","",IFERROR(INDIRECT("'"&amp;$A25&amp;"'!$K$8"),"⚠ onglet introuvable"))</f>
        <v/>
      </c>
      <c r="N25" s="14">
        <f>IF($A25="","",IFERROR(INDIRECT("'"&amp;$A25&amp;"'!$K$9"),"⚠ onglet introuvable"))</f>
        <v/>
      </c>
      <c r="O25" s="14">
        <f>IF($A25="","",IFERROR(INDIRECT("'"&amp;$A25&amp;"'!$K$10"),"⚠ onglet introuvable"))</f>
        <v/>
      </c>
      <c r="P25" s="14">
        <f>IF($A25="","",IFERROR(INDIRECT("'"&amp;$A25&amp;"'!$K$11"),"⚠ onglet introuvable"))</f>
        <v/>
      </c>
      <c r="Q25" s="17">
        <f>IF($A25="","",IFERROR(INDIRECT("'"&amp;$A25&amp;"'!$K$12"),"⚠ onglet introuvable"))</f>
        <v/>
      </c>
      <c r="R25" s="14">
        <f>IF($A25="","",IF(B25="⚠ onglet introuvable","⚠ onglet introuvable",IF(IFERROR(INDIRECT("'"&amp;$A25&amp;"'!$C$24"),"⚠ onglet introuvable")&lt;&gt;"OK",IFERROR(INDIRECT("'"&amp;$A25&amp;"'!$C$24"),"⚠ onglet introuvable"),IF(B25&lt;&gt;$A25,"ID bail ≠ nom d'onglet","OK"))))</f>
        <v/>
      </c>
    </row>
    <row r="26">
      <c r="A26" s="13" t="n"/>
      <c r="B26" s="14">
        <f>IF($A26="","",IFERROR(INDIRECT("'"&amp;$A26&amp;"'!$C$3"),"⚠ onglet introuvable"))</f>
        <v/>
      </c>
      <c r="C26" s="14">
        <f>IF($A26="","",IFERROR(INDIRECT("'"&amp;$A26&amp;"'!$C$4"),"⚠ onglet introuvable"))</f>
        <v/>
      </c>
      <c r="D26" s="14">
        <f>IF($A26="","",IFERROR(INDIRECT("'"&amp;$A26&amp;"'!$C$5"),"⚠ onglet introuvable"))</f>
        <v/>
      </c>
      <c r="E26" s="14">
        <f>IF($A26="","",IFERROR(INDIRECT("'"&amp;$A26&amp;"'!$C$15"),"⚠ onglet introuvable"))</f>
        <v/>
      </c>
      <c r="F26" s="15">
        <f>IF($A26="","",IFERROR(INDIRECT("'"&amp;$A26&amp;"'!$C$8"),"⚠ onglet introuvable"))</f>
        <v/>
      </c>
      <c r="G26" s="15">
        <f>IF($A26="","",IFERROR(INDIRECT("'"&amp;$A26&amp;"'!$C$10"),"⚠ onglet introuvable"))</f>
        <v/>
      </c>
      <c r="H26" s="16">
        <f>IF($A26="","",IFERROR(INDIRECT("'"&amp;$A26&amp;"'!$C$11"),"⚠ onglet introuvable"))</f>
        <v/>
      </c>
      <c r="I26" s="16">
        <f>IF($A26="","",IFERROR(INDIRECT("'"&amp;$A26&amp;"'!$K$3"),"⚠ onglet introuvable"))</f>
        <v/>
      </c>
      <c r="J26" s="16">
        <f>IF($A26="","",IFERROR(INDIRECT("'"&amp;$A26&amp;"'!$K$4"),"⚠ onglet introuvable"))</f>
        <v/>
      </c>
      <c r="K26" s="15">
        <f>IF($A26="","",IFERROR(INDIRECT("'"&amp;$A26&amp;"'!$K$6"),"⚠ onglet introuvable"))</f>
        <v/>
      </c>
      <c r="L26" s="14">
        <f>IF($A26="","",IFERROR(INDIRECT("'"&amp;$A26&amp;"'!$K$7"),"⚠ onglet introuvable"))</f>
        <v/>
      </c>
      <c r="M26" s="14">
        <f>IF($A26="","",IFERROR(INDIRECT("'"&amp;$A26&amp;"'!$K$8"),"⚠ onglet introuvable"))</f>
        <v/>
      </c>
      <c r="N26" s="14">
        <f>IF($A26="","",IFERROR(INDIRECT("'"&amp;$A26&amp;"'!$K$9"),"⚠ onglet introuvable"))</f>
        <v/>
      </c>
      <c r="O26" s="14">
        <f>IF($A26="","",IFERROR(INDIRECT("'"&amp;$A26&amp;"'!$K$10"),"⚠ onglet introuvable"))</f>
        <v/>
      </c>
      <c r="P26" s="14">
        <f>IF($A26="","",IFERROR(INDIRECT("'"&amp;$A26&amp;"'!$K$11"),"⚠ onglet introuvable"))</f>
        <v/>
      </c>
      <c r="Q26" s="17">
        <f>IF($A26="","",IFERROR(INDIRECT("'"&amp;$A26&amp;"'!$K$12"),"⚠ onglet introuvable"))</f>
        <v/>
      </c>
      <c r="R26" s="14">
        <f>IF($A26="","",IF(B26="⚠ onglet introuvable","⚠ onglet introuvable",IF(IFERROR(INDIRECT("'"&amp;$A26&amp;"'!$C$24"),"⚠ onglet introuvable")&lt;&gt;"OK",IFERROR(INDIRECT("'"&amp;$A26&amp;"'!$C$24"),"⚠ onglet introuvable"),IF(B26&lt;&gt;$A26,"ID bail ≠ nom d'onglet","OK"))))</f>
        <v/>
      </c>
    </row>
    <row r="27">
      <c r="A27" s="13" t="n"/>
      <c r="B27" s="14">
        <f>IF($A27="","",IFERROR(INDIRECT("'"&amp;$A27&amp;"'!$C$3"),"⚠ onglet introuvable"))</f>
        <v/>
      </c>
      <c r="C27" s="14">
        <f>IF($A27="","",IFERROR(INDIRECT("'"&amp;$A27&amp;"'!$C$4"),"⚠ onglet introuvable"))</f>
        <v/>
      </c>
      <c r="D27" s="14">
        <f>IF($A27="","",IFERROR(INDIRECT("'"&amp;$A27&amp;"'!$C$5"),"⚠ onglet introuvable"))</f>
        <v/>
      </c>
      <c r="E27" s="14">
        <f>IF($A27="","",IFERROR(INDIRECT("'"&amp;$A27&amp;"'!$C$15"),"⚠ onglet introuvable"))</f>
        <v/>
      </c>
      <c r="F27" s="15">
        <f>IF($A27="","",IFERROR(INDIRECT("'"&amp;$A27&amp;"'!$C$8"),"⚠ onglet introuvable"))</f>
        <v/>
      </c>
      <c r="G27" s="15">
        <f>IF($A27="","",IFERROR(INDIRECT("'"&amp;$A27&amp;"'!$C$10"),"⚠ onglet introuvable"))</f>
        <v/>
      </c>
      <c r="H27" s="16">
        <f>IF($A27="","",IFERROR(INDIRECT("'"&amp;$A27&amp;"'!$C$11"),"⚠ onglet introuvable"))</f>
        <v/>
      </c>
      <c r="I27" s="16">
        <f>IF($A27="","",IFERROR(INDIRECT("'"&amp;$A27&amp;"'!$K$3"),"⚠ onglet introuvable"))</f>
        <v/>
      </c>
      <c r="J27" s="16">
        <f>IF($A27="","",IFERROR(INDIRECT("'"&amp;$A27&amp;"'!$K$4"),"⚠ onglet introuvable"))</f>
        <v/>
      </c>
      <c r="K27" s="15">
        <f>IF($A27="","",IFERROR(INDIRECT("'"&amp;$A27&amp;"'!$K$6"),"⚠ onglet introuvable"))</f>
        <v/>
      </c>
      <c r="L27" s="14">
        <f>IF($A27="","",IFERROR(INDIRECT("'"&amp;$A27&amp;"'!$K$7"),"⚠ onglet introuvable"))</f>
        <v/>
      </c>
      <c r="M27" s="14">
        <f>IF($A27="","",IFERROR(INDIRECT("'"&amp;$A27&amp;"'!$K$8"),"⚠ onglet introuvable"))</f>
        <v/>
      </c>
      <c r="N27" s="14">
        <f>IF($A27="","",IFERROR(INDIRECT("'"&amp;$A27&amp;"'!$K$9"),"⚠ onglet introuvable"))</f>
        <v/>
      </c>
      <c r="O27" s="14">
        <f>IF($A27="","",IFERROR(INDIRECT("'"&amp;$A27&amp;"'!$K$10"),"⚠ onglet introuvable"))</f>
        <v/>
      </c>
      <c r="P27" s="14">
        <f>IF($A27="","",IFERROR(INDIRECT("'"&amp;$A27&amp;"'!$K$11"),"⚠ onglet introuvable"))</f>
        <v/>
      </c>
      <c r="Q27" s="17">
        <f>IF($A27="","",IFERROR(INDIRECT("'"&amp;$A27&amp;"'!$K$12"),"⚠ onglet introuvable"))</f>
        <v/>
      </c>
      <c r="R27" s="14">
        <f>IF($A27="","",IF(B27="⚠ onglet introuvable","⚠ onglet introuvable",IF(IFERROR(INDIRECT("'"&amp;$A27&amp;"'!$C$24"),"⚠ onglet introuvable")&lt;&gt;"OK",IFERROR(INDIRECT("'"&amp;$A27&amp;"'!$C$24"),"⚠ onglet introuvable"),IF(B27&lt;&gt;$A27,"ID bail ≠ nom d'onglet","OK"))))</f>
        <v/>
      </c>
    </row>
    <row r="28">
      <c r="A28" s="13" t="n"/>
      <c r="B28" s="14">
        <f>IF($A28="","",IFERROR(INDIRECT("'"&amp;$A28&amp;"'!$C$3"),"⚠ onglet introuvable"))</f>
        <v/>
      </c>
      <c r="C28" s="14">
        <f>IF($A28="","",IFERROR(INDIRECT("'"&amp;$A28&amp;"'!$C$4"),"⚠ onglet introuvable"))</f>
        <v/>
      </c>
      <c r="D28" s="14">
        <f>IF($A28="","",IFERROR(INDIRECT("'"&amp;$A28&amp;"'!$C$5"),"⚠ onglet introuvable"))</f>
        <v/>
      </c>
      <c r="E28" s="14">
        <f>IF($A28="","",IFERROR(INDIRECT("'"&amp;$A28&amp;"'!$C$15"),"⚠ onglet introuvable"))</f>
        <v/>
      </c>
      <c r="F28" s="15">
        <f>IF($A28="","",IFERROR(INDIRECT("'"&amp;$A28&amp;"'!$C$8"),"⚠ onglet introuvable"))</f>
        <v/>
      </c>
      <c r="G28" s="15">
        <f>IF($A28="","",IFERROR(INDIRECT("'"&amp;$A28&amp;"'!$C$10"),"⚠ onglet introuvable"))</f>
        <v/>
      </c>
      <c r="H28" s="16">
        <f>IF($A28="","",IFERROR(INDIRECT("'"&amp;$A28&amp;"'!$C$11"),"⚠ onglet introuvable"))</f>
        <v/>
      </c>
      <c r="I28" s="16">
        <f>IF($A28="","",IFERROR(INDIRECT("'"&amp;$A28&amp;"'!$K$3"),"⚠ onglet introuvable"))</f>
        <v/>
      </c>
      <c r="J28" s="16">
        <f>IF($A28="","",IFERROR(INDIRECT("'"&amp;$A28&amp;"'!$K$4"),"⚠ onglet introuvable"))</f>
        <v/>
      </c>
      <c r="K28" s="15">
        <f>IF($A28="","",IFERROR(INDIRECT("'"&amp;$A28&amp;"'!$K$6"),"⚠ onglet introuvable"))</f>
        <v/>
      </c>
      <c r="L28" s="14">
        <f>IF($A28="","",IFERROR(INDIRECT("'"&amp;$A28&amp;"'!$K$7"),"⚠ onglet introuvable"))</f>
        <v/>
      </c>
      <c r="M28" s="14">
        <f>IF($A28="","",IFERROR(INDIRECT("'"&amp;$A28&amp;"'!$K$8"),"⚠ onglet introuvable"))</f>
        <v/>
      </c>
      <c r="N28" s="14">
        <f>IF($A28="","",IFERROR(INDIRECT("'"&amp;$A28&amp;"'!$K$9"),"⚠ onglet introuvable"))</f>
        <v/>
      </c>
      <c r="O28" s="14">
        <f>IF($A28="","",IFERROR(INDIRECT("'"&amp;$A28&amp;"'!$K$10"),"⚠ onglet introuvable"))</f>
        <v/>
      </c>
      <c r="P28" s="14">
        <f>IF($A28="","",IFERROR(INDIRECT("'"&amp;$A28&amp;"'!$K$11"),"⚠ onglet introuvable"))</f>
        <v/>
      </c>
      <c r="Q28" s="17">
        <f>IF($A28="","",IFERROR(INDIRECT("'"&amp;$A28&amp;"'!$K$12"),"⚠ onglet introuvable"))</f>
        <v/>
      </c>
      <c r="R28" s="14">
        <f>IF($A28="","",IF(B28="⚠ onglet introuvable","⚠ onglet introuvable",IF(IFERROR(INDIRECT("'"&amp;$A28&amp;"'!$C$24"),"⚠ onglet introuvable")&lt;&gt;"OK",IFERROR(INDIRECT("'"&amp;$A28&amp;"'!$C$24"),"⚠ onglet introuvable"),IF(B28&lt;&gt;$A28,"ID bail ≠ nom d'onglet","OK"))))</f>
        <v/>
      </c>
    </row>
    <row r="29">
      <c r="A29" s="13" t="n"/>
      <c r="B29" s="14">
        <f>IF($A29="","",IFERROR(INDIRECT("'"&amp;$A29&amp;"'!$C$3"),"⚠ onglet introuvable"))</f>
        <v/>
      </c>
      <c r="C29" s="14">
        <f>IF($A29="","",IFERROR(INDIRECT("'"&amp;$A29&amp;"'!$C$4"),"⚠ onglet introuvable"))</f>
        <v/>
      </c>
      <c r="D29" s="14">
        <f>IF($A29="","",IFERROR(INDIRECT("'"&amp;$A29&amp;"'!$C$5"),"⚠ onglet introuvable"))</f>
        <v/>
      </c>
      <c r="E29" s="14">
        <f>IF($A29="","",IFERROR(INDIRECT("'"&amp;$A29&amp;"'!$C$15"),"⚠ onglet introuvable"))</f>
        <v/>
      </c>
      <c r="F29" s="15">
        <f>IF($A29="","",IFERROR(INDIRECT("'"&amp;$A29&amp;"'!$C$8"),"⚠ onglet introuvable"))</f>
        <v/>
      </c>
      <c r="G29" s="15">
        <f>IF($A29="","",IFERROR(INDIRECT("'"&amp;$A29&amp;"'!$C$10"),"⚠ onglet introuvable"))</f>
        <v/>
      </c>
      <c r="H29" s="16">
        <f>IF($A29="","",IFERROR(INDIRECT("'"&amp;$A29&amp;"'!$C$11"),"⚠ onglet introuvable"))</f>
        <v/>
      </c>
      <c r="I29" s="16">
        <f>IF($A29="","",IFERROR(INDIRECT("'"&amp;$A29&amp;"'!$K$3"),"⚠ onglet introuvable"))</f>
        <v/>
      </c>
      <c r="J29" s="16">
        <f>IF($A29="","",IFERROR(INDIRECT("'"&amp;$A29&amp;"'!$K$4"),"⚠ onglet introuvable"))</f>
        <v/>
      </c>
      <c r="K29" s="15">
        <f>IF($A29="","",IFERROR(INDIRECT("'"&amp;$A29&amp;"'!$K$6"),"⚠ onglet introuvable"))</f>
        <v/>
      </c>
      <c r="L29" s="14">
        <f>IF($A29="","",IFERROR(INDIRECT("'"&amp;$A29&amp;"'!$K$7"),"⚠ onglet introuvable"))</f>
        <v/>
      </c>
      <c r="M29" s="14">
        <f>IF($A29="","",IFERROR(INDIRECT("'"&amp;$A29&amp;"'!$K$8"),"⚠ onglet introuvable"))</f>
        <v/>
      </c>
      <c r="N29" s="14">
        <f>IF($A29="","",IFERROR(INDIRECT("'"&amp;$A29&amp;"'!$K$9"),"⚠ onglet introuvable"))</f>
        <v/>
      </c>
      <c r="O29" s="14">
        <f>IF($A29="","",IFERROR(INDIRECT("'"&amp;$A29&amp;"'!$K$10"),"⚠ onglet introuvable"))</f>
        <v/>
      </c>
      <c r="P29" s="14">
        <f>IF($A29="","",IFERROR(INDIRECT("'"&amp;$A29&amp;"'!$K$11"),"⚠ onglet introuvable"))</f>
        <v/>
      </c>
      <c r="Q29" s="17">
        <f>IF($A29="","",IFERROR(INDIRECT("'"&amp;$A29&amp;"'!$K$12"),"⚠ onglet introuvable"))</f>
        <v/>
      </c>
      <c r="R29" s="14">
        <f>IF($A29="","",IF(B29="⚠ onglet introuvable","⚠ onglet introuvable",IF(IFERROR(INDIRECT("'"&amp;$A29&amp;"'!$C$24"),"⚠ onglet introuvable")&lt;&gt;"OK",IFERROR(INDIRECT("'"&amp;$A29&amp;"'!$C$24"),"⚠ onglet introuvable"),IF(B29&lt;&gt;$A29,"ID bail ≠ nom d'onglet","OK"))))</f>
        <v/>
      </c>
    </row>
    <row r="30">
      <c r="A30" s="13" t="n"/>
      <c r="B30" s="14">
        <f>IF($A30="","",IFERROR(INDIRECT("'"&amp;$A30&amp;"'!$C$3"),"⚠ onglet introuvable"))</f>
        <v/>
      </c>
      <c r="C30" s="14">
        <f>IF($A30="","",IFERROR(INDIRECT("'"&amp;$A30&amp;"'!$C$4"),"⚠ onglet introuvable"))</f>
        <v/>
      </c>
      <c r="D30" s="14">
        <f>IF($A30="","",IFERROR(INDIRECT("'"&amp;$A30&amp;"'!$C$5"),"⚠ onglet introuvable"))</f>
        <v/>
      </c>
      <c r="E30" s="14">
        <f>IF($A30="","",IFERROR(INDIRECT("'"&amp;$A30&amp;"'!$C$15"),"⚠ onglet introuvable"))</f>
        <v/>
      </c>
      <c r="F30" s="15">
        <f>IF($A30="","",IFERROR(INDIRECT("'"&amp;$A30&amp;"'!$C$8"),"⚠ onglet introuvable"))</f>
        <v/>
      </c>
      <c r="G30" s="15">
        <f>IF($A30="","",IFERROR(INDIRECT("'"&amp;$A30&amp;"'!$C$10"),"⚠ onglet introuvable"))</f>
        <v/>
      </c>
      <c r="H30" s="16">
        <f>IF($A30="","",IFERROR(INDIRECT("'"&amp;$A30&amp;"'!$C$11"),"⚠ onglet introuvable"))</f>
        <v/>
      </c>
      <c r="I30" s="16">
        <f>IF($A30="","",IFERROR(INDIRECT("'"&amp;$A30&amp;"'!$K$3"),"⚠ onglet introuvable"))</f>
        <v/>
      </c>
      <c r="J30" s="16">
        <f>IF($A30="","",IFERROR(INDIRECT("'"&amp;$A30&amp;"'!$K$4"),"⚠ onglet introuvable"))</f>
        <v/>
      </c>
      <c r="K30" s="15">
        <f>IF($A30="","",IFERROR(INDIRECT("'"&amp;$A30&amp;"'!$K$6"),"⚠ onglet introuvable"))</f>
        <v/>
      </c>
      <c r="L30" s="14">
        <f>IF($A30="","",IFERROR(INDIRECT("'"&amp;$A30&amp;"'!$K$7"),"⚠ onglet introuvable"))</f>
        <v/>
      </c>
      <c r="M30" s="14">
        <f>IF($A30="","",IFERROR(INDIRECT("'"&amp;$A30&amp;"'!$K$8"),"⚠ onglet introuvable"))</f>
        <v/>
      </c>
      <c r="N30" s="14">
        <f>IF($A30="","",IFERROR(INDIRECT("'"&amp;$A30&amp;"'!$K$9"),"⚠ onglet introuvable"))</f>
        <v/>
      </c>
      <c r="O30" s="14">
        <f>IF($A30="","",IFERROR(INDIRECT("'"&amp;$A30&amp;"'!$K$10"),"⚠ onglet introuvable"))</f>
        <v/>
      </c>
      <c r="P30" s="14">
        <f>IF($A30="","",IFERROR(INDIRECT("'"&amp;$A30&amp;"'!$K$11"),"⚠ onglet introuvable"))</f>
        <v/>
      </c>
      <c r="Q30" s="17">
        <f>IF($A30="","",IFERROR(INDIRECT("'"&amp;$A30&amp;"'!$K$12"),"⚠ onglet introuvable"))</f>
        <v/>
      </c>
      <c r="R30" s="14">
        <f>IF($A30="","",IF(B30="⚠ onglet introuvable","⚠ onglet introuvable",IF(IFERROR(INDIRECT("'"&amp;$A30&amp;"'!$C$24"),"⚠ onglet introuvable")&lt;&gt;"OK",IFERROR(INDIRECT("'"&amp;$A30&amp;"'!$C$24"),"⚠ onglet introuvable"),IF(B30&lt;&gt;$A30,"ID bail ≠ nom d'onglet","OK"))))</f>
        <v/>
      </c>
    </row>
    <row r="31">
      <c r="A31" s="13" t="n"/>
      <c r="B31" s="14">
        <f>IF($A31="","",IFERROR(INDIRECT("'"&amp;$A31&amp;"'!$C$3"),"⚠ onglet introuvable"))</f>
        <v/>
      </c>
      <c r="C31" s="14">
        <f>IF($A31="","",IFERROR(INDIRECT("'"&amp;$A31&amp;"'!$C$4"),"⚠ onglet introuvable"))</f>
        <v/>
      </c>
      <c r="D31" s="14">
        <f>IF($A31="","",IFERROR(INDIRECT("'"&amp;$A31&amp;"'!$C$5"),"⚠ onglet introuvable"))</f>
        <v/>
      </c>
      <c r="E31" s="14">
        <f>IF($A31="","",IFERROR(INDIRECT("'"&amp;$A31&amp;"'!$C$15"),"⚠ onglet introuvable"))</f>
        <v/>
      </c>
      <c r="F31" s="15">
        <f>IF($A31="","",IFERROR(INDIRECT("'"&amp;$A31&amp;"'!$C$8"),"⚠ onglet introuvable"))</f>
        <v/>
      </c>
      <c r="G31" s="15">
        <f>IF($A31="","",IFERROR(INDIRECT("'"&amp;$A31&amp;"'!$C$10"),"⚠ onglet introuvable"))</f>
        <v/>
      </c>
      <c r="H31" s="16">
        <f>IF($A31="","",IFERROR(INDIRECT("'"&amp;$A31&amp;"'!$C$11"),"⚠ onglet introuvable"))</f>
        <v/>
      </c>
      <c r="I31" s="16">
        <f>IF($A31="","",IFERROR(INDIRECT("'"&amp;$A31&amp;"'!$K$3"),"⚠ onglet introuvable"))</f>
        <v/>
      </c>
      <c r="J31" s="16">
        <f>IF($A31="","",IFERROR(INDIRECT("'"&amp;$A31&amp;"'!$K$4"),"⚠ onglet introuvable"))</f>
        <v/>
      </c>
      <c r="K31" s="15">
        <f>IF($A31="","",IFERROR(INDIRECT("'"&amp;$A31&amp;"'!$K$6"),"⚠ onglet introuvable"))</f>
        <v/>
      </c>
      <c r="L31" s="14">
        <f>IF($A31="","",IFERROR(INDIRECT("'"&amp;$A31&amp;"'!$K$7"),"⚠ onglet introuvable"))</f>
        <v/>
      </c>
      <c r="M31" s="14">
        <f>IF($A31="","",IFERROR(INDIRECT("'"&amp;$A31&amp;"'!$K$8"),"⚠ onglet introuvable"))</f>
        <v/>
      </c>
      <c r="N31" s="14">
        <f>IF($A31="","",IFERROR(INDIRECT("'"&amp;$A31&amp;"'!$K$9"),"⚠ onglet introuvable"))</f>
        <v/>
      </c>
      <c r="O31" s="14">
        <f>IF($A31="","",IFERROR(INDIRECT("'"&amp;$A31&amp;"'!$K$10"),"⚠ onglet introuvable"))</f>
        <v/>
      </c>
      <c r="P31" s="14">
        <f>IF($A31="","",IFERROR(INDIRECT("'"&amp;$A31&amp;"'!$K$11"),"⚠ onglet introuvable"))</f>
        <v/>
      </c>
      <c r="Q31" s="17">
        <f>IF($A31="","",IFERROR(INDIRECT("'"&amp;$A31&amp;"'!$K$12"),"⚠ onglet introuvable"))</f>
        <v/>
      </c>
      <c r="R31" s="14">
        <f>IF($A31="","",IF(B31="⚠ onglet introuvable","⚠ onglet introuvable",IF(IFERROR(INDIRECT("'"&amp;$A31&amp;"'!$C$24"),"⚠ onglet introuvable")&lt;&gt;"OK",IFERROR(INDIRECT("'"&amp;$A31&amp;"'!$C$24"),"⚠ onglet introuvable"),IF(B31&lt;&gt;$A31,"ID bail ≠ nom d'onglet","OK"))))</f>
        <v/>
      </c>
    </row>
    <row r="32">
      <c r="A32" s="13" t="n"/>
      <c r="B32" s="14">
        <f>IF($A32="","",IFERROR(INDIRECT("'"&amp;$A32&amp;"'!$C$3"),"⚠ onglet introuvable"))</f>
        <v/>
      </c>
      <c r="C32" s="14">
        <f>IF($A32="","",IFERROR(INDIRECT("'"&amp;$A32&amp;"'!$C$4"),"⚠ onglet introuvable"))</f>
        <v/>
      </c>
      <c r="D32" s="14">
        <f>IF($A32="","",IFERROR(INDIRECT("'"&amp;$A32&amp;"'!$C$5"),"⚠ onglet introuvable"))</f>
        <v/>
      </c>
      <c r="E32" s="14">
        <f>IF($A32="","",IFERROR(INDIRECT("'"&amp;$A32&amp;"'!$C$15"),"⚠ onglet introuvable"))</f>
        <v/>
      </c>
      <c r="F32" s="15">
        <f>IF($A32="","",IFERROR(INDIRECT("'"&amp;$A32&amp;"'!$C$8"),"⚠ onglet introuvable"))</f>
        <v/>
      </c>
      <c r="G32" s="15">
        <f>IF($A32="","",IFERROR(INDIRECT("'"&amp;$A32&amp;"'!$C$10"),"⚠ onglet introuvable"))</f>
        <v/>
      </c>
      <c r="H32" s="16">
        <f>IF($A32="","",IFERROR(INDIRECT("'"&amp;$A32&amp;"'!$C$11"),"⚠ onglet introuvable"))</f>
        <v/>
      </c>
      <c r="I32" s="16">
        <f>IF($A32="","",IFERROR(INDIRECT("'"&amp;$A32&amp;"'!$K$3"),"⚠ onglet introuvable"))</f>
        <v/>
      </c>
      <c r="J32" s="16">
        <f>IF($A32="","",IFERROR(INDIRECT("'"&amp;$A32&amp;"'!$K$4"),"⚠ onglet introuvable"))</f>
        <v/>
      </c>
      <c r="K32" s="15">
        <f>IF($A32="","",IFERROR(INDIRECT("'"&amp;$A32&amp;"'!$K$6"),"⚠ onglet introuvable"))</f>
        <v/>
      </c>
      <c r="L32" s="14">
        <f>IF($A32="","",IFERROR(INDIRECT("'"&amp;$A32&amp;"'!$K$7"),"⚠ onglet introuvable"))</f>
        <v/>
      </c>
      <c r="M32" s="14">
        <f>IF($A32="","",IFERROR(INDIRECT("'"&amp;$A32&amp;"'!$K$8"),"⚠ onglet introuvable"))</f>
        <v/>
      </c>
      <c r="N32" s="14">
        <f>IF($A32="","",IFERROR(INDIRECT("'"&amp;$A32&amp;"'!$K$9"),"⚠ onglet introuvable"))</f>
        <v/>
      </c>
      <c r="O32" s="14">
        <f>IF($A32="","",IFERROR(INDIRECT("'"&amp;$A32&amp;"'!$K$10"),"⚠ onglet introuvable"))</f>
        <v/>
      </c>
      <c r="P32" s="14">
        <f>IF($A32="","",IFERROR(INDIRECT("'"&amp;$A32&amp;"'!$K$11"),"⚠ onglet introuvable"))</f>
        <v/>
      </c>
      <c r="Q32" s="17">
        <f>IF($A32="","",IFERROR(INDIRECT("'"&amp;$A32&amp;"'!$K$12"),"⚠ onglet introuvable"))</f>
        <v/>
      </c>
      <c r="R32" s="14">
        <f>IF($A32="","",IF(B32="⚠ onglet introuvable","⚠ onglet introuvable",IF(IFERROR(INDIRECT("'"&amp;$A32&amp;"'!$C$24"),"⚠ onglet introuvable")&lt;&gt;"OK",IFERROR(INDIRECT("'"&amp;$A32&amp;"'!$C$24"),"⚠ onglet introuvable"),IF(B32&lt;&gt;$A32,"ID bail ≠ nom d'onglet","OK"))))</f>
        <v/>
      </c>
    </row>
    <row r="33">
      <c r="A33" s="13" t="n"/>
      <c r="B33" s="14">
        <f>IF($A33="","",IFERROR(INDIRECT("'"&amp;$A33&amp;"'!$C$3"),"⚠ onglet introuvable"))</f>
        <v/>
      </c>
      <c r="C33" s="14">
        <f>IF($A33="","",IFERROR(INDIRECT("'"&amp;$A33&amp;"'!$C$4"),"⚠ onglet introuvable"))</f>
        <v/>
      </c>
      <c r="D33" s="14">
        <f>IF($A33="","",IFERROR(INDIRECT("'"&amp;$A33&amp;"'!$C$5"),"⚠ onglet introuvable"))</f>
        <v/>
      </c>
      <c r="E33" s="14">
        <f>IF($A33="","",IFERROR(INDIRECT("'"&amp;$A33&amp;"'!$C$15"),"⚠ onglet introuvable"))</f>
        <v/>
      </c>
      <c r="F33" s="15">
        <f>IF($A33="","",IFERROR(INDIRECT("'"&amp;$A33&amp;"'!$C$8"),"⚠ onglet introuvable"))</f>
        <v/>
      </c>
      <c r="G33" s="15">
        <f>IF($A33="","",IFERROR(INDIRECT("'"&amp;$A33&amp;"'!$C$10"),"⚠ onglet introuvable"))</f>
        <v/>
      </c>
      <c r="H33" s="16">
        <f>IF($A33="","",IFERROR(INDIRECT("'"&amp;$A33&amp;"'!$C$11"),"⚠ onglet introuvable"))</f>
        <v/>
      </c>
      <c r="I33" s="16">
        <f>IF($A33="","",IFERROR(INDIRECT("'"&amp;$A33&amp;"'!$K$3"),"⚠ onglet introuvable"))</f>
        <v/>
      </c>
      <c r="J33" s="16">
        <f>IF($A33="","",IFERROR(INDIRECT("'"&amp;$A33&amp;"'!$K$4"),"⚠ onglet introuvable"))</f>
        <v/>
      </c>
      <c r="K33" s="15">
        <f>IF($A33="","",IFERROR(INDIRECT("'"&amp;$A33&amp;"'!$K$6"),"⚠ onglet introuvable"))</f>
        <v/>
      </c>
      <c r="L33" s="14">
        <f>IF($A33="","",IFERROR(INDIRECT("'"&amp;$A33&amp;"'!$K$7"),"⚠ onglet introuvable"))</f>
        <v/>
      </c>
      <c r="M33" s="14">
        <f>IF($A33="","",IFERROR(INDIRECT("'"&amp;$A33&amp;"'!$K$8"),"⚠ onglet introuvable"))</f>
        <v/>
      </c>
      <c r="N33" s="14">
        <f>IF($A33="","",IFERROR(INDIRECT("'"&amp;$A33&amp;"'!$K$9"),"⚠ onglet introuvable"))</f>
        <v/>
      </c>
      <c r="O33" s="14">
        <f>IF($A33="","",IFERROR(INDIRECT("'"&amp;$A33&amp;"'!$K$10"),"⚠ onglet introuvable"))</f>
        <v/>
      </c>
      <c r="P33" s="14">
        <f>IF($A33="","",IFERROR(INDIRECT("'"&amp;$A33&amp;"'!$K$11"),"⚠ onglet introuvable"))</f>
        <v/>
      </c>
      <c r="Q33" s="17">
        <f>IF($A33="","",IFERROR(INDIRECT("'"&amp;$A33&amp;"'!$K$12"),"⚠ onglet introuvable"))</f>
        <v/>
      </c>
      <c r="R33" s="14">
        <f>IF($A33="","",IF(B33="⚠ onglet introuvable","⚠ onglet introuvable",IF(IFERROR(INDIRECT("'"&amp;$A33&amp;"'!$C$24"),"⚠ onglet introuvable")&lt;&gt;"OK",IFERROR(INDIRECT("'"&amp;$A33&amp;"'!$C$24"),"⚠ onglet introuvable"),IF(B33&lt;&gt;$A33,"ID bail ≠ nom d'onglet","OK"))))</f>
        <v/>
      </c>
    </row>
    <row r="34">
      <c r="A34" s="13" t="n"/>
      <c r="B34" s="14">
        <f>IF($A34="","",IFERROR(INDIRECT("'"&amp;$A34&amp;"'!$C$3"),"⚠ onglet introuvable"))</f>
        <v/>
      </c>
      <c r="C34" s="14">
        <f>IF($A34="","",IFERROR(INDIRECT("'"&amp;$A34&amp;"'!$C$4"),"⚠ onglet introuvable"))</f>
        <v/>
      </c>
      <c r="D34" s="14">
        <f>IF($A34="","",IFERROR(INDIRECT("'"&amp;$A34&amp;"'!$C$5"),"⚠ onglet introuvable"))</f>
        <v/>
      </c>
      <c r="E34" s="14">
        <f>IF($A34="","",IFERROR(INDIRECT("'"&amp;$A34&amp;"'!$C$15"),"⚠ onglet introuvable"))</f>
        <v/>
      </c>
      <c r="F34" s="15">
        <f>IF($A34="","",IFERROR(INDIRECT("'"&amp;$A34&amp;"'!$C$8"),"⚠ onglet introuvable"))</f>
        <v/>
      </c>
      <c r="G34" s="15">
        <f>IF($A34="","",IFERROR(INDIRECT("'"&amp;$A34&amp;"'!$C$10"),"⚠ onglet introuvable"))</f>
        <v/>
      </c>
      <c r="H34" s="16">
        <f>IF($A34="","",IFERROR(INDIRECT("'"&amp;$A34&amp;"'!$C$11"),"⚠ onglet introuvable"))</f>
        <v/>
      </c>
      <c r="I34" s="16">
        <f>IF($A34="","",IFERROR(INDIRECT("'"&amp;$A34&amp;"'!$K$3"),"⚠ onglet introuvable"))</f>
        <v/>
      </c>
      <c r="J34" s="16">
        <f>IF($A34="","",IFERROR(INDIRECT("'"&amp;$A34&amp;"'!$K$4"),"⚠ onglet introuvable"))</f>
        <v/>
      </c>
      <c r="K34" s="15">
        <f>IF($A34="","",IFERROR(INDIRECT("'"&amp;$A34&amp;"'!$K$6"),"⚠ onglet introuvable"))</f>
        <v/>
      </c>
      <c r="L34" s="14">
        <f>IF($A34="","",IFERROR(INDIRECT("'"&amp;$A34&amp;"'!$K$7"),"⚠ onglet introuvable"))</f>
        <v/>
      </c>
      <c r="M34" s="14">
        <f>IF($A34="","",IFERROR(INDIRECT("'"&amp;$A34&amp;"'!$K$8"),"⚠ onglet introuvable"))</f>
        <v/>
      </c>
      <c r="N34" s="14">
        <f>IF($A34="","",IFERROR(INDIRECT("'"&amp;$A34&amp;"'!$K$9"),"⚠ onglet introuvable"))</f>
        <v/>
      </c>
      <c r="O34" s="14">
        <f>IF($A34="","",IFERROR(INDIRECT("'"&amp;$A34&amp;"'!$K$10"),"⚠ onglet introuvable"))</f>
        <v/>
      </c>
      <c r="P34" s="14">
        <f>IF($A34="","",IFERROR(INDIRECT("'"&amp;$A34&amp;"'!$K$11"),"⚠ onglet introuvable"))</f>
        <v/>
      </c>
      <c r="Q34" s="17">
        <f>IF($A34="","",IFERROR(INDIRECT("'"&amp;$A34&amp;"'!$K$12"),"⚠ onglet introuvable"))</f>
        <v/>
      </c>
      <c r="R34" s="14">
        <f>IF($A34="","",IF(B34="⚠ onglet introuvable","⚠ onglet introuvable",IF(IFERROR(INDIRECT("'"&amp;$A34&amp;"'!$C$24"),"⚠ onglet introuvable")&lt;&gt;"OK",IFERROR(INDIRECT("'"&amp;$A34&amp;"'!$C$24"),"⚠ onglet introuvable"),IF(B34&lt;&gt;$A34,"ID bail ≠ nom d'onglet","OK"))))</f>
        <v/>
      </c>
    </row>
    <row r="35">
      <c r="A35" s="13" t="n"/>
      <c r="B35" s="14">
        <f>IF($A35="","",IFERROR(INDIRECT("'"&amp;$A35&amp;"'!$C$3"),"⚠ onglet introuvable"))</f>
        <v/>
      </c>
      <c r="C35" s="14">
        <f>IF($A35="","",IFERROR(INDIRECT("'"&amp;$A35&amp;"'!$C$4"),"⚠ onglet introuvable"))</f>
        <v/>
      </c>
      <c r="D35" s="14">
        <f>IF($A35="","",IFERROR(INDIRECT("'"&amp;$A35&amp;"'!$C$5"),"⚠ onglet introuvable"))</f>
        <v/>
      </c>
      <c r="E35" s="14">
        <f>IF($A35="","",IFERROR(INDIRECT("'"&amp;$A35&amp;"'!$C$15"),"⚠ onglet introuvable"))</f>
        <v/>
      </c>
      <c r="F35" s="15">
        <f>IF($A35="","",IFERROR(INDIRECT("'"&amp;$A35&amp;"'!$C$8"),"⚠ onglet introuvable"))</f>
        <v/>
      </c>
      <c r="G35" s="15">
        <f>IF($A35="","",IFERROR(INDIRECT("'"&amp;$A35&amp;"'!$C$10"),"⚠ onglet introuvable"))</f>
        <v/>
      </c>
      <c r="H35" s="16">
        <f>IF($A35="","",IFERROR(INDIRECT("'"&amp;$A35&amp;"'!$C$11"),"⚠ onglet introuvable"))</f>
        <v/>
      </c>
      <c r="I35" s="16">
        <f>IF($A35="","",IFERROR(INDIRECT("'"&amp;$A35&amp;"'!$K$3"),"⚠ onglet introuvable"))</f>
        <v/>
      </c>
      <c r="J35" s="16">
        <f>IF($A35="","",IFERROR(INDIRECT("'"&amp;$A35&amp;"'!$K$4"),"⚠ onglet introuvable"))</f>
        <v/>
      </c>
      <c r="K35" s="15">
        <f>IF($A35="","",IFERROR(INDIRECT("'"&amp;$A35&amp;"'!$K$6"),"⚠ onglet introuvable"))</f>
        <v/>
      </c>
      <c r="L35" s="14">
        <f>IF($A35="","",IFERROR(INDIRECT("'"&amp;$A35&amp;"'!$K$7"),"⚠ onglet introuvable"))</f>
        <v/>
      </c>
      <c r="M35" s="14">
        <f>IF($A35="","",IFERROR(INDIRECT("'"&amp;$A35&amp;"'!$K$8"),"⚠ onglet introuvable"))</f>
        <v/>
      </c>
      <c r="N35" s="14">
        <f>IF($A35="","",IFERROR(INDIRECT("'"&amp;$A35&amp;"'!$K$9"),"⚠ onglet introuvable"))</f>
        <v/>
      </c>
      <c r="O35" s="14">
        <f>IF($A35="","",IFERROR(INDIRECT("'"&amp;$A35&amp;"'!$K$10"),"⚠ onglet introuvable"))</f>
        <v/>
      </c>
      <c r="P35" s="14">
        <f>IF($A35="","",IFERROR(INDIRECT("'"&amp;$A35&amp;"'!$K$11"),"⚠ onglet introuvable"))</f>
        <v/>
      </c>
      <c r="Q35" s="17">
        <f>IF($A35="","",IFERROR(INDIRECT("'"&amp;$A35&amp;"'!$K$12"),"⚠ onglet introuvable"))</f>
        <v/>
      </c>
      <c r="R35" s="14">
        <f>IF($A35="","",IF(B35="⚠ onglet introuvable","⚠ onglet introuvable",IF(IFERROR(INDIRECT("'"&amp;$A35&amp;"'!$C$24"),"⚠ onglet introuvable")&lt;&gt;"OK",IFERROR(INDIRECT("'"&amp;$A35&amp;"'!$C$24"),"⚠ onglet introuvable"),IF(B35&lt;&gt;$A35,"ID bail ≠ nom d'onglet","OK"))))</f>
        <v/>
      </c>
    </row>
    <row r="36">
      <c r="A36" s="13" t="n"/>
      <c r="B36" s="14">
        <f>IF($A36="","",IFERROR(INDIRECT("'"&amp;$A36&amp;"'!$C$3"),"⚠ onglet introuvable"))</f>
        <v/>
      </c>
      <c r="C36" s="14">
        <f>IF($A36="","",IFERROR(INDIRECT("'"&amp;$A36&amp;"'!$C$4"),"⚠ onglet introuvable"))</f>
        <v/>
      </c>
      <c r="D36" s="14">
        <f>IF($A36="","",IFERROR(INDIRECT("'"&amp;$A36&amp;"'!$C$5"),"⚠ onglet introuvable"))</f>
        <v/>
      </c>
      <c r="E36" s="14">
        <f>IF($A36="","",IFERROR(INDIRECT("'"&amp;$A36&amp;"'!$C$15"),"⚠ onglet introuvable"))</f>
        <v/>
      </c>
      <c r="F36" s="15">
        <f>IF($A36="","",IFERROR(INDIRECT("'"&amp;$A36&amp;"'!$C$8"),"⚠ onglet introuvable"))</f>
        <v/>
      </c>
      <c r="G36" s="15">
        <f>IF($A36="","",IFERROR(INDIRECT("'"&amp;$A36&amp;"'!$C$10"),"⚠ onglet introuvable"))</f>
        <v/>
      </c>
      <c r="H36" s="16">
        <f>IF($A36="","",IFERROR(INDIRECT("'"&amp;$A36&amp;"'!$C$11"),"⚠ onglet introuvable"))</f>
        <v/>
      </c>
      <c r="I36" s="16">
        <f>IF($A36="","",IFERROR(INDIRECT("'"&amp;$A36&amp;"'!$K$3"),"⚠ onglet introuvable"))</f>
        <v/>
      </c>
      <c r="J36" s="16">
        <f>IF($A36="","",IFERROR(INDIRECT("'"&amp;$A36&amp;"'!$K$4"),"⚠ onglet introuvable"))</f>
        <v/>
      </c>
      <c r="K36" s="15">
        <f>IF($A36="","",IFERROR(INDIRECT("'"&amp;$A36&amp;"'!$K$6"),"⚠ onglet introuvable"))</f>
        <v/>
      </c>
      <c r="L36" s="14">
        <f>IF($A36="","",IFERROR(INDIRECT("'"&amp;$A36&amp;"'!$K$7"),"⚠ onglet introuvable"))</f>
        <v/>
      </c>
      <c r="M36" s="14">
        <f>IF($A36="","",IFERROR(INDIRECT("'"&amp;$A36&amp;"'!$K$8"),"⚠ onglet introuvable"))</f>
        <v/>
      </c>
      <c r="N36" s="14">
        <f>IF($A36="","",IFERROR(INDIRECT("'"&amp;$A36&amp;"'!$K$9"),"⚠ onglet introuvable"))</f>
        <v/>
      </c>
      <c r="O36" s="14">
        <f>IF($A36="","",IFERROR(INDIRECT("'"&amp;$A36&amp;"'!$K$10"),"⚠ onglet introuvable"))</f>
        <v/>
      </c>
      <c r="P36" s="14">
        <f>IF($A36="","",IFERROR(INDIRECT("'"&amp;$A36&amp;"'!$K$11"),"⚠ onglet introuvable"))</f>
        <v/>
      </c>
      <c r="Q36" s="17">
        <f>IF($A36="","",IFERROR(INDIRECT("'"&amp;$A36&amp;"'!$K$12"),"⚠ onglet introuvable"))</f>
        <v/>
      </c>
      <c r="R36" s="14">
        <f>IF($A36="","",IF(B36="⚠ onglet introuvable","⚠ onglet introuvable",IF(IFERROR(INDIRECT("'"&amp;$A36&amp;"'!$C$24"),"⚠ onglet introuvable")&lt;&gt;"OK",IFERROR(INDIRECT("'"&amp;$A36&amp;"'!$C$24"),"⚠ onglet introuvable"),IF(B36&lt;&gt;$A36,"ID bail ≠ nom d'onglet","OK"))))</f>
        <v/>
      </c>
    </row>
    <row r="37">
      <c r="A37" s="13" t="n"/>
      <c r="B37" s="14">
        <f>IF($A37="","",IFERROR(INDIRECT("'"&amp;$A37&amp;"'!$C$3"),"⚠ onglet introuvable"))</f>
        <v/>
      </c>
      <c r="C37" s="14">
        <f>IF($A37="","",IFERROR(INDIRECT("'"&amp;$A37&amp;"'!$C$4"),"⚠ onglet introuvable"))</f>
        <v/>
      </c>
      <c r="D37" s="14">
        <f>IF($A37="","",IFERROR(INDIRECT("'"&amp;$A37&amp;"'!$C$5"),"⚠ onglet introuvable"))</f>
        <v/>
      </c>
      <c r="E37" s="14">
        <f>IF($A37="","",IFERROR(INDIRECT("'"&amp;$A37&amp;"'!$C$15"),"⚠ onglet introuvable"))</f>
        <v/>
      </c>
      <c r="F37" s="15">
        <f>IF($A37="","",IFERROR(INDIRECT("'"&amp;$A37&amp;"'!$C$8"),"⚠ onglet introuvable"))</f>
        <v/>
      </c>
      <c r="G37" s="15">
        <f>IF($A37="","",IFERROR(INDIRECT("'"&amp;$A37&amp;"'!$C$10"),"⚠ onglet introuvable"))</f>
        <v/>
      </c>
      <c r="H37" s="16">
        <f>IF($A37="","",IFERROR(INDIRECT("'"&amp;$A37&amp;"'!$C$11"),"⚠ onglet introuvable"))</f>
        <v/>
      </c>
      <c r="I37" s="16">
        <f>IF($A37="","",IFERROR(INDIRECT("'"&amp;$A37&amp;"'!$K$3"),"⚠ onglet introuvable"))</f>
        <v/>
      </c>
      <c r="J37" s="16">
        <f>IF($A37="","",IFERROR(INDIRECT("'"&amp;$A37&amp;"'!$K$4"),"⚠ onglet introuvable"))</f>
        <v/>
      </c>
      <c r="K37" s="15">
        <f>IF($A37="","",IFERROR(INDIRECT("'"&amp;$A37&amp;"'!$K$6"),"⚠ onglet introuvable"))</f>
        <v/>
      </c>
      <c r="L37" s="14">
        <f>IF($A37="","",IFERROR(INDIRECT("'"&amp;$A37&amp;"'!$K$7"),"⚠ onglet introuvable"))</f>
        <v/>
      </c>
      <c r="M37" s="14">
        <f>IF($A37="","",IFERROR(INDIRECT("'"&amp;$A37&amp;"'!$K$8"),"⚠ onglet introuvable"))</f>
        <v/>
      </c>
      <c r="N37" s="14">
        <f>IF($A37="","",IFERROR(INDIRECT("'"&amp;$A37&amp;"'!$K$9"),"⚠ onglet introuvable"))</f>
        <v/>
      </c>
      <c r="O37" s="14">
        <f>IF($A37="","",IFERROR(INDIRECT("'"&amp;$A37&amp;"'!$K$10"),"⚠ onglet introuvable"))</f>
        <v/>
      </c>
      <c r="P37" s="14">
        <f>IF($A37="","",IFERROR(INDIRECT("'"&amp;$A37&amp;"'!$K$11"),"⚠ onglet introuvable"))</f>
        <v/>
      </c>
      <c r="Q37" s="17">
        <f>IF($A37="","",IFERROR(INDIRECT("'"&amp;$A37&amp;"'!$K$12"),"⚠ onglet introuvable"))</f>
        <v/>
      </c>
      <c r="R37" s="14">
        <f>IF($A37="","",IF(B37="⚠ onglet introuvable","⚠ onglet introuvable",IF(IFERROR(INDIRECT("'"&amp;$A37&amp;"'!$C$24"),"⚠ onglet introuvable")&lt;&gt;"OK",IFERROR(INDIRECT("'"&amp;$A37&amp;"'!$C$24"),"⚠ onglet introuvable"),IF(B37&lt;&gt;$A37,"ID bail ≠ nom d'onglet","OK"))))</f>
        <v/>
      </c>
    </row>
    <row r="38">
      <c r="A38" s="13" t="n"/>
      <c r="B38" s="14">
        <f>IF($A38="","",IFERROR(INDIRECT("'"&amp;$A38&amp;"'!$C$3"),"⚠ onglet introuvable"))</f>
        <v/>
      </c>
      <c r="C38" s="14">
        <f>IF($A38="","",IFERROR(INDIRECT("'"&amp;$A38&amp;"'!$C$4"),"⚠ onglet introuvable"))</f>
        <v/>
      </c>
      <c r="D38" s="14">
        <f>IF($A38="","",IFERROR(INDIRECT("'"&amp;$A38&amp;"'!$C$5"),"⚠ onglet introuvable"))</f>
        <v/>
      </c>
      <c r="E38" s="14">
        <f>IF($A38="","",IFERROR(INDIRECT("'"&amp;$A38&amp;"'!$C$15"),"⚠ onglet introuvable"))</f>
        <v/>
      </c>
      <c r="F38" s="15">
        <f>IF($A38="","",IFERROR(INDIRECT("'"&amp;$A38&amp;"'!$C$8"),"⚠ onglet introuvable"))</f>
        <v/>
      </c>
      <c r="G38" s="15">
        <f>IF($A38="","",IFERROR(INDIRECT("'"&amp;$A38&amp;"'!$C$10"),"⚠ onglet introuvable"))</f>
        <v/>
      </c>
      <c r="H38" s="16">
        <f>IF($A38="","",IFERROR(INDIRECT("'"&amp;$A38&amp;"'!$C$11"),"⚠ onglet introuvable"))</f>
        <v/>
      </c>
      <c r="I38" s="16">
        <f>IF($A38="","",IFERROR(INDIRECT("'"&amp;$A38&amp;"'!$K$3"),"⚠ onglet introuvable"))</f>
        <v/>
      </c>
      <c r="J38" s="16">
        <f>IF($A38="","",IFERROR(INDIRECT("'"&amp;$A38&amp;"'!$K$4"),"⚠ onglet introuvable"))</f>
        <v/>
      </c>
      <c r="K38" s="15">
        <f>IF($A38="","",IFERROR(INDIRECT("'"&amp;$A38&amp;"'!$K$6"),"⚠ onglet introuvable"))</f>
        <v/>
      </c>
      <c r="L38" s="14">
        <f>IF($A38="","",IFERROR(INDIRECT("'"&amp;$A38&amp;"'!$K$7"),"⚠ onglet introuvable"))</f>
        <v/>
      </c>
      <c r="M38" s="14">
        <f>IF($A38="","",IFERROR(INDIRECT("'"&amp;$A38&amp;"'!$K$8"),"⚠ onglet introuvable"))</f>
        <v/>
      </c>
      <c r="N38" s="14">
        <f>IF($A38="","",IFERROR(INDIRECT("'"&amp;$A38&amp;"'!$K$9"),"⚠ onglet introuvable"))</f>
        <v/>
      </c>
      <c r="O38" s="14">
        <f>IF($A38="","",IFERROR(INDIRECT("'"&amp;$A38&amp;"'!$K$10"),"⚠ onglet introuvable"))</f>
        <v/>
      </c>
      <c r="P38" s="14">
        <f>IF($A38="","",IFERROR(INDIRECT("'"&amp;$A38&amp;"'!$K$11"),"⚠ onglet introuvable"))</f>
        <v/>
      </c>
      <c r="Q38" s="17">
        <f>IF($A38="","",IFERROR(INDIRECT("'"&amp;$A38&amp;"'!$K$12"),"⚠ onglet introuvable"))</f>
        <v/>
      </c>
      <c r="R38" s="14">
        <f>IF($A38="","",IF(B38="⚠ onglet introuvable","⚠ onglet introuvable",IF(IFERROR(INDIRECT("'"&amp;$A38&amp;"'!$C$24"),"⚠ onglet introuvable")&lt;&gt;"OK",IFERROR(INDIRECT("'"&amp;$A38&amp;"'!$C$24"),"⚠ onglet introuvable"),IF(B38&lt;&gt;$A38,"ID bail ≠ nom d'onglet","OK"))))</f>
        <v/>
      </c>
    </row>
    <row r="39">
      <c r="A39" s="13" t="n"/>
      <c r="B39" s="14">
        <f>IF($A39="","",IFERROR(INDIRECT("'"&amp;$A39&amp;"'!$C$3"),"⚠ onglet introuvable"))</f>
        <v/>
      </c>
      <c r="C39" s="14">
        <f>IF($A39="","",IFERROR(INDIRECT("'"&amp;$A39&amp;"'!$C$4"),"⚠ onglet introuvable"))</f>
        <v/>
      </c>
      <c r="D39" s="14">
        <f>IF($A39="","",IFERROR(INDIRECT("'"&amp;$A39&amp;"'!$C$5"),"⚠ onglet introuvable"))</f>
        <v/>
      </c>
      <c r="E39" s="14">
        <f>IF($A39="","",IFERROR(INDIRECT("'"&amp;$A39&amp;"'!$C$15"),"⚠ onglet introuvable"))</f>
        <v/>
      </c>
      <c r="F39" s="15">
        <f>IF($A39="","",IFERROR(INDIRECT("'"&amp;$A39&amp;"'!$C$8"),"⚠ onglet introuvable"))</f>
        <v/>
      </c>
      <c r="G39" s="15">
        <f>IF($A39="","",IFERROR(INDIRECT("'"&amp;$A39&amp;"'!$C$10"),"⚠ onglet introuvable"))</f>
        <v/>
      </c>
      <c r="H39" s="16">
        <f>IF($A39="","",IFERROR(INDIRECT("'"&amp;$A39&amp;"'!$C$11"),"⚠ onglet introuvable"))</f>
        <v/>
      </c>
      <c r="I39" s="16">
        <f>IF($A39="","",IFERROR(INDIRECT("'"&amp;$A39&amp;"'!$K$3"),"⚠ onglet introuvable"))</f>
        <v/>
      </c>
      <c r="J39" s="16">
        <f>IF($A39="","",IFERROR(INDIRECT("'"&amp;$A39&amp;"'!$K$4"),"⚠ onglet introuvable"))</f>
        <v/>
      </c>
      <c r="K39" s="15">
        <f>IF($A39="","",IFERROR(INDIRECT("'"&amp;$A39&amp;"'!$K$6"),"⚠ onglet introuvable"))</f>
        <v/>
      </c>
      <c r="L39" s="14">
        <f>IF($A39="","",IFERROR(INDIRECT("'"&amp;$A39&amp;"'!$K$7"),"⚠ onglet introuvable"))</f>
        <v/>
      </c>
      <c r="M39" s="14">
        <f>IF($A39="","",IFERROR(INDIRECT("'"&amp;$A39&amp;"'!$K$8"),"⚠ onglet introuvable"))</f>
        <v/>
      </c>
      <c r="N39" s="14">
        <f>IF($A39="","",IFERROR(INDIRECT("'"&amp;$A39&amp;"'!$K$9"),"⚠ onglet introuvable"))</f>
        <v/>
      </c>
      <c r="O39" s="14">
        <f>IF($A39="","",IFERROR(INDIRECT("'"&amp;$A39&amp;"'!$K$10"),"⚠ onglet introuvable"))</f>
        <v/>
      </c>
      <c r="P39" s="14">
        <f>IF($A39="","",IFERROR(INDIRECT("'"&amp;$A39&amp;"'!$K$11"),"⚠ onglet introuvable"))</f>
        <v/>
      </c>
      <c r="Q39" s="17">
        <f>IF($A39="","",IFERROR(INDIRECT("'"&amp;$A39&amp;"'!$K$12"),"⚠ onglet introuvable"))</f>
        <v/>
      </c>
      <c r="R39" s="14">
        <f>IF($A39="","",IF(B39="⚠ onglet introuvable","⚠ onglet introuvable",IF(IFERROR(INDIRECT("'"&amp;$A39&amp;"'!$C$24"),"⚠ onglet introuvable")&lt;&gt;"OK",IFERROR(INDIRECT("'"&amp;$A39&amp;"'!$C$24"),"⚠ onglet introuvable"),IF(B39&lt;&gt;$A39,"ID bail ≠ nom d'onglet","OK"))))</f>
        <v/>
      </c>
    </row>
    <row r="40">
      <c r="A40" s="13" t="n"/>
      <c r="B40" s="14">
        <f>IF($A40="","",IFERROR(INDIRECT("'"&amp;$A40&amp;"'!$C$3"),"⚠ onglet introuvable"))</f>
        <v/>
      </c>
      <c r="C40" s="14">
        <f>IF($A40="","",IFERROR(INDIRECT("'"&amp;$A40&amp;"'!$C$4"),"⚠ onglet introuvable"))</f>
        <v/>
      </c>
      <c r="D40" s="14">
        <f>IF($A40="","",IFERROR(INDIRECT("'"&amp;$A40&amp;"'!$C$5"),"⚠ onglet introuvable"))</f>
        <v/>
      </c>
      <c r="E40" s="14">
        <f>IF($A40="","",IFERROR(INDIRECT("'"&amp;$A40&amp;"'!$C$15"),"⚠ onglet introuvable"))</f>
        <v/>
      </c>
      <c r="F40" s="15">
        <f>IF($A40="","",IFERROR(INDIRECT("'"&amp;$A40&amp;"'!$C$8"),"⚠ onglet introuvable"))</f>
        <v/>
      </c>
      <c r="G40" s="15">
        <f>IF($A40="","",IFERROR(INDIRECT("'"&amp;$A40&amp;"'!$C$10"),"⚠ onglet introuvable"))</f>
        <v/>
      </c>
      <c r="H40" s="16">
        <f>IF($A40="","",IFERROR(INDIRECT("'"&amp;$A40&amp;"'!$C$11"),"⚠ onglet introuvable"))</f>
        <v/>
      </c>
      <c r="I40" s="16">
        <f>IF($A40="","",IFERROR(INDIRECT("'"&amp;$A40&amp;"'!$K$3"),"⚠ onglet introuvable"))</f>
        <v/>
      </c>
      <c r="J40" s="16">
        <f>IF($A40="","",IFERROR(INDIRECT("'"&amp;$A40&amp;"'!$K$4"),"⚠ onglet introuvable"))</f>
        <v/>
      </c>
      <c r="K40" s="15">
        <f>IF($A40="","",IFERROR(INDIRECT("'"&amp;$A40&amp;"'!$K$6"),"⚠ onglet introuvable"))</f>
        <v/>
      </c>
      <c r="L40" s="14">
        <f>IF($A40="","",IFERROR(INDIRECT("'"&amp;$A40&amp;"'!$K$7"),"⚠ onglet introuvable"))</f>
        <v/>
      </c>
      <c r="M40" s="14">
        <f>IF($A40="","",IFERROR(INDIRECT("'"&amp;$A40&amp;"'!$K$8"),"⚠ onglet introuvable"))</f>
        <v/>
      </c>
      <c r="N40" s="14">
        <f>IF($A40="","",IFERROR(INDIRECT("'"&amp;$A40&amp;"'!$K$9"),"⚠ onglet introuvable"))</f>
        <v/>
      </c>
      <c r="O40" s="14">
        <f>IF($A40="","",IFERROR(INDIRECT("'"&amp;$A40&amp;"'!$K$10"),"⚠ onglet introuvable"))</f>
        <v/>
      </c>
      <c r="P40" s="14">
        <f>IF($A40="","",IFERROR(INDIRECT("'"&amp;$A40&amp;"'!$K$11"),"⚠ onglet introuvable"))</f>
        <v/>
      </c>
      <c r="Q40" s="17">
        <f>IF($A40="","",IFERROR(INDIRECT("'"&amp;$A40&amp;"'!$K$12"),"⚠ onglet introuvable"))</f>
        <v/>
      </c>
      <c r="R40" s="14">
        <f>IF($A40="","",IF(B40="⚠ onglet introuvable","⚠ onglet introuvable",IF(IFERROR(INDIRECT("'"&amp;$A40&amp;"'!$C$24"),"⚠ onglet introuvable")&lt;&gt;"OK",IFERROR(INDIRECT("'"&amp;$A40&amp;"'!$C$24"),"⚠ onglet introuvable"),IF(B40&lt;&gt;$A40,"ID bail ≠ nom d'onglet","OK"))))</f>
        <v/>
      </c>
    </row>
    <row r="41">
      <c r="A41" s="13" t="n"/>
      <c r="B41" s="14">
        <f>IF($A41="","",IFERROR(INDIRECT("'"&amp;$A41&amp;"'!$C$3"),"⚠ onglet introuvable"))</f>
        <v/>
      </c>
      <c r="C41" s="14">
        <f>IF($A41="","",IFERROR(INDIRECT("'"&amp;$A41&amp;"'!$C$4"),"⚠ onglet introuvable"))</f>
        <v/>
      </c>
      <c r="D41" s="14">
        <f>IF($A41="","",IFERROR(INDIRECT("'"&amp;$A41&amp;"'!$C$5"),"⚠ onglet introuvable"))</f>
        <v/>
      </c>
      <c r="E41" s="14">
        <f>IF($A41="","",IFERROR(INDIRECT("'"&amp;$A41&amp;"'!$C$15"),"⚠ onglet introuvable"))</f>
        <v/>
      </c>
      <c r="F41" s="15">
        <f>IF($A41="","",IFERROR(INDIRECT("'"&amp;$A41&amp;"'!$C$8"),"⚠ onglet introuvable"))</f>
        <v/>
      </c>
      <c r="G41" s="15">
        <f>IF($A41="","",IFERROR(INDIRECT("'"&amp;$A41&amp;"'!$C$10"),"⚠ onglet introuvable"))</f>
        <v/>
      </c>
      <c r="H41" s="16">
        <f>IF($A41="","",IFERROR(INDIRECT("'"&amp;$A41&amp;"'!$C$11"),"⚠ onglet introuvable"))</f>
        <v/>
      </c>
      <c r="I41" s="16">
        <f>IF($A41="","",IFERROR(INDIRECT("'"&amp;$A41&amp;"'!$K$3"),"⚠ onglet introuvable"))</f>
        <v/>
      </c>
      <c r="J41" s="16">
        <f>IF($A41="","",IFERROR(INDIRECT("'"&amp;$A41&amp;"'!$K$4"),"⚠ onglet introuvable"))</f>
        <v/>
      </c>
      <c r="K41" s="15">
        <f>IF($A41="","",IFERROR(INDIRECT("'"&amp;$A41&amp;"'!$K$6"),"⚠ onglet introuvable"))</f>
        <v/>
      </c>
      <c r="L41" s="14">
        <f>IF($A41="","",IFERROR(INDIRECT("'"&amp;$A41&amp;"'!$K$7"),"⚠ onglet introuvable"))</f>
        <v/>
      </c>
      <c r="M41" s="14">
        <f>IF($A41="","",IFERROR(INDIRECT("'"&amp;$A41&amp;"'!$K$8"),"⚠ onglet introuvable"))</f>
        <v/>
      </c>
      <c r="N41" s="14">
        <f>IF($A41="","",IFERROR(INDIRECT("'"&amp;$A41&amp;"'!$K$9"),"⚠ onglet introuvable"))</f>
        <v/>
      </c>
      <c r="O41" s="14">
        <f>IF($A41="","",IFERROR(INDIRECT("'"&amp;$A41&amp;"'!$K$10"),"⚠ onglet introuvable"))</f>
        <v/>
      </c>
      <c r="P41" s="14">
        <f>IF($A41="","",IFERROR(INDIRECT("'"&amp;$A41&amp;"'!$K$11"),"⚠ onglet introuvable"))</f>
        <v/>
      </c>
      <c r="Q41" s="17">
        <f>IF($A41="","",IFERROR(INDIRECT("'"&amp;$A41&amp;"'!$K$12"),"⚠ onglet introuvable"))</f>
        <v/>
      </c>
      <c r="R41" s="14">
        <f>IF($A41="","",IF(B41="⚠ onglet introuvable","⚠ onglet introuvable",IF(IFERROR(INDIRECT("'"&amp;$A41&amp;"'!$C$24"),"⚠ onglet introuvable")&lt;&gt;"OK",IFERROR(INDIRECT("'"&amp;$A41&amp;"'!$C$24"),"⚠ onglet introuvable"),IF(B41&lt;&gt;$A41,"ID bail ≠ nom d'onglet","OK"))))</f>
        <v/>
      </c>
    </row>
    <row r="43">
      <c r="A43" s="5" t="inlineStr">
        <is>
          <t>Total</t>
        </is>
      </c>
      <c r="H43" s="18">
        <f>SUM(H2:H41)</f>
        <v/>
      </c>
      <c r="I43" s="18">
        <f>SUM(I2:I41)</f>
        <v/>
      </c>
      <c r="J43" s="18">
        <f>SUM(J2:J41)</f>
        <v/>
      </c>
    </row>
  </sheetData>
  <autoFilter ref="A1:R41"/>
  <conditionalFormatting sqref="P2:P41">
    <cfRule type="expression" priority="1" dxfId="0">
      <formula>LEFT(P2,1)="⚠"</formula>
    </cfRule>
    <cfRule type="expression" priority="2" dxfId="1">
      <formula>LEFT(P2,8)="Révision"</formula>
    </cfRule>
  </conditionalFormatting>
  <conditionalFormatting sqref="R2:R41">
    <cfRule type="expression" priority="3" dxfId="2">
      <formula>AND(R2&lt;&gt;"",R2&lt;&gt;"OK")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4" customWidth="1" min="4" max="4"/>
    <col width="10" customWidth="1" min="5" max="5"/>
    <col width="10" customWidth="1" min="6" max="6"/>
    <col width="12" customWidth="1" min="7" max="7"/>
    <col width="4" customWidth="1" min="8" max="8"/>
    <col width="10" customWidth="1" min="9" max="9"/>
    <col width="10" customWidth="1" min="10" max="10"/>
    <col width="12" customWidth="1" min="11" max="11"/>
    <col width="4" customWidth="1" min="12" max="12"/>
    <col width="10" customWidth="1" min="13" max="13"/>
    <col width="10" customWidth="1" min="14" max="14"/>
    <col width="12" customWidth="1" min="15" max="15"/>
    <col width="4" customWidth="1" min="16" max="16"/>
  </cols>
  <sheetData>
    <row r="1" ht="44" customHeight="1">
      <c r="A1" s="19" t="inlineStr">
        <is>
          <t>ILC</t>
        </is>
      </c>
      <c r="B1" s="20" t="inlineStr">
        <is>
          <t>Indice des loyers commerciaux (ILC) – idbank 001532540</t>
        </is>
      </c>
      <c r="E1" s="19" t="inlineStr">
        <is>
          <t>ILAT</t>
        </is>
      </c>
      <c r="F1" s="20" t="inlineStr">
        <is>
          <t>Indice des loyers des activités tertiaires (ILAT) – idbank 001617112</t>
        </is>
      </c>
      <c r="I1" s="19" t="inlineStr">
        <is>
          <t>ICC</t>
        </is>
      </c>
      <c r="J1" s="20" t="inlineStr">
        <is>
          <t>Indice du coût de la construction des immeubles à usage d'habitation (ICC) – idbank 000008630</t>
        </is>
      </c>
      <c r="M1" s="19" t="inlineStr">
        <is>
          <t>IRL</t>
        </is>
      </c>
      <c r="N1" s="20" t="inlineStr">
        <is>
          <t>Indice de référence des loyers (IRL) – idbank 001515333</t>
        </is>
      </c>
    </row>
    <row r="2" ht="44" customHeight="1">
      <c r="A2" s="11" t="inlineStr">
        <is>
          <t>Coller ici les lignes de l'export insee.fr (Période / valeur / date JO), ou saisir. Doublons :</t>
        </is>
      </c>
      <c r="D2" s="5">
        <f>IF(SUMPRODUCT(($A$4:$A$203&lt;&gt;"")*(COUNTIF($A$4:$A$203,$A$4:$A$203)&gt;1))&gt;0,"⚠","OK")</f>
        <v/>
      </c>
      <c r="E2" s="11" t="inlineStr">
        <is>
          <t>Coller ici les lignes de l'export insee.fr (Période / valeur / date JO), ou saisir. Doublons :</t>
        </is>
      </c>
      <c r="H2" s="5">
        <f>IF(SUMPRODUCT(($E$4:$E$203&lt;&gt;"")*(COUNTIF($E$4:$E$203,$E$4:$E$203)&gt;1))&gt;0,"⚠","OK")</f>
        <v/>
      </c>
      <c r="I2" s="11" t="inlineStr">
        <is>
          <t>Coller ici les lignes de l'export insee.fr (Période / valeur / date JO), ou saisir. Doublons :</t>
        </is>
      </c>
      <c r="L2" s="5">
        <f>IF(SUMPRODUCT(($I$4:$I$203&lt;&gt;"")*(COUNTIF($I$4:$I$203,$I$4:$I$203)&gt;1))&gt;0,"⚠","OK")</f>
        <v/>
      </c>
      <c r="M2" s="11" t="inlineStr">
        <is>
          <t>Coller ici les lignes de l'export insee.fr (Période / valeur / date JO), ou saisir. Doublons :</t>
        </is>
      </c>
      <c r="P2" s="5">
        <f>IF(SUMPRODUCT(($M$4:$M$203&lt;&gt;"")*(COUNTIF($M$4:$M$203,$M$4:$M$203)&gt;1))&gt;0,"⚠","OK")</f>
        <v/>
      </c>
    </row>
    <row r="3">
      <c r="A3" s="21" t="inlineStr">
        <is>
          <t>Période</t>
        </is>
      </c>
      <c r="B3" s="21" t="inlineStr">
        <is>
          <t>Valeur</t>
        </is>
      </c>
      <c r="C3" s="21" t="inlineStr">
        <is>
          <t>Parution JO</t>
        </is>
      </c>
      <c r="E3" s="21" t="inlineStr">
        <is>
          <t>Période</t>
        </is>
      </c>
      <c r="F3" s="21" t="inlineStr">
        <is>
          <t>Valeur</t>
        </is>
      </c>
      <c r="G3" s="21" t="inlineStr">
        <is>
          <t>Parution JO</t>
        </is>
      </c>
      <c r="I3" s="21" t="inlineStr">
        <is>
          <t>Période</t>
        </is>
      </c>
      <c r="J3" s="21" t="inlineStr">
        <is>
          <t>Valeur</t>
        </is>
      </c>
      <c r="K3" s="21" t="inlineStr">
        <is>
          <t>Parution JO</t>
        </is>
      </c>
      <c r="M3" s="21" t="inlineStr">
        <is>
          <t>Période</t>
        </is>
      </c>
      <c r="N3" s="21" t="inlineStr">
        <is>
          <t>Valeur</t>
        </is>
      </c>
      <c r="O3" s="21" t="inlineStr">
        <is>
          <t>Parution JO</t>
        </is>
      </c>
    </row>
    <row r="4">
      <c r="A4" s="22" t="inlineStr">
        <is>
          <t>2026-T1</t>
        </is>
      </c>
      <c r="B4" s="23" t="n">
        <v>124.4</v>
      </c>
      <c r="C4" s="22" t="inlineStr">
        <is>
          <t>FICTIF_DEMO</t>
        </is>
      </c>
      <c r="E4" s="22" t="inlineStr">
        <is>
          <t>2026-T1</t>
        </is>
      </c>
      <c r="F4" s="23" t="n">
        <v>121.2</v>
      </c>
      <c r="G4" s="22" t="inlineStr">
        <is>
          <t>FICTIF_DEMO</t>
        </is>
      </c>
      <c r="I4" s="22" t="inlineStr">
        <is>
          <t>2026-T1</t>
        </is>
      </c>
      <c r="J4" s="24" t="n">
        <v>1892</v>
      </c>
      <c r="K4" s="22" t="inlineStr">
        <is>
          <t>FICTIF_DEMO</t>
        </is>
      </c>
      <c r="M4" s="22" t="inlineStr">
        <is>
          <t>2026-T1</t>
        </is>
      </c>
      <c r="N4" s="23" t="n">
        <v>137.6</v>
      </c>
      <c r="O4" s="22" t="inlineStr">
        <is>
          <t>FICTIF_DEMO</t>
        </is>
      </c>
    </row>
    <row r="5">
      <c r="A5" s="22" t="inlineStr">
        <is>
          <t>2025-T4</t>
        </is>
      </c>
      <c r="B5" s="23" t="n">
        <v>123.8</v>
      </c>
      <c r="C5" s="22" t="inlineStr">
        <is>
          <t>FICTIF_DEMO</t>
        </is>
      </c>
      <c r="E5" s="22" t="inlineStr">
        <is>
          <t>2025-T4</t>
        </is>
      </c>
      <c r="F5" s="23" t="n">
        <v>120.65</v>
      </c>
      <c r="G5" s="22" t="inlineStr">
        <is>
          <t>FICTIF_DEMO</t>
        </is>
      </c>
      <c r="I5" s="22" t="inlineStr">
        <is>
          <t>2025-T4</t>
        </is>
      </c>
      <c r="J5" s="24" t="n">
        <v>1884</v>
      </c>
      <c r="K5" s="22" t="inlineStr">
        <is>
          <t>FICTIF_DEMO</t>
        </is>
      </c>
      <c r="M5" s="22" t="inlineStr">
        <is>
          <t>2025-T4</t>
        </is>
      </c>
      <c r="N5" s="23" t="n">
        <v>137.2</v>
      </c>
      <c r="O5" s="22" t="inlineStr">
        <is>
          <t>FICTIF_DEMO</t>
        </is>
      </c>
    </row>
    <row r="6">
      <c r="A6" s="22" t="inlineStr">
        <is>
          <t>2025-T3</t>
        </is>
      </c>
      <c r="B6" s="23" t="n">
        <v>123.2</v>
      </c>
      <c r="C6" s="22" t="inlineStr">
        <is>
          <t>FICTIF_DEMO</t>
        </is>
      </c>
      <c r="E6" s="22" t="inlineStr">
        <is>
          <t>2025-T3</t>
        </is>
      </c>
      <c r="F6" s="23" t="n">
        <v>120.1</v>
      </c>
      <c r="G6" s="22" t="inlineStr">
        <is>
          <t>FICTIF_DEMO</t>
        </is>
      </c>
      <c r="I6" s="22" t="inlineStr">
        <is>
          <t>2025-T3</t>
        </is>
      </c>
      <c r="J6" s="24" t="n">
        <v>1876</v>
      </c>
      <c r="K6" s="22" t="inlineStr">
        <is>
          <t>FICTIF_DEMO</t>
        </is>
      </c>
      <c r="M6" s="22" t="inlineStr">
        <is>
          <t>2025-T3</t>
        </is>
      </c>
      <c r="N6" s="23" t="n">
        <v>136.8</v>
      </c>
      <c r="O6" s="22" t="inlineStr">
        <is>
          <t>FICTIF_DEMO</t>
        </is>
      </c>
    </row>
    <row r="7">
      <c r="A7" s="22" t="inlineStr">
        <is>
          <t>2025-T2</t>
        </is>
      </c>
      <c r="B7" s="23" t="n">
        <v>122.6</v>
      </c>
      <c r="C7" s="22" t="inlineStr">
        <is>
          <t>FICTIF_DEMO</t>
        </is>
      </c>
      <c r="E7" s="22" t="inlineStr">
        <is>
          <t>2025-T2</t>
        </is>
      </c>
      <c r="F7" s="23" t="n">
        <v>119.55</v>
      </c>
      <c r="G7" s="22" t="inlineStr">
        <is>
          <t>FICTIF_DEMO</t>
        </is>
      </c>
      <c r="I7" s="22" t="inlineStr">
        <is>
          <t>2025-T2</t>
        </is>
      </c>
      <c r="J7" s="24" t="n">
        <v>1868</v>
      </c>
      <c r="K7" s="22" t="inlineStr">
        <is>
          <t>FICTIF_DEMO</t>
        </is>
      </c>
      <c r="M7" s="22" t="inlineStr">
        <is>
          <t>2025-T2</t>
        </is>
      </c>
      <c r="N7" s="23" t="n">
        <v>136.4</v>
      </c>
      <c r="O7" s="22" t="inlineStr">
        <is>
          <t>FICTIF_DEMO</t>
        </is>
      </c>
    </row>
    <row r="8">
      <c r="A8" s="22" t="inlineStr">
        <is>
          <t>2025-T1</t>
        </is>
      </c>
      <c r="B8" s="23" t="n">
        <v>122</v>
      </c>
      <c r="C8" s="22" t="inlineStr">
        <is>
          <t>FICTIF_DEMO</t>
        </is>
      </c>
      <c r="E8" s="22" t="inlineStr">
        <is>
          <t>2025-T1</t>
        </is>
      </c>
      <c r="F8" s="23" t="n">
        <v>119</v>
      </c>
      <c r="G8" s="22" t="inlineStr">
        <is>
          <t>FICTIF_DEMO</t>
        </is>
      </c>
      <c r="I8" s="22" t="inlineStr">
        <is>
          <t>2025-T1</t>
        </is>
      </c>
      <c r="J8" s="24" t="n">
        <v>1860</v>
      </c>
      <c r="K8" s="22" t="inlineStr">
        <is>
          <t>FICTIF_DEMO</t>
        </is>
      </c>
      <c r="M8" s="22" t="inlineStr">
        <is>
          <t>2025-T1</t>
        </is>
      </c>
      <c r="N8" s="23" t="n">
        <v>136</v>
      </c>
      <c r="O8" s="22" t="inlineStr">
        <is>
          <t>FICTIF_DEMO</t>
        </is>
      </c>
    </row>
    <row r="9">
      <c r="A9" s="22" t="inlineStr">
        <is>
          <t>2024-T4</t>
        </is>
      </c>
      <c r="B9" s="23" t="n">
        <v>121.4</v>
      </c>
      <c r="C9" s="22" t="inlineStr">
        <is>
          <t>FICTIF_DEMO</t>
        </is>
      </c>
      <c r="E9" s="22" t="inlineStr">
        <is>
          <t>2024-T4</t>
        </is>
      </c>
      <c r="F9" s="23" t="n">
        <v>118.45</v>
      </c>
      <c r="G9" s="22" t="inlineStr">
        <is>
          <t>FICTIF_DEMO</t>
        </is>
      </c>
      <c r="I9" s="22" t="inlineStr">
        <is>
          <t>2024-T4</t>
        </is>
      </c>
      <c r="J9" s="24" t="n">
        <v>1852</v>
      </c>
      <c r="K9" s="22" t="inlineStr">
        <is>
          <t>FICTIF_DEMO</t>
        </is>
      </c>
      <c r="M9" s="22" t="inlineStr">
        <is>
          <t>2024-T4</t>
        </is>
      </c>
      <c r="N9" s="23" t="n">
        <v>135.6</v>
      </c>
      <c r="O9" s="22" t="inlineStr">
        <is>
          <t>FICTIF_DEMO</t>
        </is>
      </c>
    </row>
    <row r="10">
      <c r="A10" s="22" t="inlineStr">
        <is>
          <t>2024-T3</t>
        </is>
      </c>
      <c r="B10" s="23" t="n">
        <v>120.8</v>
      </c>
      <c r="C10" s="22" t="inlineStr">
        <is>
          <t>FICTIF_DEMO</t>
        </is>
      </c>
      <c r="E10" s="22" t="inlineStr">
        <is>
          <t>2024-T3</t>
        </is>
      </c>
      <c r="F10" s="23" t="n">
        <v>117.9</v>
      </c>
      <c r="G10" s="22" t="inlineStr">
        <is>
          <t>FICTIF_DEMO</t>
        </is>
      </c>
      <c r="I10" s="22" t="inlineStr">
        <is>
          <t>2024-T3</t>
        </is>
      </c>
      <c r="J10" s="24" t="n">
        <v>1844</v>
      </c>
      <c r="K10" s="22" t="inlineStr">
        <is>
          <t>FICTIF_DEMO</t>
        </is>
      </c>
      <c r="M10" s="22" t="inlineStr">
        <is>
          <t>2024-T3</t>
        </is>
      </c>
      <c r="N10" s="23" t="n">
        <v>135.2</v>
      </c>
      <c r="O10" s="22" t="inlineStr">
        <is>
          <t>FICTIF_DEMO</t>
        </is>
      </c>
    </row>
    <row r="11">
      <c r="A11" s="22" t="inlineStr">
        <is>
          <t>2024-T2</t>
        </is>
      </c>
      <c r="B11" s="23" t="n">
        <v>120.2</v>
      </c>
      <c r="C11" s="22" t="inlineStr">
        <is>
          <t>FICTIF_DEMO</t>
        </is>
      </c>
      <c r="E11" s="22" t="inlineStr">
        <is>
          <t>2024-T2</t>
        </is>
      </c>
      <c r="F11" s="23" t="n">
        <v>117.35</v>
      </c>
      <c r="G11" s="22" t="inlineStr">
        <is>
          <t>FICTIF_DEMO</t>
        </is>
      </c>
      <c r="I11" s="22" t="inlineStr">
        <is>
          <t>2024-T2</t>
        </is>
      </c>
      <c r="J11" s="24" t="n">
        <v>1836</v>
      </c>
      <c r="K11" s="22" t="inlineStr">
        <is>
          <t>FICTIF_DEMO</t>
        </is>
      </c>
      <c r="M11" s="22" t="inlineStr">
        <is>
          <t>2024-T2</t>
        </is>
      </c>
      <c r="N11" s="23" t="n">
        <v>134.8</v>
      </c>
      <c r="O11" s="22" t="inlineStr">
        <is>
          <t>FICTIF_DEMO</t>
        </is>
      </c>
    </row>
    <row r="12">
      <c r="A12" s="22" t="inlineStr">
        <is>
          <t>2024-T1</t>
        </is>
      </c>
      <c r="B12" s="23" t="n">
        <v>119.6</v>
      </c>
      <c r="C12" s="22" t="inlineStr">
        <is>
          <t>FICTIF_DEMO</t>
        </is>
      </c>
      <c r="E12" s="22" t="inlineStr">
        <is>
          <t>2024-T1</t>
        </is>
      </c>
      <c r="F12" s="23" t="n">
        <v>116.8</v>
      </c>
      <c r="G12" s="22" t="inlineStr">
        <is>
          <t>FICTIF_DEMO</t>
        </is>
      </c>
      <c r="I12" s="22" t="inlineStr">
        <is>
          <t>2024-T1</t>
        </is>
      </c>
      <c r="J12" s="24" t="n">
        <v>1828</v>
      </c>
      <c r="K12" s="22" t="inlineStr">
        <is>
          <t>FICTIF_DEMO</t>
        </is>
      </c>
      <c r="M12" s="22" t="inlineStr">
        <is>
          <t>2024-T1</t>
        </is>
      </c>
      <c r="N12" s="23" t="n">
        <v>134.4</v>
      </c>
      <c r="O12" s="22" t="inlineStr">
        <is>
          <t>FICTIF_DEMO</t>
        </is>
      </c>
    </row>
    <row r="13">
      <c r="A13" s="22" t="inlineStr">
        <is>
          <t>2023-T4</t>
        </is>
      </c>
      <c r="B13" s="23" t="n">
        <v>119</v>
      </c>
      <c r="C13" s="22" t="inlineStr">
        <is>
          <t>FICTIF_DEMO</t>
        </is>
      </c>
      <c r="E13" s="22" t="inlineStr">
        <is>
          <t>2023-T4</t>
        </is>
      </c>
      <c r="F13" s="23" t="n">
        <v>116.25</v>
      </c>
      <c r="G13" s="22" t="inlineStr">
        <is>
          <t>FICTIF_DEMO</t>
        </is>
      </c>
      <c r="I13" s="22" t="inlineStr">
        <is>
          <t>2023-T4</t>
        </is>
      </c>
      <c r="J13" s="24" t="n">
        <v>1820</v>
      </c>
      <c r="K13" s="22" t="inlineStr">
        <is>
          <t>FICTIF_DEMO</t>
        </is>
      </c>
      <c r="M13" s="22" t="inlineStr">
        <is>
          <t>2023-T4</t>
        </is>
      </c>
      <c r="N13" s="23" t="n">
        <v>134</v>
      </c>
      <c r="O13" s="22" t="inlineStr">
        <is>
          <t>FICTIF_DEMO</t>
        </is>
      </c>
    </row>
    <row r="14">
      <c r="A14" s="22" t="inlineStr">
        <is>
          <t>2023-T3</t>
        </is>
      </c>
      <c r="B14" s="23" t="n">
        <v>118.4</v>
      </c>
      <c r="C14" s="22" t="inlineStr">
        <is>
          <t>FICTIF_DEMO</t>
        </is>
      </c>
      <c r="E14" s="22" t="inlineStr">
        <is>
          <t>2023-T3</t>
        </is>
      </c>
      <c r="F14" s="23" t="n">
        <v>115.7</v>
      </c>
      <c r="G14" s="22" t="inlineStr">
        <is>
          <t>FICTIF_DEMO</t>
        </is>
      </c>
      <c r="I14" s="22" t="inlineStr">
        <is>
          <t>2023-T3</t>
        </is>
      </c>
      <c r="J14" s="24" t="n">
        <v>1812</v>
      </c>
      <c r="K14" s="22" t="inlineStr">
        <is>
          <t>FICTIF_DEMO</t>
        </is>
      </c>
      <c r="M14" s="22" t="inlineStr">
        <is>
          <t>2023-T3</t>
        </is>
      </c>
      <c r="N14" s="23" t="n">
        <v>133.6</v>
      </c>
      <c r="O14" s="22" t="inlineStr">
        <is>
          <t>FICTIF_DEMO</t>
        </is>
      </c>
    </row>
    <row r="15">
      <c r="A15" s="22" t="inlineStr">
        <is>
          <t>2023-T2</t>
        </is>
      </c>
      <c r="B15" s="23" t="n">
        <v>117.8</v>
      </c>
      <c r="C15" s="22" t="inlineStr">
        <is>
          <t>FICTIF_DEMO</t>
        </is>
      </c>
      <c r="E15" s="22" t="inlineStr">
        <is>
          <t>2023-T2</t>
        </is>
      </c>
      <c r="F15" s="23" t="n">
        <v>115.15</v>
      </c>
      <c r="G15" s="22" t="inlineStr">
        <is>
          <t>FICTIF_DEMO</t>
        </is>
      </c>
      <c r="I15" s="22" t="inlineStr">
        <is>
          <t>2023-T2</t>
        </is>
      </c>
      <c r="J15" s="24" t="n">
        <v>1804</v>
      </c>
      <c r="K15" s="22" t="inlineStr">
        <is>
          <t>FICTIF_DEMO</t>
        </is>
      </c>
      <c r="M15" s="22" t="inlineStr">
        <is>
          <t>2023-T2</t>
        </is>
      </c>
      <c r="N15" s="23" t="n">
        <v>133.2</v>
      </c>
      <c r="O15" s="22" t="inlineStr">
        <is>
          <t>FICTIF_DEMO</t>
        </is>
      </c>
    </row>
    <row r="16">
      <c r="A16" s="22" t="inlineStr">
        <is>
          <t>2023-T1</t>
        </is>
      </c>
      <c r="B16" s="23" t="n">
        <v>117.2</v>
      </c>
      <c r="C16" s="22" t="inlineStr">
        <is>
          <t>FICTIF_DEMO</t>
        </is>
      </c>
      <c r="E16" s="22" t="inlineStr">
        <is>
          <t>2023-T1</t>
        </is>
      </c>
      <c r="F16" s="23" t="n">
        <v>114.6</v>
      </c>
      <c r="G16" s="22" t="inlineStr">
        <is>
          <t>FICTIF_DEMO</t>
        </is>
      </c>
      <c r="I16" s="22" t="inlineStr">
        <is>
          <t>2023-T1</t>
        </is>
      </c>
      <c r="J16" s="24" t="n">
        <v>1796</v>
      </c>
      <c r="K16" s="22" t="inlineStr">
        <is>
          <t>FICTIF_DEMO</t>
        </is>
      </c>
      <c r="M16" s="22" t="inlineStr">
        <is>
          <t>2023-T1</t>
        </is>
      </c>
      <c r="N16" s="23" t="n">
        <v>132.8</v>
      </c>
      <c r="O16" s="22" t="inlineStr">
        <is>
          <t>FICTIF_DEMO</t>
        </is>
      </c>
    </row>
    <row r="17">
      <c r="A17" s="22" t="inlineStr">
        <is>
          <t>2022-T4</t>
        </is>
      </c>
      <c r="B17" s="23" t="n">
        <v>116.6</v>
      </c>
      <c r="C17" s="22" t="inlineStr">
        <is>
          <t>FICTIF_DEMO</t>
        </is>
      </c>
      <c r="E17" s="22" t="inlineStr">
        <is>
          <t>2022-T4</t>
        </is>
      </c>
      <c r="F17" s="23" t="n">
        <v>114.05</v>
      </c>
      <c r="G17" s="22" t="inlineStr">
        <is>
          <t>FICTIF_DEMO</t>
        </is>
      </c>
      <c r="I17" s="22" t="inlineStr">
        <is>
          <t>2022-T4</t>
        </is>
      </c>
      <c r="J17" s="24" t="n">
        <v>1788</v>
      </c>
      <c r="K17" s="22" t="inlineStr">
        <is>
          <t>FICTIF_DEMO</t>
        </is>
      </c>
      <c r="M17" s="22" t="inlineStr">
        <is>
          <t>2022-T4</t>
        </is>
      </c>
      <c r="N17" s="23" t="n">
        <v>132.4</v>
      </c>
      <c r="O17" s="22" t="inlineStr">
        <is>
          <t>FICTIF_DEMO</t>
        </is>
      </c>
    </row>
    <row r="18">
      <c r="A18" s="22" t="inlineStr">
        <is>
          <t>2022-T3</t>
        </is>
      </c>
      <c r="B18" s="23" t="n">
        <v>116</v>
      </c>
      <c r="C18" s="22" t="inlineStr">
        <is>
          <t>FICTIF_DEMO</t>
        </is>
      </c>
      <c r="E18" s="22" t="inlineStr">
        <is>
          <t>2022-T3</t>
        </is>
      </c>
      <c r="F18" s="23" t="n">
        <v>113.5</v>
      </c>
      <c r="G18" s="22" t="inlineStr">
        <is>
          <t>FICTIF_DEMO</t>
        </is>
      </c>
      <c r="I18" s="22" t="inlineStr">
        <is>
          <t>2022-T3</t>
        </is>
      </c>
      <c r="J18" s="24" t="n">
        <v>1780</v>
      </c>
      <c r="K18" s="22" t="inlineStr">
        <is>
          <t>FICTIF_DEMO</t>
        </is>
      </c>
      <c r="M18" s="22" t="inlineStr">
        <is>
          <t>2022-T3</t>
        </is>
      </c>
      <c r="N18" s="23" t="n">
        <v>132</v>
      </c>
      <c r="O18" s="22" t="inlineStr">
        <is>
          <t>FICTIF_DEMO</t>
        </is>
      </c>
    </row>
    <row r="19">
      <c r="A19" s="22" t="inlineStr">
        <is>
          <t>2022-T2</t>
        </is>
      </c>
      <c r="B19" s="23" t="n">
        <v>115.4</v>
      </c>
      <c r="C19" s="22" t="inlineStr">
        <is>
          <t>FICTIF_DEMO</t>
        </is>
      </c>
      <c r="E19" s="22" t="inlineStr">
        <is>
          <t>2022-T2</t>
        </is>
      </c>
      <c r="F19" s="23" t="n">
        <v>112.95</v>
      </c>
      <c r="G19" s="22" t="inlineStr">
        <is>
          <t>FICTIF_DEMO</t>
        </is>
      </c>
      <c r="I19" s="22" t="inlineStr">
        <is>
          <t>2022-T2</t>
        </is>
      </c>
      <c r="J19" s="24" t="n">
        <v>1772</v>
      </c>
      <c r="K19" s="22" t="inlineStr">
        <is>
          <t>FICTIF_DEMO</t>
        </is>
      </c>
      <c r="M19" s="22" t="inlineStr">
        <is>
          <t>2022-T2</t>
        </is>
      </c>
      <c r="N19" s="23" t="n">
        <v>131.6</v>
      </c>
      <c r="O19" s="22" t="inlineStr">
        <is>
          <t>FICTIF_DEMO</t>
        </is>
      </c>
    </row>
    <row r="20">
      <c r="A20" s="22" t="inlineStr">
        <is>
          <t>2022-T1</t>
        </is>
      </c>
      <c r="B20" s="23" t="n">
        <v>114.8</v>
      </c>
      <c r="C20" s="22" t="inlineStr">
        <is>
          <t>FICTIF_DEMO</t>
        </is>
      </c>
      <c r="E20" s="22" t="inlineStr">
        <is>
          <t>2022-T1</t>
        </is>
      </c>
      <c r="F20" s="23" t="n">
        <v>112.4</v>
      </c>
      <c r="G20" s="22" t="inlineStr">
        <is>
          <t>FICTIF_DEMO</t>
        </is>
      </c>
      <c r="I20" s="22" t="inlineStr">
        <is>
          <t>2022-T1</t>
        </is>
      </c>
      <c r="J20" s="24" t="n">
        <v>1764</v>
      </c>
      <c r="K20" s="22" t="inlineStr">
        <is>
          <t>FICTIF_DEMO</t>
        </is>
      </c>
      <c r="M20" s="22" t="inlineStr">
        <is>
          <t>2022-T1</t>
        </is>
      </c>
      <c r="N20" s="23" t="n">
        <v>131.2</v>
      </c>
      <c r="O20" s="22" t="inlineStr">
        <is>
          <t>FICTIF_DEMO</t>
        </is>
      </c>
    </row>
    <row r="21">
      <c r="A21" s="22" t="inlineStr">
        <is>
          <t>2021-T4</t>
        </is>
      </c>
      <c r="B21" s="23" t="n">
        <v>115.4</v>
      </c>
      <c r="C21" s="22" t="inlineStr">
        <is>
          <t>FICTIF_DEMO</t>
        </is>
      </c>
      <c r="E21" s="22" t="inlineStr">
        <is>
          <t>2021-T4</t>
        </is>
      </c>
      <c r="F21" s="23" t="n">
        <v>112.95</v>
      </c>
      <c r="G21" s="22" t="inlineStr">
        <is>
          <t>FICTIF_DEMO</t>
        </is>
      </c>
      <c r="I21" s="22" t="inlineStr">
        <is>
          <t>2021-T4</t>
        </is>
      </c>
      <c r="J21" s="24" t="n">
        <v>1772</v>
      </c>
      <c r="K21" s="22" t="inlineStr">
        <is>
          <t>FICTIF_DEMO</t>
        </is>
      </c>
      <c r="M21" s="22" t="inlineStr">
        <is>
          <t>2021-T4</t>
        </is>
      </c>
      <c r="N21" s="23" t="n">
        <v>131.6</v>
      </c>
      <c r="O21" s="22" t="inlineStr">
        <is>
          <t>FICTIF_DEMO</t>
        </is>
      </c>
    </row>
    <row r="22">
      <c r="A22" s="22" t="inlineStr">
        <is>
          <t>2021-T3</t>
        </is>
      </c>
      <c r="B22" s="23" t="n">
        <v>116</v>
      </c>
      <c r="C22" s="22" t="inlineStr">
        <is>
          <t>FICTIF_DEMO</t>
        </is>
      </c>
      <c r="E22" s="22" t="inlineStr">
        <is>
          <t>2021-T3</t>
        </is>
      </c>
      <c r="F22" s="23" t="n">
        <v>113.5</v>
      </c>
      <c r="G22" s="22" t="inlineStr">
        <is>
          <t>FICTIF_DEMO</t>
        </is>
      </c>
      <c r="I22" s="22" t="inlineStr">
        <is>
          <t>2021-T3</t>
        </is>
      </c>
      <c r="J22" s="24" t="n">
        <v>1780</v>
      </c>
      <c r="K22" s="22" t="inlineStr">
        <is>
          <t>FICTIF_DEMO</t>
        </is>
      </c>
      <c r="M22" s="22" t="inlineStr">
        <is>
          <t>2021-T3</t>
        </is>
      </c>
      <c r="N22" s="23" t="n">
        <v>132</v>
      </c>
      <c r="O22" s="22" t="inlineStr">
        <is>
          <t>FICTIF_DEMO</t>
        </is>
      </c>
    </row>
    <row r="23">
      <c r="A23" s="22" t="inlineStr">
        <is>
          <t>2021-T2</t>
        </is>
      </c>
      <c r="B23" s="23" t="n">
        <v>116.6</v>
      </c>
      <c r="C23" s="22" t="inlineStr">
        <is>
          <t>FICTIF_DEMO</t>
        </is>
      </c>
      <c r="E23" s="22" t="inlineStr">
        <is>
          <t>2021-T2</t>
        </is>
      </c>
      <c r="F23" s="23" t="n">
        <v>114.05</v>
      </c>
      <c r="G23" s="22" t="inlineStr">
        <is>
          <t>FICTIF_DEMO</t>
        </is>
      </c>
      <c r="I23" s="22" t="inlineStr">
        <is>
          <t>2021-T2</t>
        </is>
      </c>
      <c r="J23" s="24" t="n">
        <v>1788</v>
      </c>
      <c r="K23" s="22" t="inlineStr">
        <is>
          <t>FICTIF_DEMO</t>
        </is>
      </c>
      <c r="M23" s="22" t="inlineStr">
        <is>
          <t>2021-T2</t>
        </is>
      </c>
      <c r="N23" s="23" t="n">
        <v>132.4</v>
      </c>
      <c r="O23" s="22" t="inlineStr">
        <is>
          <t>FICTIF_DEMO</t>
        </is>
      </c>
    </row>
    <row r="24">
      <c r="A24" s="22" t="inlineStr">
        <is>
          <t>2021-T1</t>
        </is>
      </c>
      <c r="B24" s="23" t="n">
        <v>117.2</v>
      </c>
      <c r="C24" s="22" t="inlineStr">
        <is>
          <t>FICTIF_DEMO</t>
        </is>
      </c>
      <c r="E24" s="22" t="inlineStr">
        <is>
          <t>2021-T1</t>
        </is>
      </c>
      <c r="F24" s="23" t="n">
        <v>114.6</v>
      </c>
      <c r="G24" s="22" t="inlineStr">
        <is>
          <t>FICTIF_DEMO</t>
        </is>
      </c>
      <c r="I24" s="22" t="inlineStr">
        <is>
          <t>2021-T1</t>
        </is>
      </c>
      <c r="J24" s="24" t="n">
        <v>1796</v>
      </c>
      <c r="K24" s="22" t="inlineStr">
        <is>
          <t>FICTIF_DEMO</t>
        </is>
      </c>
      <c r="M24" s="22" t="inlineStr">
        <is>
          <t>2021-T1</t>
        </is>
      </c>
      <c r="N24" s="23" t="n">
        <v>132.8</v>
      </c>
      <c r="O24" s="22" t="inlineStr">
        <is>
          <t>FICTIF_DEMO</t>
        </is>
      </c>
    </row>
    <row r="25">
      <c r="A25" s="22" t="inlineStr">
        <is>
          <t>2020-T4</t>
        </is>
      </c>
      <c r="B25" s="23" t="n">
        <v>116.6</v>
      </c>
      <c r="C25" s="22" t="inlineStr">
        <is>
          <t>FICTIF_DEMO</t>
        </is>
      </c>
      <c r="E25" s="22" t="inlineStr">
        <is>
          <t>2020-T4</t>
        </is>
      </c>
      <c r="F25" s="23" t="n">
        <v>114.05</v>
      </c>
      <c r="G25" s="22" t="inlineStr">
        <is>
          <t>FICTIF_DEMO</t>
        </is>
      </c>
      <c r="I25" s="22" t="inlineStr">
        <is>
          <t>2020-T4</t>
        </is>
      </c>
      <c r="J25" s="24" t="n">
        <v>1788</v>
      </c>
      <c r="K25" s="22" t="inlineStr">
        <is>
          <t>FICTIF_DEMO</t>
        </is>
      </c>
      <c r="M25" s="22" t="inlineStr">
        <is>
          <t>2020-T4</t>
        </is>
      </c>
      <c r="N25" s="23" t="n">
        <v>132.4</v>
      </c>
      <c r="O25" s="22" t="inlineStr">
        <is>
          <t>FICTIF_DEMO</t>
        </is>
      </c>
    </row>
    <row r="26">
      <c r="A26" s="22" t="inlineStr">
        <is>
          <t>2020-T3</t>
        </is>
      </c>
      <c r="B26" s="23" t="n">
        <v>116</v>
      </c>
      <c r="C26" s="22" t="inlineStr">
        <is>
          <t>FICTIF_DEMO</t>
        </is>
      </c>
      <c r="E26" s="22" t="inlineStr">
        <is>
          <t>2020-T3</t>
        </is>
      </c>
      <c r="F26" s="23" t="n">
        <v>113.5</v>
      </c>
      <c r="G26" s="22" t="inlineStr">
        <is>
          <t>FICTIF_DEMO</t>
        </is>
      </c>
      <c r="I26" s="22" t="inlineStr">
        <is>
          <t>2020-T3</t>
        </is>
      </c>
      <c r="J26" s="24" t="n">
        <v>1780</v>
      </c>
      <c r="K26" s="22" t="inlineStr">
        <is>
          <t>FICTIF_DEMO</t>
        </is>
      </c>
      <c r="M26" s="22" t="inlineStr">
        <is>
          <t>2020-T3</t>
        </is>
      </c>
      <c r="N26" s="23" t="n">
        <v>132</v>
      </c>
      <c r="O26" s="22" t="inlineStr">
        <is>
          <t>FICTIF_DEMO</t>
        </is>
      </c>
    </row>
    <row r="27">
      <c r="A27" s="22" t="inlineStr">
        <is>
          <t>2020-T2</t>
        </is>
      </c>
      <c r="B27" s="23" t="n">
        <v>115.4</v>
      </c>
      <c r="C27" s="22" t="inlineStr">
        <is>
          <t>FICTIF_DEMO</t>
        </is>
      </c>
      <c r="E27" s="22" t="inlineStr">
        <is>
          <t>2020-T2</t>
        </is>
      </c>
      <c r="F27" s="23" t="n">
        <v>112.95</v>
      </c>
      <c r="G27" s="22" t="inlineStr">
        <is>
          <t>FICTIF_DEMO</t>
        </is>
      </c>
      <c r="I27" s="22" t="inlineStr">
        <is>
          <t>2020-T2</t>
        </is>
      </c>
      <c r="J27" s="24" t="n">
        <v>1772</v>
      </c>
      <c r="K27" s="22" t="inlineStr">
        <is>
          <t>FICTIF_DEMO</t>
        </is>
      </c>
      <c r="M27" s="22" t="inlineStr">
        <is>
          <t>2020-T2</t>
        </is>
      </c>
      <c r="N27" s="23" t="n">
        <v>131.6</v>
      </c>
      <c r="O27" s="22" t="inlineStr">
        <is>
          <t>FICTIF_DEMO</t>
        </is>
      </c>
    </row>
    <row r="28">
      <c r="A28" s="22" t="inlineStr">
        <is>
          <t>2020-T1</t>
        </is>
      </c>
      <c r="B28" s="23" t="n">
        <v>114.8</v>
      </c>
      <c r="C28" s="22" t="inlineStr">
        <is>
          <t>FICTIF_DEMO</t>
        </is>
      </c>
      <c r="E28" s="22" t="inlineStr">
        <is>
          <t>2020-T1</t>
        </is>
      </c>
      <c r="F28" s="23" t="n">
        <v>112.4</v>
      </c>
      <c r="G28" s="22" t="inlineStr">
        <is>
          <t>FICTIF_DEMO</t>
        </is>
      </c>
      <c r="I28" s="22" t="inlineStr">
        <is>
          <t>2020-T1</t>
        </is>
      </c>
      <c r="J28" s="24" t="n">
        <v>1764</v>
      </c>
      <c r="K28" s="22" t="inlineStr">
        <is>
          <t>FICTIF_DEMO</t>
        </is>
      </c>
      <c r="M28" s="22" t="inlineStr">
        <is>
          <t>2020-T1</t>
        </is>
      </c>
      <c r="N28" s="23" t="n">
        <v>131.2</v>
      </c>
      <c r="O28" s="22" t="inlineStr">
        <is>
          <t>FICTIF_DEMO</t>
        </is>
      </c>
    </row>
    <row r="29">
      <c r="A29" s="22" t="inlineStr">
        <is>
          <t>2019-T4</t>
        </is>
      </c>
      <c r="B29" s="23" t="n">
        <v>114.2</v>
      </c>
      <c r="C29" s="22" t="inlineStr">
        <is>
          <t>FICTIF_DEMO</t>
        </is>
      </c>
      <c r="E29" s="22" t="inlineStr">
        <is>
          <t>2019-T4</t>
        </is>
      </c>
      <c r="F29" s="23" t="n">
        <v>111.85</v>
      </c>
      <c r="G29" s="22" t="inlineStr">
        <is>
          <t>FICTIF_DEMO</t>
        </is>
      </c>
      <c r="I29" s="22" t="inlineStr">
        <is>
          <t>2019-T4</t>
        </is>
      </c>
      <c r="J29" s="24" t="n">
        <v>1756</v>
      </c>
      <c r="K29" s="22" t="inlineStr">
        <is>
          <t>FICTIF_DEMO</t>
        </is>
      </c>
      <c r="M29" s="22" t="inlineStr">
        <is>
          <t>2019-T4</t>
        </is>
      </c>
      <c r="N29" s="23" t="n">
        <v>130.8</v>
      </c>
      <c r="O29" s="22" t="inlineStr">
        <is>
          <t>FICTIF_DEMO</t>
        </is>
      </c>
    </row>
    <row r="30">
      <c r="A30" s="22" t="inlineStr">
        <is>
          <t>2019-T3</t>
        </is>
      </c>
      <c r="B30" s="23" t="n">
        <v>113.6</v>
      </c>
      <c r="C30" s="22" t="inlineStr">
        <is>
          <t>FICTIF_DEMO</t>
        </is>
      </c>
      <c r="E30" s="22" t="inlineStr">
        <is>
          <t>2019-T3</t>
        </is>
      </c>
      <c r="F30" s="23" t="n">
        <v>111.3</v>
      </c>
      <c r="G30" s="22" t="inlineStr">
        <is>
          <t>FICTIF_DEMO</t>
        </is>
      </c>
      <c r="I30" s="22" t="inlineStr">
        <is>
          <t>2019-T3</t>
        </is>
      </c>
      <c r="J30" s="24" t="n">
        <v>1748</v>
      </c>
      <c r="K30" s="22" t="inlineStr">
        <is>
          <t>FICTIF_DEMO</t>
        </is>
      </c>
      <c r="M30" s="22" t="inlineStr">
        <is>
          <t>2019-T3</t>
        </is>
      </c>
      <c r="N30" s="23" t="n">
        <v>130.4</v>
      </c>
      <c r="O30" s="22" t="inlineStr">
        <is>
          <t>FICTIF_DEMO</t>
        </is>
      </c>
    </row>
    <row r="31">
      <c r="A31" s="22" t="inlineStr">
        <is>
          <t>2019-T2</t>
        </is>
      </c>
      <c r="B31" s="23" t="n">
        <v>113</v>
      </c>
      <c r="C31" s="22" t="inlineStr">
        <is>
          <t>FICTIF_DEMO</t>
        </is>
      </c>
      <c r="E31" s="22" t="inlineStr">
        <is>
          <t>2019-T2</t>
        </is>
      </c>
      <c r="F31" s="23" t="n">
        <v>110.75</v>
      </c>
      <c r="G31" s="22" t="inlineStr">
        <is>
          <t>FICTIF_DEMO</t>
        </is>
      </c>
      <c r="I31" s="22" t="inlineStr">
        <is>
          <t>2019-T2</t>
        </is>
      </c>
      <c r="J31" s="24" t="n">
        <v>1740</v>
      </c>
      <c r="K31" s="22" t="inlineStr">
        <is>
          <t>FICTIF_DEMO</t>
        </is>
      </c>
      <c r="M31" s="22" t="inlineStr">
        <is>
          <t>2019-T2</t>
        </is>
      </c>
      <c r="N31" s="23" t="n">
        <v>130</v>
      </c>
      <c r="O31" s="22" t="inlineStr">
        <is>
          <t>FICTIF_DEMO</t>
        </is>
      </c>
    </row>
    <row r="32">
      <c r="A32" s="22" t="inlineStr">
        <is>
          <t>2019-T1</t>
        </is>
      </c>
      <c r="B32" s="23" t="n">
        <v>112.4</v>
      </c>
      <c r="C32" s="22" t="inlineStr">
        <is>
          <t>FICTIF_DEMO</t>
        </is>
      </c>
      <c r="E32" s="22" t="inlineStr">
        <is>
          <t>2019-T1</t>
        </is>
      </c>
      <c r="F32" s="23" t="n">
        <v>110.2</v>
      </c>
      <c r="G32" s="22" t="inlineStr">
        <is>
          <t>FICTIF_DEMO</t>
        </is>
      </c>
      <c r="I32" s="22" t="inlineStr">
        <is>
          <t>2019-T1</t>
        </is>
      </c>
      <c r="J32" s="24" t="n">
        <v>1732</v>
      </c>
      <c r="K32" s="22" t="inlineStr">
        <is>
          <t>FICTIF_DEMO</t>
        </is>
      </c>
      <c r="M32" s="22" t="inlineStr">
        <is>
          <t>2019-T1</t>
        </is>
      </c>
      <c r="N32" s="23" t="n">
        <v>129.6</v>
      </c>
      <c r="O32" s="22" t="inlineStr">
        <is>
          <t>FICTIF_DEMO</t>
        </is>
      </c>
    </row>
    <row r="33">
      <c r="A33" s="22" t="inlineStr">
        <is>
          <t>2018-T4</t>
        </is>
      </c>
      <c r="B33" s="23" t="n">
        <v>111.8</v>
      </c>
      <c r="C33" s="22" t="inlineStr">
        <is>
          <t>FICTIF_DEMO</t>
        </is>
      </c>
      <c r="E33" s="22" t="inlineStr">
        <is>
          <t>2018-T4</t>
        </is>
      </c>
      <c r="F33" s="23" t="n">
        <v>109.65</v>
      </c>
      <c r="G33" s="22" t="inlineStr">
        <is>
          <t>FICTIF_DEMO</t>
        </is>
      </c>
      <c r="I33" s="22" t="inlineStr">
        <is>
          <t>2018-T4</t>
        </is>
      </c>
      <c r="J33" s="24" t="n">
        <v>1724</v>
      </c>
      <c r="K33" s="22" t="inlineStr">
        <is>
          <t>FICTIF_DEMO</t>
        </is>
      </c>
      <c r="M33" s="22" t="inlineStr">
        <is>
          <t>2018-T4</t>
        </is>
      </c>
      <c r="N33" s="23" t="n">
        <v>129.2</v>
      </c>
      <c r="O33" s="22" t="inlineStr">
        <is>
          <t>FICTIF_DEMO</t>
        </is>
      </c>
    </row>
    <row r="34">
      <c r="A34" s="22" t="inlineStr">
        <is>
          <t>2018-T3</t>
        </is>
      </c>
      <c r="B34" s="23" t="n">
        <v>111.2</v>
      </c>
      <c r="C34" s="22" t="inlineStr">
        <is>
          <t>FICTIF_DEMO</t>
        </is>
      </c>
      <c r="E34" s="22" t="inlineStr">
        <is>
          <t>2018-T3</t>
        </is>
      </c>
      <c r="F34" s="23" t="n">
        <v>109.1</v>
      </c>
      <c r="G34" s="22" t="inlineStr">
        <is>
          <t>FICTIF_DEMO</t>
        </is>
      </c>
      <c r="I34" s="22" t="inlineStr">
        <is>
          <t>2018-T3</t>
        </is>
      </c>
      <c r="J34" s="24" t="n">
        <v>1716</v>
      </c>
      <c r="K34" s="22" t="inlineStr">
        <is>
          <t>FICTIF_DEMO</t>
        </is>
      </c>
      <c r="M34" s="22" t="inlineStr">
        <is>
          <t>2018-T3</t>
        </is>
      </c>
      <c r="N34" s="23" t="n">
        <v>128.8</v>
      </c>
      <c r="O34" s="22" t="inlineStr">
        <is>
          <t>FICTIF_DEMO</t>
        </is>
      </c>
    </row>
    <row r="35">
      <c r="A35" s="22" t="inlineStr">
        <is>
          <t>2018-T2</t>
        </is>
      </c>
      <c r="B35" s="23" t="n">
        <v>110.6</v>
      </c>
      <c r="C35" s="22" t="inlineStr">
        <is>
          <t>FICTIF_DEMO</t>
        </is>
      </c>
      <c r="E35" s="22" t="inlineStr">
        <is>
          <t>2018-T2</t>
        </is>
      </c>
      <c r="F35" s="23" t="n">
        <v>108.55</v>
      </c>
      <c r="G35" s="22" t="inlineStr">
        <is>
          <t>FICTIF_DEMO</t>
        </is>
      </c>
      <c r="I35" s="22" t="inlineStr">
        <is>
          <t>2018-T2</t>
        </is>
      </c>
      <c r="J35" s="24" t="n">
        <v>1708</v>
      </c>
      <c r="K35" s="22" t="inlineStr">
        <is>
          <t>FICTIF_DEMO</t>
        </is>
      </c>
      <c r="M35" s="22" t="inlineStr">
        <is>
          <t>2018-T2</t>
        </is>
      </c>
      <c r="N35" s="23" t="n">
        <v>128.4</v>
      </c>
      <c r="O35" s="22" t="inlineStr">
        <is>
          <t>FICTIF_DEMO</t>
        </is>
      </c>
    </row>
    <row r="36">
      <c r="A36" s="22" t="inlineStr">
        <is>
          <t>2018-T1</t>
        </is>
      </c>
      <c r="B36" s="23" t="n">
        <v>110</v>
      </c>
      <c r="C36" s="22" t="inlineStr">
        <is>
          <t>FICTIF_DEMO</t>
        </is>
      </c>
      <c r="E36" s="22" t="inlineStr">
        <is>
          <t>2018-T1</t>
        </is>
      </c>
      <c r="F36" s="23" t="n">
        <v>108</v>
      </c>
      <c r="G36" s="22" t="inlineStr">
        <is>
          <t>FICTIF_DEMO</t>
        </is>
      </c>
      <c r="I36" s="22" t="inlineStr">
        <is>
          <t>2018-T1</t>
        </is>
      </c>
      <c r="J36" s="24" t="n">
        <v>1700</v>
      </c>
      <c r="K36" s="22" t="inlineStr">
        <is>
          <t>FICTIF_DEMO</t>
        </is>
      </c>
      <c r="M36" s="22" t="inlineStr">
        <is>
          <t>2018-T1</t>
        </is>
      </c>
      <c r="N36" s="23" t="n">
        <v>128</v>
      </c>
      <c r="O36" s="22" t="inlineStr">
        <is>
          <t>FICTIF_DEMO</t>
        </is>
      </c>
    </row>
    <row r="37">
      <c r="A37" s="13" t="n"/>
      <c r="B37" s="25" t="n"/>
      <c r="C37" s="13" t="n"/>
      <c r="E37" s="13" t="n"/>
      <c r="F37" s="25" t="n"/>
      <c r="G37" s="13" t="n"/>
      <c r="I37" s="13" t="n"/>
      <c r="J37" s="26" t="n"/>
      <c r="K37" s="13" t="n"/>
      <c r="M37" s="13" t="n"/>
      <c r="N37" s="25" t="n"/>
      <c r="O37" s="13" t="n"/>
    </row>
    <row r="38">
      <c r="A38" s="13" t="n"/>
      <c r="B38" s="25" t="n"/>
      <c r="C38" s="13" t="n"/>
      <c r="E38" s="13" t="n"/>
      <c r="F38" s="25" t="n"/>
      <c r="G38" s="13" t="n"/>
      <c r="I38" s="13" t="n"/>
      <c r="J38" s="26" t="n"/>
      <c r="K38" s="13" t="n"/>
      <c r="M38" s="13" t="n"/>
      <c r="N38" s="25" t="n"/>
      <c r="O38" s="13" t="n"/>
    </row>
    <row r="39">
      <c r="A39" s="13" t="n"/>
      <c r="B39" s="25" t="n"/>
      <c r="C39" s="13" t="n"/>
      <c r="E39" s="13" t="n"/>
      <c r="F39" s="25" t="n"/>
      <c r="G39" s="13" t="n"/>
      <c r="I39" s="13" t="n"/>
      <c r="J39" s="26" t="n"/>
      <c r="K39" s="13" t="n"/>
      <c r="M39" s="13" t="n"/>
      <c r="N39" s="25" t="n"/>
      <c r="O39" s="13" t="n"/>
    </row>
    <row r="40">
      <c r="A40" s="13" t="n"/>
      <c r="B40" s="25" t="n"/>
      <c r="C40" s="13" t="n"/>
      <c r="E40" s="13" t="n"/>
      <c r="F40" s="25" t="n"/>
      <c r="G40" s="13" t="n"/>
      <c r="I40" s="13" t="n"/>
      <c r="J40" s="26" t="n"/>
      <c r="K40" s="13" t="n"/>
      <c r="M40" s="13" t="n"/>
      <c r="N40" s="25" t="n"/>
      <c r="O40" s="13" t="n"/>
    </row>
    <row r="41">
      <c r="A41" s="13" t="n"/>
      <c r="B41" s="25" t="n"/>
      <c r="C41" s="13" t="n"/>
      <c r="E41" s="13" t="n"/>
      <c r="F41" s="25" t="n"/>
      <c r="G41" s="13" t="n"/>
      <c r="I41" s="13" t="n"/>
      <c r="J41" s="26" t="n"/>
      <c r="K41" s="13" t="n"/>
      <c r="M41" s="13" t="n"/>
      <c r="N41" s="25" t="n"/>
      <c r="O41" s="13" t="n"/>
    </row>
    <row r="42">
      <c r="A42" s="13" t="n"/>
      <c r="B42" s="25" t="n"/>
      <c r="C42" s="13" t="n"/>
      <c r="E42" s="13" t="n"/>
      <c r="F42" s="25" t="n"/>
      <c r="G42" s="13" t="n"/>
      <c r="I42" s="13" t="n"/>
      <c r="J42" s="26" t="n"/>
      <c r="K42" s="13" t="n"/>
      <c r="M42" s="13" t="n"/>
      <c r="N42" s="25" t="n"/>
      <c r="O42" s="13" t="n"/>
    </row>
    <row r="43">
      <c r="A43" s="13" t="n"/>
      <c r="B43" s="25" t="n"/>
      <c r="C43" s="13" t="n"/>
      <c r="E43" s="13" t="n"/>
      <c r="F43" s="25" t="n"/>
      <c r="G43" s="13" t="n"/>
      <c r="I43" s="13" t="n"/>
      <c r="J43" s="26" t="n"/>
      <c r="K43" s="13" t="n"/>
      <c r="M43" s="13" t="n"/>
      <c r="N43" s="25" t="n"/>
      <c r="O43" s="13" t="n"/>
    </row>
    <row r="44">
      <c r="A44" s="13" t="n"/>
      <c r="B44" s="25" t="n"/>
      <c r="C44" s="13" t="n"/>
      <c r="E44" s="13" t="n"/>
      <c r="F44" s="25" t="n"/>
      <c r="G44" s="13" t="n"/>
      <c r="I44" s="13" t="n"/>
      <c r="J44" s="26" t="n"/>
      <c r="K44" s="13" t="n"/>
      <c r="M44" s="13" t="n"/>
      <c r="N44" s="25" t="n"/>
      <c r="O44" s="13" t="n"/>
    </row>
    <row r="45">
      <c r="A45" s="13" t="n"/>
      <c r="B45" s="25" t="n"/>
      <c r="C45" s="13" t="n"/>
      <c r="E45" s="13" t="n"/>
      <c r="F45" s="25" t="n"/>
      <c r="G45" s="13" t="n"/>
      <c r="I45" s="13" t="n"/>
      <c r="J45" s="26" t="n"/>
      <c r="K45" s="13" t="n"/>
      <c r="M45" s="13" t="n"/>
      <c r="N45" s="25" t="n"/>
      <c r="O45" s="13" t="n"/>
    </row>
    <row r="46">
      <c r="A46" s="13" t="n"/>
      <c r="B46" s="25" t="n"/>
      <c r="C46" s="13" t="n"/>
      <c r="E46" s="13" t="n"/>
      <c r="F46" s="25" t="n"/>
      <c r="G46" s="13" t="n"/>
      <c r="I46" s="13" t="n"/>
      <c r="J46" s="26" t="n"/>
      <c r="K46" s="13" t="n"/>
      <c r="M46" s="13" t="n"/>
      <c r="N46" s="25" t="n"/>
      <c r="O46" s="13" t="n"/>
    </row>
    <row r="47">
      <c r="A47" s="13" t="n"/>
      <c r="B47" s="25" t="n"/>
      <c r="C47" s="13" t="n"/>
      <c r="E47" s="13" t="n"/>
      <c r="F47" s="25" t="n"/>
      <c r="G47" s="13" t="n"/>
      <c r="I47" s="13" t="n"/>
      <c r="J47" s="26" t="n"/>
      <c r="K47" s="13" t="n"/>
      <c r="M47" s="13" t="n"/>
      <c r="N47" s="25" t="n"/>
      <c r="O47" s="13" t="n"/>
    </row>
    <row r="48">
      <c r="A48" s="13" t="n"/>
      <c r="B48" s="25" t="n"/>
      <c r="C48" s="13" t="n"/>
      <c r="E48" s="13" t="n"/>
      <c r="F48" s="25" t="n"/>
      <c r="G48" s="13" t="n"/>
      <c r="I48" s="13" t="n"/>
      <c r="J48" s="26" t="n"/>
      <c r="K48" s="13" t="n"/>
      <c r="M48" s="13" t="n"/>
      <c r="N48" s="25" t="n"/>
      <c r="O48" s="13" t="n"/>
    </row>
    <row r="49">
      <c r="A49" s="13" t="n"/>
      <c r="B49" s="25" t="n"/>
      <c r="C49" s="13" t="n"/>
      <c r="E49" s="13" t="n"/>
      <c r="F49" s="25" t="n"/>
      <c r="G49" s="13" t="n"/>
      <c r="I49" s="13" t="n"/>
      <c r="J49" s="26" t="n"/>
      <c r="K49" s="13" t="n"/>
      <c r="M49" s="13" t="n"/>
      <c r="N49" s="25" t="n"/>
      <c r="O49" s="13" t="n"/>
    </row>
    <row r="50">
      <c r="A50" s="13" t="n"/>
      <c r="B50" s="25" t="n"/>
      <c r="C50" s="13" t="n"/>
      <c r="E50" s="13" t="n"/>
      <c r="F50" s="25" t="n"/>
      <c r="G50" s="13" t="n"/>
      <c r="I50" s="13" t="n"/>
      <c r="J50" s="26" t="n"/>
      <c r="K50" s="13" t="n"/>
      <c r="M50" s="13" t="n"/>
      <c r="N50" s="25" t="n"/>
      <c r="O50" s="13" t="n"/>
    </row>
    <row r="51">
      <c r="A51" s="13" t="n"/>
      <c r="B51" s="25" t="n"/>
      <c r="C51" s="13" t="n"/>
      <c r="E51" s="13" t="n"/>
      <c r="F51" s="25" t="n"/>
      <c r="G51" s="13" t="n"/>
      <c r="I51" s="13" t="n"/>
      <c r="J51" s="26" t="n"/>
      <c r="K51" s="13" t="n"/>
      <c r="M51" s="13" t="n"/>
      <c r="N51" s="25" t="n"/>
      <c r="O51" s="13" t="n"/>
    </row>
    <row r="52">
      <c r="A52" s="13" t="n"/>
      <c r="B52" s="25" t="n"/>
      <c r="C52" s="13" t="n"/>
      <c r="E52" s="13" t="n"/>
      <c r="F52" s="25" t="n"/>
      <c r="G52" s="13" t="n"/>
      <c r="I52" s="13" t="n"/>
      <c r="J52" s="26" t="n"/>
      <c r="K52" s="13" t="n"/>
      <c r="M52" s="13" t="n"/>
      <c r="N52" s="25" t="n"/>
      <c r="O52" s="13" t="n"/>
    </row>
    <row r="53">
      <c r="A53" s="13" t="n"/>
      <c r="B53" s="25" t="n"/>
      <c r="C53" s="13" t="n"/>
      <c r="E53" s="13" t="n"/>
      <c r="F53" s="25" t="n"/>
      <c r="G53" s="13" t="n"/>
      <c r="I53" s="13" t="n"/>
      <c r="J53" s="26" t="n"/>
      <c r="K53" s="13" t="n"/>
      <c r="M53" s="13" t="n"/>
      <c r="N53" s="25" t="n"/>
      <c r="O53" s="13" t="n"/>
    </row>
    <row r="54">
      <c r="A54" s="13" t="n"/>
      <c r="B54" s="25" t="n"/>
      <c r="C54" s="13" t="n"/>
      <c r="E54" s="13" t="n"/>
      <c r="F54" s="25" t="n"/>
      <c r="G54" s="13" t="n"/>
      <c r="I54" s="13" t="n"/>
      <c r="J54" s="26" t="n"/>
      <c r="K54" s="13" t="n"/>
      <c r="M54" s="13" t="n"/>
      <c r="N54" s="25" t="n"/>
      <c r="O54" s="13" t="n"/>
    </row>
    <row r="55">
      <c r="A55" s="13" t="n"/>
      <c r="B55" s="25" t="n"/>
      <c r="C55" s="13" t="n"/>
      <c r="E55" s="13" t="n"/>
      <c r="F55" s="25" t="n"/>
      <c r="G55" s="13" t="n"/>
      <c r="I55" s="13" t="n"/>
      <c r="J55" s="26" t="n"/>
      <c r="K55" s="13" t="n"/>
      <c r="M55" s="13" t="n"/>
      <c r="N55" s="25" t="n"/>
      <c r="O55" s="13" t="n"/>
    </row>
    <row r="56">
      <c r="A56" s="13" t="n"/>
      <c r="B56" s="25" t="n"/>
      <c r="C56" s="13" t="n"/>
      <c r="E56" s="13" t="n"/>
      <c r="F56" s="25" t="n"/>
      <c r="G56" s="13" t="n"/>
      <c r="I56" s="13" t="n"/>
      <c r="J56" s="26" t="n"/>
      <c r="K56" s="13" t="n"/>
      <c r="M56" s="13" t="n"/>
      <c r="N56" s="25" t="n"/>
      <c r="O56" s="13" t="n"/>
    </row>
    <row r="57">
      <c r="A57" s="13" t="n"/>
      <c r="B57" s="25" t="n"/>
      <c r="C57" s="13" t="n"/>
      <c r="E57" s="13" t="n"/>
      <c r="F57" s="25" t="n"/>
      <c r="G57" s="13" t="n"/>
      <c r="I57" s="13" t="n"/>
      <c r="J57" s="26" t="n"/>
      <c r="K57" s="13" t="n"/>
      <c r="M57" s="13" t="n"/>
      <c r="N57" s="25" t="n"/>
      <c r="O57" s="13" t="n"/>
    </row>
    <row r="58">
      <c r="A58" s="13" t="n"/>
      <c r="B58" s="25" t="n"/>
      <c r="C58" s="13" t="n"/>
      <c r="E58" s="13" t="n"/>
      <c r="F58" s="25" t="n"/>
      <c r="G58" s="13" t="n"/>
      <c r="I58" s="13" t="n"/>
      <c r="J58" s="26" t="n"/>
      <c r="K58" s="13" t="n"/>
      <c r="M58" s="13" t="n"/>
      <c r="N58" s="25" t="n"/>
      <c r="O58" s="13" t="n"/>
    </row>
    <row r="59">
      <c r="A59" s="13" t="n"/>
      <c r="B59" s="25" t="n"/>
      <c r="C59" s="13" t="n"/>
      <c r="E59" s="13" t="n"/>
      <c r="F59" s="25" t="n"/>
      <c r="G59" s="13" t="n"/>
      <c r="I59" s="13" t="n"/>
      <c r="J59" s="26" t="n"/>
      <c r="K59" s="13" t="n"/>
      <c r="M59" s="13" t="n"/>
      <c r="N59" s="25" t="n"/>
      <c r="O59" s="13" t="n"/>
    </row>
    <row r="60">
      <c r="A60" s="13" t="n"/>
      <c r="B60" s="25" t="n"/>
      <c r="C60" s="13" t="n"/>
      <c r="E60" s="13" t="n"/>
      <c r="F60" s="25" t="n"/>
      <c r="G60" s="13" t="n"/>
      <c r="I60" s="13" t="n"/>
      <c r="J60" s="26" t="n"/>
      <c r="K60" s="13" t="n"/>
      <c r="M60" s="13" t="n"/>
      <c r="N60" s="25" t="n"/>
      <c r="O60" s="13" t="n"/>
    </row>
    <row r="61">
      <c r="A61" s="13" t="n"/>
      <c r="B61" s="25" t="n"/>
      <c r="C61" s="13" t="n"/>
      <c r="E61" s="13" t="n"/>
      <c r="F61" s="25" t="n"/>
      <c r="G61" s="13" t="n"/>
      <c r="I61" s="13" t="n"/>
      <c r="J61" s="26" t="n"/>
      <c r="K61" s="13" t="n"/>
      <c r="M61" s="13" t="n"/>
      <c r="N61" s="25" t="n"/>
      <c r="O61" s="13" t="n"/>
    </row>
    <row r="62">
      <c r="A62" s="13" t="n"/>
      <c r="B62" s="25" t="n"/>
      <c r="C62" s="13" t="n"/>
      <c r="E62" s="13" t="n"/>
      <c r="F62" s="25" t="n"/>
      <c r="G62" s="13" t="n"/>
      <c r="I62" s="13" t="n"/>
      <c r="J62" s="26" t="n"/>
      <c r="K62" s="13" t="n"/>
      <c r="M62" s="13" t="n"/>
      <c r="N62" s="25" t="n"/>
      <c r="O62" s="13" t="n"/>
    </row>
    <row r="63">
      <c r="A63" s="13" t="n"/>
      <c r="B63" s="25" t="n"/>
      <c r="C63" s="13" t="n"/>
      <c r="E63" s="13" t="n"/>
      <c r="F63" s="25" t="n"/>
      <c r="G63" s="13" t="n"/>
      <c r="I63" s="13" t="n"/>
      <c r="J63" s="26" t="n"/>
      <c r="K63" s="13" t="n"/>
      <c r="M63" s="13" t="n"/>
      <c r="N63" s="25" t="n"/>
      <c r="O63" s="13" t="n"/>
    </row>
    <row r="64">
      <c r="A64" s="13" t="n"/>
      <c r="B64" s="25" t="n"/>
      <c r="C64" s="13" t="n"/>
      <c r="E64" s="13" t="n"/>
      <c r="F64" s="25" t="n"/>
      <c r="G64" s="13" t="n"/>
      <c r="I64" s="13" t="n"/>
      <c r="J64" s="26" t="n"/>
      <c r="K64" s="13" t="n"/>
      <c r="M64" s="13" t="n"/>
      <c r="N64" s="25" t="n"/>
      <c r="O64" s="13" t="n"/>
    </row>
    <row r="65">
      <c r="A65" s="13" t="n"/>
      <c r="B65" s="25" t="n"/>
      <c r="C65" s="13" t="n"/>
      <c r="E65" s="13" t="n"/>
      <c r="F65" s="25" t="n"/>
      <c r="G65" s="13" t="n"/>
      <c r="I65" s="13" t="n"/>
      <c r="J65" s="26" t="n"/>
      <c r="K65" s="13" t="n"/>
      <c r="M65" s="13" t="n"/>
      <c r="N65" s="25" t="n"/>
      <c r="O65" s="13" t="n"/>
    </row>
    <row r="66">
      <c r="A66" s="13" t="n"/>
      <c r="B66" s="25" t="n"/>
      <c r="C66" s="13" t="n"/>
      <c r="E66" s="13" t="n"/>
      <c r="F66" s="25" t="n"/>
      <c r="G66" s="13" t="n"/>
      <c r="I66" s="13" t="n"/>
      <c r="J66" s="26" t="n"/>
      <c r="K66" s="13" t="n"/>
      <c r="M66" s="13" t="n"/>
      <c r="N66" s="25" t="n"/>
      <c r="O66" s="13" t="n"/>
    </row>
    <row r="67">
      <c r="A67" s="13" t="n"/>
      <c r="B67" s="25" t="n"/>
      <c r="C67" s="13" t="n"/>
      <c r="E67" s="13" t="n"/>
      <c r="F67" s="25" t="n"/>
      <c r="G67" s="13" t="n"/>
      <c r="I67" s="13" t="n"/>
      <c r="J67" s="26" t="n"/>
      <c r="K67" s="13" t="n"/>
      <c r="M67" s="13" t="n"/>
      <c r="N67" s="25" t="n"/>
      <c r="O67" s="13" t="n"/>
    </row>
    <row r="68">
      <c r="A68" s="13" t="n"/>
      <c r="B68" s="25" t="n"/>
      <c r="C68" s="13" t="n"/>
      <c r="E68" s="13" t="n"/>
      <c r="F68" s="25" t="n"/>
      <c r="G68" s="13" t="n"/>
      <c r="I68" s="13" t="n"/>
      <c r="J68" s="26" t="n"/>
      <c r="K68" s="13" t="n"/>
      <c r="M68" s="13" t="n"/>
      <c r="N68" s="25" t="n"/>
      <c r="O68" s="13" t="n"/>
    </row>
    <row r="69">
      <c r="A69" s="13" t="n"/>
      <c r="B69" s="25" t="n"/>
      <c r="C69" s="13" t="n"/>
      <c r="E69" s="13" t="n"/>
      <c r="F69" s="25" t="n"/>
      <c r="G69" s="13" t="n"/>
      <c r="I69" s="13" t="n"/>
      <c r="J69" s="26" t="n"/>
      <c r="K69" s="13" t="n"/>
      <c r="M69" s="13" t="n"/>
      <c r="N69" s="25" t="n"/>
      <c r="O69" s="13" t="n"/>
    </row>
    <row r="70">
      <c r="A70" s="13" t="n"/>
      <c r="B70" s="25" t="n"/>
      <c r="C70" s="13" t="n"/>
      <c r="E70" s="13" t="n"/>
      <c r="F70" s="25" t="n"/>
      <c r="G70" s="13" t="n"/>
      <c r="I70" s="13" t="n"/>
      <c r="J70" s="26" t="n"/>
      <c r="K70" s="13" t="n"/>
      <c r="M70" s="13" t="n"/>
      <c r="N70" s="25" t="n"/>
      <c r="O70" s="13" t="n"/>
    </row>
    <row r="71">
      <c r="A71" s="13" t="n"/>
      <c r="B71" s="25" t="n"/>
      <c r="C71" s="13" t="n"/>
      <c r="E71" s="13" t="n"/>
      <c r="F71" s="25" t="n"/>
      <c r="G71" s="13" t="n"/>
      <c r="I71" s="13" t="n"/>
      <c r="J71" s="26" t="n"/>
      <c r="K71" s="13" t="n"/>
      <c r="M71" s="13" t="n"/>
      <c r="N71" s="25" t="n"/>
      <c r="O71" s="13" t="n"/>
    </row>
    <row r="72">
      <c r="A72" s="13" t="n"/>
      <c r="B72" s="25" t="n"/>
      <c r="C72" s="13" t="n"/>
      <c r="E72" s="13" t="n"/>
      <c r="F72" s="25" t="n"/>
      <c r="G72" s="13" t="n"/>
      <c r="I72" s="13" t="n"/>
      <c r="J72" s="26" t="n"/>
      <c r="K72" s="13" t="n"/>
      <c r="M72" s="13" t="n"/>
      <c r="N72" s="25" t="n"/>
      <c r="O72" s="13" t="n"/>
    </row>
    <row r="73">
      <c r="A73" s="13" t="n"/>
      <c r="B73" s="25" t="n"/>
      <c r="C73" s="13" t="n"/>
      <c r="E73" s="13" t="n"/>
      <c r="F73" s="25" t="n"/>
      <c r="G73" s="13" t="n"/>
      <c r="I73" s="13" t="n"/>
      <c r="J73" s="26" t="n"/>
      <c r="K73" s="13" t="n"/>
      <c r="M73" s="13" t="n"/>
      <c r="N73" s="25" t="n"/>
      <c r="O73" s="13" t="n"/>
    </row>
    <row r="74">
      <c r="A74" s="13" t="n"/>
      <c r="B74" s="25" t="n"/>
      <c r="C74" s="13" t="n"/>
      <c r="E74" s="13" t="n"/>
      <c r="F74" s="25" t="n"/>
      <c r="G74" s="13" t="n"/>
      <c r="I74" s="13" t="n"/>
      <c r="J74" s="26" t="n"/>
      <c r="K74" s="13" t="n"/>
      <c r="M74" s="13" t="n"/>
      <c r="N74" s="25" t="n"/>
      <c r="O74" s="13" t="n"/>
    </row>
    <row r="75">
      <c r="A75" s="13" t="n"/>
      <c r="B75" s="25" t="n"/>
      <c r="C75" s="13" t="n"/>
      <c r="E75" s="13" t="n"/>
      <c r="F75" s="25" t="n"/>
      <c r="G75" s="13" t="n"/>
      <c r="I75" s="13" t="n"/>
      <c r="J75" s="26" t="n"/>
      <c r="K75" s="13" t="n"/>
      <c r="M75" s="13" t="n"/>
      <c r="N75" s="25" t="n"/>
      <c r="O75" s="13" t="n"/>
    </row>
    <row r="76">
      <c r="A76" s="13" t="n"/>
      <c r="B76" s="25" t="n"/>
      <c r="C76" s="13" t="n"/>
      <c r="E76" s="13" t="n"/>
      <c r="F76" s="25" t="n"/>
      <c r="G76" s="13" t="n"/>
      <c r="I76" s="13" t="n"/>
      <c r="J76" s="26" t="n"/>
      <c r="K76" s="13" t="n"/>
      <c r="M76" s="13" t="n"/>
      <c r="N76" s="25" t="n"/>
      <c r="O76" s="13" t="n"/>
    </row>
    <row r="77">
      <c r="A77" s="13" t="n"/>
      <c r="B77" s="25" t="n"/>
      <c r="C77" s="13" t="n"/>
      <c r="E77" s="13" t="n"/>
      <c r="F77" s="25" t="n"/>
      <c r="G77" s="13" t="n"/>
      <c r="I77" s="13" t="n"/>
      <c r="J77" s="26" t="n"/>
      <c r="K77" s="13" t="n"/>
      <c r="M77" s="13" t="n"/>
      <c r="N77" s="25" t="n"/>
      <c r="O77" s="13" t="n"/>
    </row>
    <row r="78">
      <c r="A78" s="13" t="n"/>
      <c r="B78" s="25" t="n"/>
      <c r="C78" s="13" t="n"/>
      <c r="E78" s="13" t="n"/>
      <c r="F78" s="25" t="n"/>
      <c r="G78" s="13" t="n"/>
      <c r="I78" s="13" t="n"/>
      <c r="J78" s="26" t="n"/>
      <c r="K78" s="13" t="n"/>
      <c r="M78" s="13" t="n"/>
      <c r="N78" s="25" t="n"/>
      <c r="O78" s="13" t="n"/>
    </row>
    <row r="79">
      <c r="A79" s="13" t="n"/>
      <c r="B79" s="25" t="n"/>
      <c r="C79" s="13" t="n"/>
      <c r="E79" s="13" t="n"/>
      <c r="F79" s="25" t="n"/>
      <c r="G79" s="13" t="n"/>
      <c r="I79" s="13" t="n"/>
      <c r="J79" s="26" t="n"/>
      <c r="K79" s="13" t="n"/>
      <c r="M79" s="13" t="n"/>
      <c r="N79" s="25" t="n"/>
      <c r="O79" s="13" t="n"/>
    </row>
    <row r="80">
      <c r="A80" s="13" t="n"/>
      <c r="B80" s="25" t="n"/>
      <c r="C80" s="13" t="n"/>
      <c r="E80" s="13" t="n"/>
      <c r="F80" s="25" t="n"/>
      <c r="G80" s="13" t="n"/>
      <c r="I80" s="13" t="n"/>
      <c r="J80" s="26" t="n"/>
      <c r="K80" s="13" t="n"/>
      <c r="M80" s="13" t="n"/>
      <c r="N80" s="25" t="n"/>
      <c r="O80" s="13" t="n"/>
    </row>
    <row r="81">
      <c r="A81" s="13" t="n"/>
      <c r="B81" s="25" t="n"/>
      <c r="C81" s="13" t="n"/>
      <c r="E81" s="13" t="n"/>
      <c r="F81" s="25" t="n"/>
      <c r="G81" s="13" t="n"/>
      <c r="I81" s="13" t="n"/>
      <c r="J81" s="26" t="n"/>
      <c r="K81" s="13" t="n"/>
      <c r="M81" s="13" t="n"/>
      <c r="N81" s="25" t="n"/>
      <c r="O81" s="13" t="n"/>
    </row>
    <row r="82">
      <c r="A82" s="13" t="n"/>
      <c r="B82" s="25" t="n"/>
      <c r="C82" s="13" t="n"/>
      <c r="E82" s="13" t="n"/>
      <c r="F82" s="25" t="n"/>
      <c r="G82" s="13" t="n"/>
      <c r="I82" s="13" t="n"/>
      <c r="J82" s="26" t="n"/>
      <c r="K82" s="13" t="n"/>
      <c r="M82" s="13" t="n"/>
      <c r="N82" s="25" t="n"/>
      <c r="O82" s="13" t="n"/>
    </row>
    <row r="83">
      <c r="A83" s="13" t="n"/>
      <c r="B83" s="25" t="n"/>
      <c r="C83" s="13" t="n"/>
      <c r="E83" s="13" t="n"/>
      <c r="F83" s="25" t="n"/>
      <c r="G83" s="13" t="n"/>
      <c r="I83" s="13" t="n"/>
      <c r="J83" s="26" t="n"/>
      <c r="K83" s="13" t="n"/>
      <c r="M83" s="13" t="n"/>
      <c r="N83" s="25" t="n"/>
      <c r="O83" s="13" t="n"/>
    </row>
    <row r="84">
      <c r="A84" s="13" t="n"/>
      <c r="B84" s="25" t="n"/>
      <c r="C84" s="13" t="n"/>
      <c r="E84" s="13" t="n"/>
      <c r="F84" s="25" t="n"/>
      <c r="G84" s="13" t="n"/>
      <c r="I84" s="13" t="n"/>
      <c r="J84" s="26" t="n"/>
      <c r="K84" s="13" t="n"/>
      <c r="M84" s="13" t="n"/>
      <c r="N84" s="25" t="n"/>
      <c r="O84" s="13" t="n"/>
    </row>
    <row r="85">
      <c r="A85" s="13" t="n"/>
      <c r="B85" s="25" t="n"/>
      <c r="C85" s="13" t="n"/>
      <c r="E85" s="13" t="n"/>
      <c r="F85" s="25" t="n"/>
      <c r="G85" s="13" t="n"/>
      <c r="I85" s="13" t="n"/>
      <c r="J85" s="26" t="n"/>
      <c r="K85" s="13" t="n"/>
      <c r="M85" s="13" t="n"/>
      <c r="N85" s="25" t="n"/>
      <c r="O85" s="13" t="n"/>
    </row>
    <row r="86">
      <c r="A86" s="13" t="n"/>
      <c r="B86" s="25" t="n"/>
      <c r="C86" s="13" t="n"/>
      <c r="E86" s="13" t="n"/>
      <c r="F86" s="25" t="n"/>
      <c r="G86" s="13" t="n"/>
      <c r="I86" s="13" t="n"/>
      <c r="J86" s="26" t="n"/>
      <c r="K86" s="13" t="n"/>
      <c r="M86" s="13" t="n"/>
      <c r="N86" s="25" t="n"/>
      <c r="O86" s="13" t="n"/>
    </row>
    <row r="87">
      <c r="A87" s="13" t="n"/>
      <c r="B87" s="25" t="n"/>
      <c r="C87" s="13" t="n"/>
      <c r="E87" s="13" t="n"/>
      <c r="F87" s="25" t="n"/>
      <c r="G87" s="13" t="n"/>
      <c r="I87" s="13" t="n"/>
      <c r="J87" s="26" t="n"/>
      <c r="K87" s="13" t="n"/>
      <c r="M87" s="13" t="n"/>
      <c r="N87" s="25" t="n"/>
      <c r="O87" s="13" t="n"/>
    </row>
    <row r="88">
      <c r="A88" s="13" t="n"/>
      <c r="B88" s="25" t="n"/>
      <c r="C88" s="13" t="n"/>
      <c r="E88" s="13" t="n"/>
      <c r="F88" s="25" t="n"/>
      <c r="G88" s="13" t="n"/>
      <c r="I88" s="13" t="n"/>
      <c r="J88" s="26" t="n"/>
      <c r="K88" s="13" t="n"/>
      <c r="M88" s="13" t="n"/>
      <c r="N88" s="25" t="n"/>
      <c r="O88" s="13" t="n"/>
    </row>
    <row r="89">
      <c r="A89" s="13" t="n"/>
      <c r="B89" s="25" t="n"/>
      <c r="C89" s="13" t="n"/>
      <c r="E89" s="13" t="n"/>
      <c r="F89" s="25" t="n"/>
      <c r="G89" s="13" t="n"/>
      <c r="I89" s="13" t="n"/>
      <c r="J89" s="26" t="n"/>
      <c r="K89" s="13" t="n"/>
      <c r="M89" s="13" t="n"/>
      <c r="N89" s="25" t="n"/>
      <c r="O89" s="13" t="n"/>
    </row>
    <row r="90">
      <c r="A90" s="13" t="n"/>
      <c r="B90" s="25" t="n"/>
      <c r="C90" s="13" t="n"/>
      <c r="E90" s="13" t="n"/>
      <c r="F90" s="25" t="n"/>
      <c r="G90" s="13" t="n"/>
      <c r="I90" s="13" t="n"/>
      <c r="J90" s="26" t="n"/>
      <c r="K90" s="13" t="n"/>
      <c r="M90" s="13" t="n"/>
      <c r="N90" s="25" t="n"/>
      <c r="O90" s="13" t="n"/>
    </row>
    <row r="91">
      <c r="A91" s="13" t="n"/>
      <c r="B91" s="25" t="n"/>
      <c r="C91" s="13" t="n"/>
      <c r="E91" s="13" t="n"/>
      <c r="F91" s="25" t="n"/>
      <c r="G91" s="13" t="n"/>
      <c r="I91" s="13" t="n"/>
      <c r="J91" s="26" t="n"/>
      <c r="K91" s="13" t="n"/>
      <c r="M91" s="13" t="n"/>
      <c r="N91" s="25" t="n"/>
      <c r="O91" s="13" t="n"/>
    </row>
    <row r="92">
      <c r="A92" s="13" t="n"/>
      <c r="B92" s="25" t="n"/>
      <c r="C92" s="13" t="n"/>
      <c r="E92" s="13" t="n"/>
      <c r="F92" s="25" t="n"/>
      <c r="G92" s="13" t="n"/>
      <c r="I92" s="13" t="n"/>
      <c r="J92" s="26" t="n"/>
      <c r="K92" s="13" t="n"/>
      <c r="M92" s="13" t="n"/>
      <c r="N92" s="25" t="n"/>
      <c r="O92" s="13" t="n"/>
    </row>
    <row r="93">
      <c r="A93" s="13" t="n"/>
      <c r="B93" s="25" t="n"/>
      <c r="C93" s="13" t="n"/>
      <c r="E93" s="13" t="n"/>
      <c r="F93" s="25" t="n"/>
      <c r="G93" s="13" t="n"/>
      <c r="I93" s="13" t="n"/>
      <c r="J93" s="26" t="n"/>
      <c r="K93" s="13" t="n"/>
      <c r="M93" s="13" t="n"/>
      <c r="N93" s="25" t="n"/>
      <c r="O93" s="13" t="n"/>
    </row>
    <row r="94">
      <c r="A94" s="13" t="n"/>
      <c r="B94" s="25" t="n"/>
      <c r="C94" s="13" t="n"/>
      <c r="E94" s="13" t="n"/>
      <c r="F94" s="25" t="n"/>
      <c r="G94" s="13" t="n"/>
      <c r="I94" s="13" t="n"/>
      <c r="J94" s="26" t="n"/>
      <c r="K94" s="13" t="n"/>
      <c r="M94" s="13" t="n"/>
      <c r="N94" s="25" t="n"/>
      <c r="O94" s="13" t="n"/>
    </row>
    <row r="95">
      <c r="A95" s="13" t="n"/>
      <c r="B95" s="25" t="n"/>
      <c r="C95" s="13" t="n"/>
      <c r="E95" s="13" t="n"/>
      <c r="F95" s="25" t="n"/>
      <c r="G95" s="13" t="n"/>
      <c r="I95" s="13" t="n"/>
      <c r="J95" s="26" t="n"/>
      <c r="K95" s="13" t="n"/>
      <c r="M95" s="13" t="n"/>
      <c r="N95" s="25" t="n"/>
      <c r="O95" s="13" t="n"/>
    </row>
    <row r="96">
      <c r="A96" s="13" t="n"/>
      <c r="B96" s="25" t="n"/>
      <c r="C96" s="13" t="n"/>
      <c r="E96" s="13" t="n"/>
      <c r="F96" s="25" t="n"/>
      <c r="G96" s="13" t="n"/>
      <c r="I96" s="13" t="n"/>
      <c r="J96" s="26" t="n"/>
      <c r="K96" s="13" t="n"/>
      <c r="M96" s="13" t="n"/>
      <c r="N96" s="25" t="n"/>
      <c r="O96" s="13" t="n"/>
    </row>
    <row r="97">
      <c r="A97" s="13" t="n"/>
      <c r="B97" s="25" t="n"/>
      <c r="C97" s="13" t="n"/>
      <c r="E97" s="13" t="n"/>
      <c r="F97" s="25" t="n"/>
      <c r="G97" s="13" t="n"/>
      <c r="I97" s="13" t="n"/>
      <c r="J97" s="26" t="n"/>
      <c r="K97" s="13" t="n"/>
      <c r="M97" s="13" t="n"/>
      <c r="N97" s="25" t="n"/>
      <c r="O97" s="13" t="n"/>
    </row>
    <row r="98">
      <c r="A98" s="13" t="n"/>
      <c r="B98" s="25" t="n"/>
      <c r="C98" s="13" t="n"/>
      <c r="E98" s="13" t="n"/>
      <c r="F98" s="25" t="n"/>
      <c r="G98" s="13" t="n"/>
      <c r="I98" s="13" t="n"/>
      <c r="J98" s="26" t="n"/>
      <c r="K98" s="13" t="n"/>
      <c r="M98" s="13" t="n"/>
      <c r="N98" s="25" t="n"/>
      <c r="O98" s="13" t="n"/>
    </row>
    <row r="99">
      <c r="A99" s="13" t="n"/>
      <c r="B99" s="25" t="n"/>
      <c r="C99" s="13" t="n"/>
      <c r="E99" s="13" t="n"/>
      <c r="F99" s="25" t="n"/>
      <c r="G99" s="13" t="n"/>
      <c r="I99" s="13" t="n"/>
      <c r="J99" s="26" t="n"/>
      <c r="K99" s="13" t="n"/>
      <c r="M99" s="13" t="n"/>
      <c r="N99" s="25" t="n"/>
      <c r="O99" s="13" t="n"/>
    </row>
    <row r="100">
      <c r="A100" s="13" t="n"/>
      <c r="B100" s="25" t="n"/>
      <c r="C100" s="13" t="n"/>
      <c r="E100" s="13" t="n"/>
      <c r="F100" s="25" t="n"/>
      <c r="G100" s="13" t="n"/>
      <c r="I100" s="13" t="n"/>
      <c r="J100" s="26" t="n"/>
      <c r="K100" s="13" t="n"/>
      <c r="M100" s="13" t="n"/>
      <c r="N100" s="25" t="n"/>
      <c r="O100" s="13" t="n"/>
    </row>
    <row r="101">
      <c r="A101" s="13" t="n"/>
      <c r="B101" s="25" t="n"/>
      <c r="C101" s="13" t="n"/>
      <c r="E101" s="13" t="n"/>
      <c r="F101" s="25" t="n"/>
      <c r="G101" s="13" t="n"/>
      <c r="I101" s="13" t="n"/>
      <c r="J101" s="26" t="n"/>
      <c r="K101" s="13" t="n"/>
      <c r="M101" s="13" t="n"/>
      <c r="N101" s="25" t="n"/>
      <c r="O101" s="13" t="n"/>
    </row>
    <row r="102">
      <c r="A102" s="13" t="n"/>
      <c r="B102" s="25" t="n"/>
      <c r="C102" s="13" t="n"/>
      <c r="E102" s="13" t="n"/>
      <c r="F102" s="25" t="n"/>
      <c r="G102" s="13" t="n"/>
      <c r="I102" s="13" t="n"/>
      <c r="J102" s="26" t="n"/>
      <c r="K102" s="13" t="n"/>
      <c r="M102" s="13" t="n"/>
      <c r="N102" s="25" t="n"/>
      <c r="O102" s="13" t="n"/>
    </row>
    <row r="103">
      <c r="A103" s="13" t="n"/>
      <c r="B103" s="25" t="n"/>
      <c r="C103" s="13" t="n"/>
      <c r="E103" s="13" t="n"/>
      <c r="F103" s="25" t="n"/>
      <c r="G103" s="13" t="n"/>
      <c r="I103" s="13" t="n"/>
      <c r="J103" s="26" t="n"/>
      <c r="K103" s="13" t="n"/>
      <c r="M103" s="13" t="n"/>
      <c r="N103" s="25" t="n"/>
      <c r="O103" s="13" t="n"/>
    </row>
    <row r="104">
      <c r="A104" s="13" t="n"/>
      <c r="B104" s="25" t="n"/>
      <c r="C104" s="13" t="n"/>
      <c r="E104" s="13" t="n"/>
      <c r="F104" s="25" t="n"/>
      <c r="G104" s="13" t="n"/>
      <c r="I104" s="13" t="n"/>
      <c r="J104" s="26" t="n"/>
      <c r="K104" s="13" t="n"/>
      <c r="M104" s="13" t="n"/>
      <c r="N104" s="25" t="n"/>
      <c r="O104" s="13" t="n"/>
    </row>
    <row r="105">
      <c r="A105" s="13" t="n"/>
      <c r="B105" s="25" t="n"/>
      <c r="C105" s="13" t="n"/>
      <c r="E105" s="13" t="n"/>
      <c r="F105" s="25" t="n"/>
      <c r="G105" s="13" t="n"/>
      <c r="I105" s="13" t="n"/>
      <c r="J105" s="26" t="n"/>
      <c r="K105" s="13" t="n"/>
      <c r="M105" s="13" t="n"/>
      <c r="N105" s="25" t="n"/>
      <c r="O105" s="13" t="n"/>
    </row>
    <row r="106">
      <c r="A106" s="13" t="n"/>
      <c r="B106" s="25" t="n"/>
      <c r="C106" s="13" t="n"/>
      <c r="E106" s="13" t="n"/>
      <c r="F106" s="25" t="n"/>
      <c r="G106" s="13" t="n"/>
      <c r="I106" s="13" t="n"/>
      <c r="J106" s="26" t="n"/>
      <c r="K106" s="13" t="n"/>
      <c r="M106" s="13" t="n"/>
      <c r="N106" s="25" t="n"/>
      <c r="O106" s="13" t="n"/>
    </row>
    <row r="107">
      <c r="A107" s="13" t="n"/>
      <c r="B107" s="25" t="n"/>
      <c r="C107" s="13" t="n"/>
      <c r="E107" s="13" t="n"/>
      <c r="F107" s="25" t="n"/>
      <c r="G107" s="13" t="n"/>
      <c r="I107" s="13" t="n"/>
      <c r="J107" s="26" t="n"/>
      <c r="K107" s="13" t="n"/>
      <c r="M107" s="13" t="n"/>
      <c r="N107" s="25" t="n"/>
      <c r="O107" s="13" t="n"/>
    </row>
    <row r="108">
      <c r="A108" s="13" t="n"/>
      <c r="B108" s="25" t="n"/>
      <c r="C108" s="13" t="n"/>
      <c r="E108" s="13" t="n"/>
      <c r="F108" s="25" t="n"/>
      <c r="G108" s="13" t="n"/>
      <c r="I108" s="13" t="n"/>
      <c r="J108" s="26" t="n"/>
      <c r="K108" s="13" t="n"/>
      <c r="M108" s="13" t="n"/>
      <c r="N108" s="25" t="n"/>
      <c r="O108" s="13" t="n"/>
    </row>
    <row r="109">
      <c r="A109" s="13" t="n"/>
      <c r="B109" s="25" t="n"/>
      <c r="C109" s="13" t="n"/>
      <c r="E109" s="13" t="n"/>
      <c r="F109" s="25" t="n"/>
      <c r="G109" s="13" t="n"/>
      <c r="I109" s="13" t="n"/>
      <c r="J109" s="26" t="n"/>
      <c r="K109" s="13" t="n"/>
      <c r="M109" s="13" t="n"/>
      <c r="N109" s="25" t="n"/>
      <c r="O109" s="13" t="n"/>
    </row>
    <row r="110">
      <c r="A110" s="13" t="n"/>
      <c r="B110" s="25" t="n"/>
      <c r="C110" s="13" t="n"/>
      <c r="E110" s="13" t="n"/>
      <c r="F110" s="25" t="n"/>
      <c r="G110" s="13" t="n"/>
      <c r="I110" s="13" t="n"/>
      <c r="J110" s="26" t="n"/>
      <c r="K110" s="13" t="n"/>
      <c r="M110" s="13" t="n"/>
      <c r="N110" s="25" t="n"/>
      <c r="O110" s="13" t="n"/>
    </row>
    <row r="111">
      <c r="A111" s="13" t="n"/>
      <c r="B111" s="25" t="n"/>
      <c r="C111" s="13" t="n"/>
      <c r="E111" s="13" t="n"/>
      <c r="F111" s="25" t="n"/>
      <c r="G111" s="13" t="n"/>
      <c r="I111" s="13" t="n"/>
      <c r="J111" s="26" t="n"/>
      <c r="K111" s="13" t="n"/>
      <c r="M111" s="13" t="n"/>
      <c r="N111" s="25" t="n"/>
      <c r="O111" s="13" t="n"/>
    </row>
    <row r="112">
      <c r="A112" s="13" t="n"/>
      <c r="B112" s="25" t="n"/>
      <c r="C112" s="13" t="n"/>
      <c r="E112" s="13" t="n"/>
      <c r="F112" s="25" t="n"/>
      <c r="G112" s="13" t="n"/>
      <c r="I112" s="13" t="n"/>
      <c r="J112" s="26" t="n"/>
      <c r="K112" s="13" t="n"/>
      <c r="M112" s="13" t="n"/>
      <c r="N112" s="25" t="n"/>
      <c r="O112" s="13" t="n"/>
    </row>
    <row r="113">
      <c r="A113" s="13" t="n"/>
      <c r="B113" s="25" t="n"/>
      <c r="C113" s="13" t="n"/>
      <c r="E113" s="13" t="n"/>
      <c r="F113" s="25" t="n"/>
      <c r="G113" s="13" t="n"/>
      <c r="I113" s="13" t="n"/>
      <c r="J113" s="26" t="n"/>
      <c r="K113" s="13" t="n"/>
      <c r="M113" s="13" t="n"/>
      <c r="N113" s="25" t="n"/>
      <c r="O113" s="13" t="n"/>
    </row>
    <row r="114">
      <c r="A114" s="13" t="n"/>
      <c r="B114" s="25" t="n"/>
      <c r="C114" s="13" t="n"/>
      <c r="E114" s="13" t="n"/>
      <c r="F114" s="25" t="n"/>
      <c r="G114" s="13" t="n"/>
      <c r="I114" s="13" t="n"/>
      <c r="J114" s="26" t="n"/>
      <c r="K114" s="13" t="n"/>
      <c r="M114" s="13" t="n"/>
      <c r="N114" s="25" t="n"/>
      <c r="O114" s="13" t="n"/>
    </row>
    <row r="115">
      <c r="A115" s="13" t="n"/>
      <c r="B115" s="25" t="n"/>
      <c r="C115" s="13" t="n"/>
      <c r="E115" s="13" t="n"/>
      <c r="F115" s="25" t="n"/>
      <c r="G115" s="13" t="n"/>
      <c r="I115" s="13" t="n"/>
      <c r="J115" s="26" t="n"/>
      <c r="K115" s="13" t="n"/>
      <c r="M115" s="13" t="n"/>
      <c r="N115" s="25" t="n"/>
      <c r="O115" s="13" t="n"/>
    </row>
    <row r="116">
      <c r="A116" s="13" t="n"/>
      <c r="B116" s="25" t="n"/>
      <c r="C116" s="13" t="n"/>
      <c r="E116" s="13" t="n"/>
      <c r="F116" s="25" t="n"/>
      <c r="G116" s="13" t="n"/>
      <c r="I116" s="13" t="n"/>
      <c r="J116" s="26" t="n"/>
      <c r="K116" s="13" t="n"/>
      <c r="M116" s="13" t="n"/>
      <c r="N116" s="25" t="n"/>
      <c r="O116" s="13" t="n"/>
    </row>
    <row r="117">
      <c r="A117" s="13" t="n"/>
      <c r="B117" s="25" t="n"/>
      <c r="C117" s="13" t="n"/>
      <c r="E117" s="13" t="n"/>
      <c r="F117" s="25" t="n"/>
      <c r="G117" s="13" t="n"/>
      <c r="I117" s="13" t="n"/>
      <c r="J117" s="26" t="n"/>
      <c r="K117" s="13" t="n"/>
      <c r="M117" s="13" t="n"/>
      <c r="N117" s="25" t="n"/>
      <c r="O117" s="13" t="n"/>
    </row>
    <row r="118">
      <c r="A118" s="13" t="n"/>
      <c r="B118" s="25" t="n"/>
      <c r="C118" s="13" t="n"/>
      <c r="E118" s="13" t="n"/>
      <c r="F118" s="25" t="n"/>
      <c r="G118" s="13" t="n"/>
      <c r="I118" s="13" t="n"/>
      <c r="J118" s="26" t="n"/>
      <c r="K118" s="13" t="n"/>
      <c r="M118" s="13" t="n"/>
      <c r="N118" s="25" t="n"/>
      <c r="O118" s="13" t="n"/>
    </row>
    <row r="119">
      <c r="A119" s="13" t="n"/>
      <c r="B119" s="25" t="n"/>
      <c r="C119" s="13" t="n"/>
      <c r="E119" s="13" t="n"/>
      <c r="F119" s="25" t="n"/>
      <c r="G119" s="13" t="n"/>
      <c r="I119" s="13" t="n"/>
      <c r="J119" s="26" t="n"/>
      <c r="K119" s="13" t="n"/>
      <c r="M119" s="13" t="n"/>
      <c r="N119" s="25" t="n"/>
      <c r="O119" s="13" t="n"/>
    </row>
    <row r="120">
      <c r="A120" s="13" t="n"/>
      <c r="B120" s="25" t="n"/>
      <c r="C120" s="13" t="n"/>
      <c r="E120" s="13" t="n"/>
      <c r="F120" s="25" t="n"/>
      <c r="G120" s="13" t="n"/>
      <c r="I120" s="13" t="n"/>
      <c r="J120" s="26" t="n"/>
      <c r="K120" s="13" t="n"/>
      <c r="M120" s="13" t="n"/>
      <c r="N120" s="25" t="n"/>
      <c r="O120" s="13" t="n"/>
    </row>
    <row r="121">
      <c r="A121" s="13" t="n"/>
      <c r="B121" s="25" t="n"/>
      <c r="C121" s="13" t="n"/>
      <c r="E121" s="13" t="n"/>
      <c r="F121" s="25" t="n"/>
      <c r="G121" s="13" t="n"/>
      <c r="I121" s="13" t="n"/>
      <c r="J121" s="26" t="n"/>
      <c r="K121" s="13" t="n"/>
      <c r="M121" s="13" t="n"/>
      <c r="N121" s="25" t="n"/>
      <c r="O121" s="13" t="n"/>
    </row>
    <row r="122">
      <c r="A122" s="13" t="n"/>
      <c r="B122" s="25" t="n"/>
      <c r="C122" s="13" t="n"/>
      <c r="E122" s="13" t="n"/>
      <c r="F122" s="25" t="n"/>
      <c r="G122" s="13" t="n"/>
      <c r="I122" s="13" t="n"/>
      <c r="J122" s="26" t="n"/>
      <c r="K122" s="13" t="n"/>
      <c r="M122" s="13" t="n"/>
      <c r="N122" s="25" t="n"/>
      <c r="O122" s="13" t="n"/>
    </row>
    <row r="123">
      <c r="A123" s="13" t="n"/>
      <c r="B123" s="25" t="n"/>
      <c r="C123" s="13" t="n"/>
      <c r="E123" s="13" t="n"/>
      <c r="F123" s="25" t="n"/>
      <c r="G123" s="13" t="n"/>
      <c r="I123" s="13" t="n"/>
      <c r="J123" s="26" t="n"/>
      <c r="K123" s="13" t="n"/>
      <c r="M123" s="13" t="n"/>
      <c r="N123" s="25" t="n"/>
      <c r="O123" s="13" t="n"/>
    </row>
    <row r="124">
      <c r="A124" s="13" t="n"/>
      <c r="B124" s="25" t="n"/>
      <c r="C124" s="13" t="n"/>
      <c r="E124" s="13" t="n"/>
      <c r="F124" s="25" t="n"/>
      <c r="G124" s="13" t="n"/>
      <c r="I124" s="13" t="n"/>
      <c r="J124" s="26" t="n"/>
      <c r="K124" s="13" t="n"/>
      <c r="M124" s="13" t="n"/>
      <c r="N124" s="25" t="n"/>
      <c r="O124" s="13" t="n"/>
    </row>
    <row r="125">
      <c r="A125" s="13" t="n"/>
      <c r="B125" s="25" t="n"/>
      <c r="C125" s="13" t="n"/>
      <c r="E125" s="13" t="n"/>
      <c r="F125" s="25" t="n"/>
      <c r="G125" s="13" t="n"/>
      <c r="I125" s="13" t="n"/>
      <c r="J125" s="26" t="n"/>
      <c r="K125" s="13" t="n"/>
      <c r="M125" s="13" t="n"/>
      <c r="N125" s="25" t="n"/>
      <c r="O125" s="13" t="n"/>
    </row>
    <row r="126">
      <c r="A126" s="13" t="n"/>
      <c r="B126" s="25" t="n"/>
      <c r="C126" s="13" t="n"/>
      <c r="E126" s="13" t="n"/>
      <c r="F126" s="25" t="n"/>
      <c r="G126" s="13" t="n"/>
      <c r="I126" s="13" t="n"/>
      <c r="J126" s="26" t="n"/>
      <c r="K126" s="13" t="n"/>
      <c r="M126" s="13" t="n"/>
      <c r="N126" s="25" t="n"/>
      <c r="O126" s="13" t="n"/>
    </row>
    <row r="127">
      <c r="A127" s="13" t="n"/>
      <c r="B127" s="25" t="n"/>
      <c r="C127" s="13" t="n"/>
      <c r="E127" s="13" t="n"/>
      <c r="F127" s="25" t="n"/>
      <c r="G127" s="13" t="n"/>
      <c r="I127" s="13" t="n"/>
      <c r="J127" s="26" t="n"/>
      <c r="K127" s="13" t="n"/>
      <c r="M127" s="13" t="n"/>
      <c r="N127" s="25" t="n"/>
      <c r="O127" s="13" t="n"/>
    </row>
    <row r="128">
      <c r="A128" s="13" t="n"/>
      <c r="B128" s="25" t="n"/>
      <c r="C128" s="13" t="n"/>
      <c r="E128" s="13" t="n"/>
      <c r="F128" s="25" t="n"/>
      <c r="G128" s="13" t="n"/>
      <c r="I128" s="13" t="n"/>
      <c r="J128" s="26" t="n"/>
      <c r="K128" s="13" t="n"/>
      <c r="M128" s="13" t="n"/>
      <c r="N128" s="25" t="n"/>
      <c r="O128" s="13" t="n"/>
    </row>
    <row r="129">
      <c r="A129" s="13" t="n"/>
      <c r="B129" s="25" t="n"/>
      <c r="C129" s="13" t="n"/>
      <c r="E129" s="13" t="n"/>
      <c r="F129" s="25" t="n"/>
      <c r="G129" s="13" t="n"/>
      <c r="I129" s="13" t="n"/>
      <c r="J129" s="26" t="n"/>
      <c r="K129" s="13" t="n"/>
      <c r="M129" s="13" t="n"/>
      <c r="N129" s="25" t="n"/>
      <c r="O129" s="13" t="n"/>
    </row>
    <row r="130">
      <c r="A130" s="13" t="n"/>
      <c r="B130" s="25" t="n"/>
      <c r="C130" s="13" t="n"/>
      <c r="E130" s="13" t="n"/>
      <c r="F130" s="25" t="n"/>
      <c r="G130" s="13" t="n"/>
      <c r="I130" s="13" t="n"/>
      <c r="J130" s="26" t="n"/>
      <c r="K130" s="13" t="n"/>
      <c r="M130" s="13" t="n"/>
      <c r="N130" s="25" t="n"/>
      <c r="O130" s="13" t="n"/>
    </row>
    <row r="131">
      <c r="A131" s="13" t="n"/>
      <c r="B131" s="25" t="n"/>
      <c r="C131" s="13" t="n"/>
      <c r="E131" s="13" t="n"/>
      <c r="F131" s="25" t="n"/>
      <c r="G131" s="13" t="n"/>
      <c r="I131" s="13" t="n"/>
      <c r="J131" s="26" t="n"/>
      <c r="K131" s="13" t="n"/>
      <c r="M131" s="13" t="n"/>
      <c r="N131" s="25" t="n"/>
      <c r="O131" s="13" t="n"/>
    </row>
    <row r="132">
      <c r="A132" s="13" t="n"/>
      <c r="B132" s="25" t="n"/>
      <c r="C132" s="13" t="n"/>
      <c r="E132" s="13" t="n"/>
      <c r="F132" s="25" t="n"/>
      <c r="G132" s="13" t="n"/>
      <c r="I132" s="13" t="n"/>
      <c r="J132" s="26" t="n"/>
      <c r="K132" s="13" t="n"/>
      <c r="M132" s="13" t="n"/>
      <c r="N132" s="25" t="n"/>
      <c r="O132" s="13" t="n"/>
    </row>
    <row r="133">
      <c r="A133" s="13" t="n"/>
      <c r="B133" s="25" t="n"/>
      <c r="C133" s="13" t="n"/>
      <c r="E133" s="13" t="n"/>
      <c r="F133" s="25" t="n"/>
      <c r="G133" s="13" t="n"/>
      <c r="I133" s="13" t="n"/>
      <c r="J133" s="26" t="n"/>
      <c r="K133" s="13" t="n"/>
      <c r="M133" s="13" t="n"/>
      <c r="N133" s="25" t="n"/>
      <c r="O133" s="13" t="n"/>
    </row>
    <row r="134">
      <c r="A134" s="13" t="n"/>
      <c r="B134" s="25" t="n"/>
      <c r="C134" s="13" t="n"/>
      <c r="E134" s="13" t="n"/>
      <c r="F134" s="25" t="n"/>
      <c r="G134" s="13" t="n"/>
      <c r="I134" s="13" t="n"/>
      <c r="J134" s="26" t="n"/>
      <c r="K134" s="13" t="n"/>
      <c r="M134" s="13" t="n"/>
      <c r="N134" s="25" t="n"/>
      <c r="O134" s="13" t="n"/>
    </row>
    <row r="135">
      <c r="A135" s="13" t="n"/>
      <c r="B135" s="25" t="n"/>
      <c r="C135" s="13" t="n"/>
      <c r="E135" s="13" t="n"/>
      <c r="F135" s="25" t="n"/>
      <c r="G135" s="13" t="n"/>
      <c r="I135" s="13" t="n"/>
      <c r="J135" s="26" t="n"/>
      <c r="K135" s="13" t="n"/>
      <c r="M135" s="13" t="n"/>
      <c r="N135" s="25" t="n"/>
      <c r="O135" s="13" t="n"/>
    </row>
    <row r="136">
      <c r="A136" s="13" t="n"/>
      <c r="B136" s="25" t="n"/>
      <c r="C136" s="13" t="n"/>
      <c r="E136" s="13" t="n"/>
      <c r="F136" s="25" t="n"/>
      <c r="G136" s="13" t="n"/>
      <c r="I136" s="13" t="n"/>
      <c r="J136" s="26" t="n"/>
      <c r="K136" s="13" t="n"/>
      <c r="M136" s="13" t="n"/>
      <c r="N136" s="25" t="n"/>
      <c r="O136" s="13" t="n"/>
    </row>
    <row r="137">
      <c r="A137" s="13" t="n"/>
      <c r="B137" s="25" t="n"/>
      <c r="C137" s="13" t="n"/>
      <c r="E137" s="13" t="n"/>
      <c r="F137" s="25" t="n"/>
      <c r="G137" s="13" t="n"/>
      <c r="I137" s="13" t="n"/>
      <c r="J137" s="26" t="n"/>
      <c r="K137" s="13" t="n"/>
      <c r="M137" s="13" t="n"/>
      <c r="N137" s="25" t="n"/>
      <c r="O137" s="13" t="n"/>
    </row>
    <row r="138">
      <c r="A138" s="13" t="n"/>
      <c r="B138" s="25" t="n"/>
      <c r="C138" s="13" t="n"/>
      <c r="E138" s="13" t="n"/>
      <c r="F138" s="25" t="n"/>
      <c r="G138" s="13" t="n"/>
      <c r="I138" s="13" t="n"/>
      <c r="J138" s="26" t="n"/>
      <c r="K138" s="13" t="n"/>
      <c r="M138" s="13" t="n"/>
      <c r="N138" s="25" t="n"/>
      <c r="O138" s="13" t="n"/>
    </row>
    <row r="139">
      <c r="A139" s="13" t="n"/>
      <c r="B139" s="25" t="n"/>
      <c r="C139" s="13" t="n"/>
      <c r="E139" s="13" t="n"/>
      <c r="F139" s="25" t="n"/>
      <c r="G139" s="13" t="n"/>
      <c r="I139" s="13" t="n"/>
      <c r="J139" s="26" t="n"/>
      <c r="K139" s="13" t="n"/>
      <c r="M139" s="13" t="n"/>
      <c r="N139" s="25" t="n"/>
      <c r="O139" s="13" t="n"/>
    </row>
    <row r="140">
      <c r="A140" s="13" t="n"/>
      <c r="B140" s="25" t="n"/>
      <c r="C140" s="13" t="n"/>
      <c r="E140" s="13" t="n"/>
      <c r="F140" s="25" t="n"/>
      <c r="G140" s="13" t="n"/>
      <c r="I140" s="13" t="n"/>
      <c r="J140" s="26" t="n"/>
      <c r="K140" s="13" t="n"/>
      <c r="M140" s="13" t="n"/>
      <c r="N140" s="25" t="n"/>
      <c r="O140" s="13" t="n"/>
    </row>
    <row r="141">
      <c r="A141" s="13" t="n"/>
      <c r="B141" s="25" t="n"/>
      <c r="C141" s="13" t="n"/>
      <c r="E141" s="13" t="n"/>
      <c r="F141" s="25" t="n"/>
      <c r="G141" s="13" t="n"/>
      <c r="I141" s="13" t="n"/>
      <c r="J141" s="26" t="n"/>
      <c r="K141" s="13" t="n"/>
      <c r="M141" s="13" t="n"/>
      <c r="N141" s="25" t="n"/>
      <c r="O141" s="13" t="n"/>
    </row>
    <row r="142">
      <c r="A142" s="13" t="n"/>
      <c r="B142" s="25" t="n"/>
      <c r="C142" s="13" t="n"/>
      <c r="E142" s="13" t="n"/>
      <c r="F142" s="25" t="n"/>
      <c r="G142" s="13" t="n"/>
      <c r="I142" s="13" t="n"/>
      <c r="J142" s="26" t="n"/>
      <c r="K142" s="13" t="n"/>
      <c r="M142" s="13" t="n"/>
      <c r="N142" s="25" t="n"/>
      <c r="O142" s="13" t="n"/>
    </row>
    <row r="143">
      <c r="A143" s="13" t="n"/>
      <c r="B143" s="25" t="n"/>
      <c r="C143" s="13" t="n"/>
      <c r="E143" s="13" t="n"/>
      <c r="F143" s="25" t="n"/>
      <c r="G143" s="13" t="n"/>
      <c r="I143" s="13" t="n"/>
      <c r="J143" s="26" t="n"/>
      <c r="K143" s="13" t="n"/>
      <c r="M143" s="13" t="n"/>
      <c r="N143" s="25" t="n"/>
      <c r="O143" s="13" t="n"/>
    </row>
    <row r="144">
      <c r="A144" s="13" t="n"/>
      <c r="B144" s="25" t="n"/>
      <c r="C144" s="13" t="n"/>
      <c r="E144" s="13" t="n"/>
      <c r="F144" s="25" t="n"/>
      <c r="G144" s="13" t="n"/>
      <c r="I144" s="13" t="n"/>
      <c r="J144" s="26" t="n"/>
      <c r="K144" s="13" t="n"/>
      <c r="M144" s="13" t="n"/>
      <c r="N144" s="25" t="n"/>
      <c r="O144" s="13" t="n"/>
    </row>
    <row r="145">
      <c r="A145" s="13" t="n"/>
      <c r="B145" s="25" t="n"/>
      <c r="C145" s="13" t="n"/>
      <c r="E145" s="13" t="n"/>
      <c r="F145" s="25" t="n"/>
      <c r="G145" s="13" t="n"/>
      <c r="I145" s="13" t="n"/>
      <c r="J145" s="26" t="n"/>
      <c r="K145" s="13" t="n"/>
      <c r="M145" s="13" t="n"/>
      <c r="N145" s="25" t="n"/>
      <c r="O145" s="13" t="n"/>
    </row>
    <row r="146">
      <c r="A146" s="13" t="n"/>
      <c r="B146" s="25" t="n"/>
      <c r="C146" s="13" t="n"/>
      <c r="E146" s="13" t="n"/>
      <c r="F146" s="25" t="n"/>
      <c r="G146" s="13" t="n"/>
      <c r="I146" s="13" t="n"/>
      <c r="J146" s="26" t="n"/>
      <c r="K146" s="13" t="n"/>
      <c r="M146" s="13" t="n"/>
      <c r="N146" s="25" t="n"/>
      <c r="O146" s="13" t="n"/>
    </row>
    <row r="147">
      <c r="A147" s="13" t="n"/>
      <c r="B147" s="25" t="n"/>
      <c r="C147" s="13" t="n"/>
      <c r="E147" s="13" t="n"/>
      <c r="F147" s="25" t="n"/>
      <c r="G147" s="13" t="n"/>
      <c r="I147" s="13" t="n"/>
      <c r="J147" s="26" t="n"/>
      <c r="K147" s="13" t="n"/>
      <c r="M147" s="13" t="n"/>
      <c r="N147" s="25" t="n"/>
      <c r="O147" s="13" t="n"/>
    </row>
    <row r="148">
      <c r="A148" s="13" t="n"/>
      <c r="B148" s="25" t="n"/>
      <c r="C148" s="13" t="n"/>
      <c r="E148" s="13" t="n"/>
      <c r="F148" s="25" t="n"/>
      <c r="G148" s="13" t="n"/>
      <c r="I148" s="13" t="n"/>
      <c r="J148" s="26" t="n"/>
      <c r="K148" s="13" t="n"/>
      <c r="M148" s="13" t="n"/>
      <c r="N148" s="25" t="n"/>
      <c r="O148" s="13" t="n"/>
    </row>
    <row r="149">
      <c r="A149" s="13" t="n"/>
      <c r="B149" s="25" t="n"/>
      <c r="C149" s="13" t="n"/>
      <c r="E149" s="13" t="n"/>
      <c r="F149" s="25" t="n"/>
      <c r="G149" s="13" t="n"/>
      <c r="I149" s="13" t="n"/>
      <c r="J149" s="26" t="n"/>
      <c r="K149" s="13" t="n"/>
      <c r="M149" s="13" t="n"/>
      <c r="N149" s="25" t="n"/>
      <c r="O149" s="13" t="n"/>
    </row>
    <row r="150">
      <c r="A150" s="13" t="n"/>
      <c r="B150" s="25" t="n"/>
      <c r="C150" s="13" t="n"/>
      <c r="E150" s="13" t="n"/>
      <c r="F150" s="25" t="n"/>
      <c r="G150" s="13" t="n"/>
      <c r="I150" s="13" t="n"/>
      <c r="J150" s="26" t="n"/>
      <c r="K150" s="13" t="n"/>
      <c r="M150" s="13" t="n"/>
      <c r="N150" s="25" t="n"/>
      <c r="O150" s="13" t="n"/>
    </row>
    <row r="151">
      <c r="A151" s="13" t="n"/>
      <c r="B151" s="25" t="n"/>
      <c r="C151" s="13" t="n"/>
      <c r="E151" s="13" t="n"/>
      <c r="F151" s="25" t="n"/>
      <c r="G151" s="13" t="n"/>
      <c r="I151" s="13" t="n"/>
      <c r="J151" s="26" t="n"/>
      <c r="K151" s="13" t="n"/>
      <c r="M151" s="13" t="n"/>
      <c r="N151" s="25" t="n"/>
      <c r="O151" s="13" t="n"/>
    </row>
    <row r="152">
      <c r="A152" s="13" t="n"/>
      <c r="B152" s="25" t="n"/>
      <c r="C152" s="13" t="n"/>
      <c r="E152" s="13" t="n"/>
      <c r="F152" s="25" t="n"/>
      <c r="G152" s="13" t="n"/>
      <c r="I152" s="13" t="n"/>
      <c r="J152" s="26" t="n"/>
      <c r="K152" s="13" t="n"/>
      <c r="M152" s="13" t="n"/>
      <c r="N152" s="25" t="n"/>
      <c r="O152" s="13" t="n"/>
    </row>
    <row r="153">
      <c r="A153" s="13" t="n"/>
      <c r="B153" s="25" t="n"/>
      <c r="C153" s="13" t="n"/>
      <c r="E153" s="13" t="n"/>
      <c r="F153" s="25" t="n"/>
      <c r="G153" s="13" t="n"/>
      <c r="I153" s="13" t="n"/>
      <c r="J153" s="26" t="n"/>
      <c r="K153" s="13" t="n"/>
      <c r="M153" s="13" t="n"/>
      <c r="N153" s="25" t="n"/>
      <c r="O153" s="13" t="n"/>
    </row>
    <row r="154">
      <c r="A154" s="13" t="n"/>
      <c r="B154" s="25" t="n"/>
      <c r="C154" s="13" t="n"/>
      <c r="E154" s="13" t="n"/>
      <c r="F154" s="25" t="n"/>
      <c r="G154" s="13" t="n"/>
      <c r="I154" s="13" t="n"/>
      <c r="J154" s="26" t="n"/>
      <c r="K154" s="13" t="n"/>
      <c r="M154" s="13" t="n"/>
      <c r="N154" s="25" t="n"/>
      <c r="O154" s="13" t="n"/>
    </row>
    <row r="155">
      <c r="A155" s="13" t="n"/>
      <c r="B155" s="25" t="n"/>
      <c r="C155" s="13" t="n"/>
      <c r="E155" s="13" t="n"/>
      <c r="F155" s="25" t="n"/>
      <c r="G155" s="13" t="n"/>
      <c r="I155" s="13" t="n"/>
      <c r="J155" s="26" t="n"/>
      <c r="K155" s="13" t="n"/>
      <c r="M155" s="13" t="n"/>
      <c r="N155" s="25" t="n"/>
      <c r="O155" s="13" t="n"/>
    </row>
    <row r="156">
      <c r="A156" s="13" t="n"/>
      <c r="B156" s="25" t="n"/>
      <c r="C156" s="13" t="n"/>
      <c r="E156" s="13" t="n"/>
      <c r="F156" s="25" t="n"/>
      <c r="G156" s="13" t="n"/>
      <c r="I156" s="13" t="n"/>
      <c r="J156" s="26" t="n"/>
      <c r="K156" s="13" t="n"/>
      <c r="M156" s="13" t="n"/>
      <c r="N156" s="25" t="n"/>
      <c r="O156" s="13" t="n"/>
    </row>
    <row r="157">
      <c r="A157" s="13" t="n"/>
      <c r="B157" s="25" t="n"/>
      <c r="C157" s="13" t="n"/>
      <c r="E157" s="13" t="n"/>
      <c r="F157" s="25" t="n"/>
      <c r="G157" s="13" t="n"/>
      <c r="I157" s="13" t="n"/>
      <c r="J157" s="26" t="n"/>
      <c r="K157" s="13" t="n"/>
      <c r="M157" s="13" t="n"/>
      <c r="N157" s="25" t="n"/>
      <c r="O157" s="13" t="n"/>
    </row>
    <row r="158">
      <c r="A158" s="13" t="n"/>
      <c r="B158" s="25" t="n"/>
      <c r="C158" s="13" t="n"/>
      <c r="E158" s="13" t="n"/>
      <c r="F158" s="25" t="n"/>
      <c r="G158" s="13" t="n"/>
      <c r="I158" s="13" t="n"/>
      <c r="J158" s="26" t="n"/>
      <c r="K158" s="13" t="n"/>
      <c r="M158" s="13" t="n"/>
      <c r="N158" s="25" t="n"/>
      <c r="O158" s="13" t="n"/>
    </row>
    <row r="159">
      <c r="A159" s="13" t="n"/>
      <c r="B159" s="25" t="n"/>
      <c r="C159" s="13" t="n"/>
      <c r="E159" s="13" t="n"/>
      <c r="F159" s="25" t="n"/>
      <c r="G159" s="13" t="n"/>
      <c r="I159" s="13" t="n"/>
      <c r="J159" s="26" t="n"/>
      <c r="K159" s="13" t="n"/>
      <c r="M159" s="13" t="n"/>
      <c r="N159" s="25" t="n"/>
      <c r="O159" s="13" t="n"/>
    </row>
    <row r="160">
      <c r="A160" s="13" t="n"/>
      <c r="B160" s="25" t="n"/>
      <c r="C160" s="13" t="n"/>
      <c r="E160" s="13" t="n"/>
      <c r="F160" s="25" t="n"/>
      <c r="G160" s="13" t="n"/>
      <c r="I160" s="13" t="n"/>
      <c r="J160" s="26" t="n"/>
      <c r="K160" s="13" t="n"/>
      <c r="M160" s="13" t="n"/>
      <c r="N160" s="25" t="n"/>
      <c r="O160" s="13" t="n"/>
    </row>
    <row r="161">
      <c r="A161" s="13" t="n"/>
      <c r="B161" s="25" t="n"/>
      <c r="C161" s="13" t="n"/>
      <c r="E161" s="13" t="n"/>
      <c r="F161" s="25" t="n"/>
      <c r="G161" s="13" t="n"/>
      <c r="I161" s="13" t="n"/>
      <c r="J161" s="26" t="n"/>
      <c r="K161" s="13" t="n"/>
      <c r="M161" s="13" t="n"/>
      <c r="N161" s="25" t="n"/>
      <c r="O161" s="13" t="n"/>
    </row>
    <row r="162">
      <c r="A162" s="13" t="n"/>
      <c r="B162" s="25" t="n"/>
      <c r="C162" s="13" t="n"/>
      <c r="E162" s="13" t="n"/>
      <c r="F162" s="25" t="n"/>
      <c r="G162" s="13" t="n"/>
      <c r="I162" s="13" t="n"/>
      <c r="J162" s="26" t="n"/>
      <c r="K162" s="13" t="n"/>
      <c r="M162" s="13" t="n"/>
      <c r="N162" s="25" t="n"/>
      <c r="O162" s="13" t="n"/>
    </row>
    <row r="163">
      <c r="A163" s="13" t="n"/>
      <c r="B163" s="25" t="n"/>
      <c r="C163" s="13" t="n"/>
      <c r="E163" s="13" t="n"/>
      <c r="F163" s="25" t="n"/>
      <c r="G163" s="13" t="n"/>
      <c r="I163" s="13" t="n"/>
      <c r="J163" s="26" t="n"/>
      <c r="K163" s="13" t="n"/>
      <c r="M163" s="13" t="n"/>
      <c r="N163" s="25" t="n"/>
      <c r="O163" s="13" t="n"/>
    </row>
    <row r="164">
      <c r="A164" s="13" t="n"/>
      <c r="B164" s="25" t="n"/>
      <c r="C164" s="13" t="n"/>
      <c r="E164" s="13" t="n"/>
      <c r="F164" s="25" t="n"/>
      <c r="G164" s="13" t="n"/>
      <c r="I164" s="13" t="n"/>
      <c r="J164" s="26" t="n"/>
      <c r="K164" s="13" t="n"/>
      <c r="M164" s="13" t="n"/>
      <c r="N164" s="25" t="n"/>
      <c r="O164" s="13" t="n"/>
    </row>
    <row r="165">
      <c r="A165" s="13" t="n"/>
      <c r="B165" s="25" t="n"/>
      <c r="C165" s="13" t="n"/>
      <c r="E165" s="13" t="n"/>
      <c r="F165" s="25" t="n"/>
      <c r="G165" s="13" t="n"/>
      <c r="I165" s="13" t="n"/>
      <c r="J165" s="26" t="n"/>
      <c r="K165" s="13" t="n"/>
      <c r="M165" s="13" t="n"/>
      <c r="N165" s="25" t="n"/>
      <c r="O165" s="13" t="n"/>
    </row>
    <row r="166">
      <c r="A166" s="13" t="n"/>
      <c r="B166" s="25" t="n"/>
      <c r="C166" s="13" t="n"/>
      <c r="E166" s="13" t="n"/>
      <c r="F166" s="25" t="n"/>
      <c r="G166" s="13" t="n"/>
      <c r="I166" s="13" t="n"/>
      <c r="J166" s="26" t="n"/>
      <c r="K166" s="13" t="n"/>
      <c r="M166" s="13" t="n"/>
      <c r="N166" s="25" t="n"/>
      <c r="O166" s="13" t="n"/>
    </row>
    <row r="167">
      <c r="A167" s="13" t="n"/>
      <c r="B167" s="25" t="n"/>
      <c r="C167" s="13" t="n"/>
      <c r="E167" s="13" t="n"/>
      <c r="F167" s="25" t="n"/>
      <c r="G167" s="13" t="n"/>
      <c r="I167" s="13" t="n"/>
      <c r="J167" s="26" t="n"/>
      <c r="K167" s="13" t="n"/>
      <c r="M167" s="13" t="n"/>
      <c r="N167" s="25" t="n"/>
      <c r="O167" s="13" t="n"/>
    </row>
    <row r="168">
      <c r="A168" s="13" t="n"/>
      <c r="B168" s="25" t="n"/>
      <c r="C168" s="13" t="n"/>
      <c r="E168" s="13" t="n"/>
      <c r="F168" s="25" t="n"/>
      <c r="G168" s="13" t="n"/>
      <c r="I168" s="13" t="n"/>
      <c r="J168" s="26" t="n"/>
      <c r="K168" s="13" t="n"/>
      <c r="M168" s="13" t="n"/>
      <c r="N168" s="25" t="n"/>
      <c r="O168" s="13" t="n"/>
    </row>
    <row r="169">
      <c r="A169" s="13" t="n"/>
      <c r="B169" s="25" t="n"/>
      <c r="C169" s="13" t="n"/>
      <c r="E169" s="13" t="n"/>
      <c r="F169" s="25" t="n"/>
      <c r="G169" s="13" t="n"/>
      <c r="I169" s="13" t="n"/>
      <c r="J169" s="26" t="n"/>
      <c r="K169" s="13" t="n"/>
      <c r="M169" s="13" t="n"/>
      <c r="N169" s="25" t="n"/>
      <c r="O169" s="13" t="n"/>
    </row>
    <row r="170">
      <c r="A170" s="13" t="n"/>
      <c r="B170" s="25" t="n"/>
      <c r="C170" s="13" t="n"/>
      <c r="E170" s="13" t="n"/>
      <c r="F170" s="25" t="n"/>
      <c r="G170" s="13" t="n"/>
      <c r="I170" s="13" t="n"/>
      <c r="J170" s="26" t="n"/>
      <c r="K170" s="13" t="n"/>
      <c r="M170" s="13" t="n"/>
      <c r="N170" s="25" t="n"/>
      <c r="O170" s="13" t="n"/>
    </row>
    <row r="171">
      <c r="A171" s="13" t="n"/>
      <c r="B171" s="25" t="n"/>
      <c r="C171" s="13" t="n"/>
      <c r="E171" s="13" t="n"/>
      <c r="F171" s="25" t="n"/>
      <c r="G171" s="13" t="n"/>
      <c r="I171" s="13" t="n"/>
      <c r="J171" s="26" t="n"/>
      <c r="K171" s="13" t="n"/>
      <c r="M171" s="13" t="n"/>
      <c r="N171" s="25" t="n"/>
      <c r="O171" s="13" t="n"/>
    </row>
    <row r="172">
      <c r="A172" s="13" t="n"/>
      <c r="B172" s="25" t="n"/>
      <c r="C172" s="13" t="n"/>
      <c r="E172" s="13" t="n"/>
      <c r="F172" s="25" t="n"/>
      <c r="G172" s="13" t="n"/>
      <c r="I172" s="13" t="n"/>
      <c r="J172" s="26" t="n"/>
      <c r="K172" s="13" t="n"/>
      <c r="M172" s="13" t="n"/>
      <c r="N172" s="25" t="n"/>
      <c r="O172" s="13" t="n"/>
    </row>
    <row r="173">
      <c r="A173" s="13" t="n"/>
      <c r="B173" s="25" t="n"/>
      <c r="C173" s="13" t="n"/>
      <c r="E173" s="13" t="n"/>
      <c r="F173" s="25" t="n"/>
      <c r="G173" s="13" t="n"/>
      <c r="I173" s="13" t="n"/>
      <c r="J173" s="26" t="n"/>
      <c r="K173" s="13" t="n"/>
      <c r="M173" s="13" t="n"/>
      <c r="N173" s="25" t="n"/>
      <c r="O173" s="13" t="n"/>
    </row>
    <row r="174">
      <c r="A174" s="13" t="n"/>
      <c r="B174" s="25" t="n"/>
      <c r="C174" s="13" t="n"/>
      <c r="E174" s="13" t="n"/>
      <c r="F174" s="25" t="n"/>
      <c r="G174" s="13" t="n"/>
      <c r="I174" s="13" t="n"/>
      <c r="J174" s="26" t="n"/>
      <c r="K174" s="13" t="n"/>
      <c r="M174" s="13" t="n"/>
      <c r="N174" s="25" t="n"/>
      <c r="O174" s="13" t="n"/>
    </row>
    <row r="175">
      <c r="A175" s="13" t="n"/>
      <c r="B175" s="25" t="n"/>
      <c r="C175" s="13" t="n"/>
      <c r="E175" s="13" t="n"/>
      <c r="F175" s="25" t="n"/>
      <c r="G175" s="13" t="n"/>
      <c r="I175" s="13" t="n"/>
      <c r="J175" s="26" t="n"/>
      <c r="K175" s="13" t="n"/>
      <c r="M175" s="13" t="n"/>
      <c r="N175" s="25" t="n"/>
      <c r="O175" s="13" t="n"/>
    </row>
    <row r="176">
      <c r="A176" s="13" t="n"/>
      <c r="B176" s="25" t="n"/>
      <c r="C176" s="13" t="n"/>
      <c r="E176" s="13" t="n"/>
      <c r="F176" s="25" t="n"/>
      <c r="G176" s="13" t="n"/>
      <c r="I176" s="13" t="n"/>
      <c r="J176" s="26" t="n"/>
      <c r="K176" s="13" t="n"/>
      <c r="M176" s="13" t="n"/>
      <c r="N176" s="25" t="n"/>
      <c r="O176" s="13" t="n"/>
    </row>
    <row r="177">
      <c r="A177" s="13" t="n"/>
      <c r="B177" s="25" t="n"/>
      <c r="C177" s="13" t="n"/>
      <c r="E177" s="13" t="n"/>
      <c r="F177" s="25" t="n"/>
      <c r="G177" s="13" t="n"/>
      <c r="I177" s="13" t="n"/>
      <c r="J177" s="26" t="n"/>
      <c r="K177" s="13" t="n"/>
      <c r="M177" s="13" t="n"/>
      <c r="N177" s="25" t="n"/>
      <c r="O177" s="13" t="n"/>
    </row>
    <row r="178">
      <c r="A178" s="13" t="n"/>
      <c r="B178" s="25" t="n"/>
      <c r="C178" s="13" t="n"/>
      <c r="E178" s="13" t="n"/>
      <c r="F178" s="25" t="n"/>
      <c r="G178" s="13" t="n"/>
      <c r="I178" s="13" t="n"/>
      <c r="J178" s="26" t="n"/>
      <c r="K178" s="13" t="n"/>
      <c r="M178" s="13" t="n"/>
      <c r="N178" s="25" t="n"/>
      <c r="O178" s="13" t="n"/>
    </row>
    <row r="179">
      <c r="A179" s="13" t="n"/>
      <c r="B179" s="25" t="n"/>
      <c r="C179" s="13" t="n"/>
      <c r="E179" s="13" t="n"/>
      <c r="F179" s="25" t="n"/>
      <c r="G179" s="13" t="n"/>
      <c r="I179" s="13" t="n"/>
      <c r="J179" s="26" t="n"/>
      <c r="K179" s="13" t="n"/>
      <c r="M179" s="13" t="n"/>
      <c r="N179" s="25" t="n"/>
      <c r="O179" s="13" t="n"/>
    </row>
    <row r="180">
      <c r="A180" s="13" t="n"/>
      <c r="B180" s="25" t="n"/>
      <c r="C180" s="13" t="n"/>
      <c r="E180" s="13" t="n"/>
      <c r="F180" s="25" t="n"/>
      <c r="G180" s="13" t="n"/>
      <c r="I180" s="13" t="n"/>
      <c r="J180" s="26" t="n"/>
      <c r="K180" s="13" t="n"/>
      <c r="M180" s="13" t="n"/>
      <c r="N180" s="25" t="n"/>
      <c r="O180" s="13" t="n"/>
    </row>
    <row r="181">
      <c r="A181" s="13" t="n"/>
      <c r="B181" s="25" t="n"/>
      <c r="C181" s="13" t="n"/>
      <c r="E181" s="13" t="n"/>
      <c r="F181" s="25" t="n"/>
      <c r="G181" s="13" t="n"/>
      <c r="I181" s="13" t="n"/>
      <c r="J181" s="26" t="n"/>
      <c r="K181" s="13" t="n"/>
      <c r="M181" s="13" t="n"/>
      <c r="N181" s="25" t="n"/>
      <c r="O181" s="13" t="n"/>
    </row>
    <row r="182">
      <c r="A182" s="13" t="n"/>
      <c r="B182" s="25" t="n"/>
      <c r="C182" s="13" t="n"/>
      <c r="E182" s="13" t="n"/>
      <c r="F182" s="25" t="n"/>
      <c r="G182" s="13" t="n"/>
      <c r="I182" s="13" t="n"/>
      <c r="J182" s="26" t="n"/>
      <c r="K182" s="13" t="n"/>
      <c r="M182" s="13" t="n"/>
      <c r="N182" s="25" t="n"/>
      <c r="O182" s="13" t="n"/>
    </row>
    <row r="183">
      <c r="A183" s="13" t="n"/>
      <c r="B183" s="25" t="n"/>
      <c r="C183" s="13" t="n"/>
      <c r="E183" s="13" t="n"/>
      <c r="F183" s="25" t="n"/>
      <c r="G183" s="13" t="n"/>
      <c r="I183" s="13" t="n"/>
      <c r="J183" s="26" t="n"/>
      <c r="K183" s="13" t="n"/>
      <c r="M183" s="13" t="n"/>
      <c r="N183" s="25" t="n"/>
      <c r="O183" s="13" t="n"/>
    </row>
    <row r="184">
      <c r="A184" s="13" t="n"/>
      <c r="B184" s="25" t="n"/>
      <c r="C184" s="13" t="n"/>
      <c r="E184" s="13" t="n"/>
      <c r="F184" s="25" t="n"/>
      <c r="G184" s="13" t="n"/>
      <c r="I184" s="13" t="n"/>
      <c r="J184" s="26" t="n"/>
      <c r="K184" s="13" t="n"/>
      <c r="M184" s="13" t="n"/>
      <c r="N184" s="25" t="n"/>
      <c r="O184" s="13" t="n"/>
    </row>
    <row r="185">
      <c r="A185" s="13" t="n"/>
      <c r="B185" s="25" t="n"/>
      <c r="C185" s="13" t="n"/>
      <c r="E185" s="13" t="n"/>
      <c r="F185" s="25" t="n"/>
      <c r="G185" s="13" t="n"/>
      <c r="I185" s="13" t="n"/>
      <c r="J185" s="26" t="n"/>
      <c r="K185" s="13" t="n"/>
      <c r="M185" s="13" t="n"/>
      <c r="N185" s="25" t="n"/>
      <c r="O185" s="13" t="n"/>
    </row>
    <row r="186">
      <c r="A186" s="13" t="n"/>
      <c r="B186" s="25" t="n"/>
      <c r="C186" s="13" t="n"/>
      <c r="E186" s="13" t="n"/>
      <c r="F186" s="25" t="n"/>
      <c r="G186" s="13" t="n"/>
      <c r="I186" s="13" t="n"/>
      <c r="J186" s="26" t="n"/>
      <c r="K186" s="13" t="n"/>
      <c r="M186" s="13" t="n"/>
      <c r="N186" s="25" t="n"/>
      <c r="O186" s="13" t="n"/>
    </row>
    <row r="187">
      <c r="A187" s="13" t="n"/>
      <c r="B187" s="25" t="n"/>
      <c r="C187" s="13" t="n"/>
      <c r="E187" s="13" t="n"/>
      <c r="F187" s="25" t="n"/>
      <c r="G187" s="13" t="n"/>
      <c r="I187" s="13" t="n"/>
      <c r="J187" s="26" t="n"/>
      <c r="K187" s="13" t="n"/>
      <c r="M187" s="13" t="n"/>
      <c r="N187" s="25" t="n"/>
      <c r="O187" s="13" t="n"/>
    </row>
    <row r="188">
      <c r="A188" s="13" t="n"/>
      <c r="B188" s="25" t="n"/>
      <c r="C188" s="13" t="n"/>
      <c r="E188" s="13" t="n"/>
      <c r="F188" s="25" t="n"/>
      <c r="G188" s="13" t="n"/>
      <c r="I188" s="13" t="n"/>
      <c r="J188" s="26" t="n"/>
      <c r="K188" s="13" t="n"/>
      <c r="M188" s="13" t="n"/>
      <c r="N188" s="25" t="n"/>
      <c r="O188" s="13" t="n"/>
    </row>
    <row r="189">
      <c r="A189" s="13" t="n"/>
      <c r="B189" s="25" t="n"/>
      <c r="C189" s="13" t="n"/>
      <c r="E189" s="13" t="n"/>
      <c r="F189" s="25" t="n"/>
      <c r="G189" s="13" t="n"/>
      <c r="I189" s="13" t="n"/>
      <c r="J189" s="26" t="n"/>
      <c r="K189" s="13" t="n"/>
      <c r="M189" s="13" t="n"/>
      <c r="N189" s="25" t="n"/>
      <c r="O189" s="13" t="n"/>
    </row>
    <row r="190">
      <c r="A190" s="13" t="n"/>
      <c r="B190" s="25" t="n"/>
      <c r="C190" s="13" t="n"/>
      <c r="E190" s="13" t="n"/>
      <c r="F190" s="25" t="n"/>
      <c r="G190" s="13" t="n"/>
      <c r="I190" s="13" t="n"/>
      <c r="J190" s="26" t="n"/>
      <c r="K190" s="13" t="n"/>
      <c r="M190" s="13" t="n"/>
      <c r="N190" s="25" t="n"/>
      <c r="O190" s="13" t="n"/>
    </row>
    <row r="191">
      <c r="A191" s="13" t="n"/>
      <c r="B191" s="25" t="n"/>
      <c r="C191" s="13" t="n"/>
      <c r="E191" s="13" t="n"/>
      <c r="F191" s="25" t="n"/>
      <c r="G191" s="13" t="n"/>
      <c r="I191" s="13" t="n"/>
      <c r="J191" s="26" t="n"/>
      <c r="K191" s="13" t="n"/>
      <c r="M191" s="13" t="n"/>
      <c r="N191" s="25" t="n"/>
      <c r="O191" s="13" t="n"/>
    </row>
    <row r="192">
      <c r="A192" s="13" t="n"/>
      <c r="B192" s="25" t="n"/>
      <c r="C192" s="13" t="n"/>
      <c r="E192" s="13" t="n"/>
      <c r="F192" s="25" t="n"/>
      <c r="G192" s="13" t="n"/>
      <c r="I192" s="13" t="n"/>
      <c r="J192" s="26" t="n"/>
      <c r="K192" s="13" t="n"/>
      <c r="M192" s="13" t="n"/>
      <c r="N192" s="25" t="n"/>
      <c r="O192" s="13" t="n"/>
    </row>
    <row r="193">
      <c r="A193" s="13" t="n"/>
      <c r="B193" s="25" t="n"/>
      <c r="C193" s="13" t="n"/>
      <c r="E193" s="13" t="n"/>
      <c r="F193" s="25" t="n"/>
      <c r="G193" s="13" t="n"/>
      <c r="I193" s="13" t="n"/>
      <c r="J193" s="26" t="n"/>
      <c r="K193" s="13" t="n"/>
      <c r="M193" s="13" t="n"/>
      <c r="N193" s="25" t="n"/>
      <c r="O193" s="13" t="n"/>
    </row>
    <row r="194">
      <c r="A194" s="13" t="n"/>
      <c r="B194" s="25" t="n"/>
      <c r="C194" s="13" t="n"/>
      <c r="E194" s="13" t="n"/>
      <c r="F194" s="25" t="n"/>
      <c r="G194" s="13" t="n"/>
      <c r="I194" s="13" t="n"/>
      <c r="J194" s="26" t="n"/>
      <c r="K194" s="13" t="n"/>
      <c r="M194" s="13" t="n"/>
      <c r="N194" s="25" t="n"/>
      <c r="O194" s="13" t="n"/>
    </row>
    <row r="195">
      <c r="A195" s="13" t="n"/>
      <c r="B195" s="25" t="n"/>
      <c r="C195" s="13" t="n"/>
      <c r="E195" s="13" t="n"/>
      <c r="F195" s="25" t="n"/>
      <c r="G195" s="13" t="n"/>
      <c r="I195" s="13" t="n"/>
      <c r="J195" s="26" t="n"/>
      <c r="K195" s="13" t="n"/>
      <c r="M195" s="13" t="n"/>
      <c r="N195" s="25" t="n"/>
      <c r="O195" s="13" t="n"/>
    </row>
    <row r="196">
      <c r="A196" s="13" t="n"/>
      <c r="B196" s="25" t="n"/>
      <c r="C196" s="13" t="n"/>
      <c r="E196" s="13" t="n"/>
      <c r="F196" s="25" t="n"/>
      <c r="G196" s="13" t="n"/>
      <c r="I196" s="13" t="n"/>
      <c r="J196" s="26" t="n"/>
      <c r="K196" s="13" t="n"/>
      <c r="M196" s="13" t="n"/>
      <c r="N196" s="25" t="n"/>
      <c r="O196" s="13" t="n"/>
    </row>
    <row r="197">
      <c r="A197" s="13" t="n"/>
      <c r="B197" s="25" t="n"/>
      <c r="C197" s="13" t="n"/>
      <c r="E197" s="13" t="n"/>
      <c r="F197" s="25" t="n"/>
      <c r="G197" s="13" t="n"/>
      <c r="I197" s="13" t="n"/>
      <c r="J197" s="26" t="n"/>
      <c r="K197" s="13" t="n"/>
      <c r="M197" s="13" t="n"/>
      <c r="N197" s="25" t="n"/>
      <c r="O197" s="13" t="n"/>
    </row>
    <row r="198">
      <c r="A198" s="13" t="n"/>
      <c r="B198" s="25" t="n"/>
      <c r="C198" s="13" t="n"/>
      <c r="E198" s="13" t="n"/>
      <c r="F198" s="25" t="n"/>
      <c r="G198" s="13" t="n"/>
      <c r="I198" s="13" t="n"/>
      <c r="J198" s="26" t="n"/>
      <c r="K198" s="13" t="n"/>
      <c r="M198" s="13" t="n"/>
      <c r="N198" s="25" t="n"/>
      <c r="O198" s="13" t="n"/>
    </row>
    <row r="199">
      <c r="A199" s="13" t="n"/>
      <c r="B199" s="25" t="n"/>
      <c r="C199" s="13" t="n"/>
      <c r="E199" s="13" t="n"/>
      <c r="F199" s="25" t="n"/>
      <c r="G199" s="13" t="n"/>
      <c r="I199" s="13" t="n"/>
      <c r="J199" s="26" t="n"/>
      <c r="K199" s="13" t="n"/>
      <c r="M199" s="13" t="n"/>
      <c r="N199" s="25" t="n"/>
      <c r="O199" s="13" t="n"/>
    </row>
    <row r="200">
      <c r="A200" s="13" t="n"/>
      <c r="B200" s="25" t="n"/>
      <c r="C200" s="13" t="n"/>
      <c r="E200" s="13" t="n"/>
      <c r="F200" s="25" t="n"/>
      <c r="G200" s="13" t="n"/>
      <c r="I200" s="13" t="n"/>
      <c r="J200" s="26" t="n"/>
      <c r="K200" s="13" t="n"/>
      <c r="M200" s="13" t="n"/>
      <c r="N200" s="25" t="n"/>
      <c r="O200" s="13" t="n"/>
    </row>
    <row r="201">
      <c r="A201" s="13" t="n"/>
      <c r="B201" s="25" t="n"/>
      <c r="C201" s="13" t="n"/>
      <c r="E201" s="13" t="n"/>
      <c r="F201" s="25" t="n"/>
      <c r="G201" s="13" t="n"/>
      <c r="I201" s="13" t="n"/>
      <c r="J201" s="26" t="n"/>
      <c r="K201" s="13" t="n"/>
      <c r="M201" s="13" t="n"/>
      <c r="N201" s="25" t="n"/>
      <c r="O201" s="13" t="n"/>
    </row>
    <row r="202">
      <c r="A202" s="13" t="n"/>
      <c r="B202" s="25" t="n"/>
      <c r="C202" s="13" t="n"/>
      <c r="E202" s="13" t="n"/>
      <c r="F202" s="25" t="n"/>
      <c r="G202" s="13" t="n"/>
      <c r="I202" s="13" t="n"/>
      <c r="J202" s="26" t="n"/>
      <c r="K202" s="13" t="n"/>
      <c r="M202" s="13" t="n"/>
      <c r="N202" s="25" t="n"/>
      <c r="O202" s="13" t="n"/>
    </row>
    <row r="203">
      <c r="A203" s="13" t="n"/>
      <c r="B203" s="25" t="n"/>
      <c r="C203" s="13" t="n"/>
      <c r="E203" s="13" t="n"/>
      <c r="F203" s="25" t="n"/>
      <c r="G203" s="13" t="n"/>
      <c r="I203" s="13" t="n"/>
      <c r="J203" s="26" t="n"/>
      <c r="K203" s="13" t="n"/>
      <c r="M203" s="13" t="n"/>
      <c r="N203" s="25" t="n"/>
      <c r="O203" s="13" t="n"/>
    </row>
  </sheetData>
  <mergeCells count="8">
    <mergeCell ref="E2:G2"/>
    <mergeCell ref="I2:K2"/>
    <mergeCell ref="N1:O1"/>
    <mergeCell ref="J1:K1"/>
    <mergeCell ref="B1:C1"/>
    <mergeCell ref="F1:G1"/>
    <mergeCell ref="M2:O2"/>
    <mergeCell ref="A2:C2"/>
  </mergeCells>
  <conditionalFormatting sqref="A4:P203">
    <cfRule type="expression" priority="1" dxfId="3">
      <formula>AND(A4&lt;&gt;"",NOT(ISNUMBER(SEARCH("-T",A4))),ISNUMBER(A4)=FALSE,COLUMN()=MATCH(INDEX($1:$1,1,COLUMN()),$1:$1,0))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Série</t>
        </is>
      </c>
      <c r="B1" t="inlineStr">
        <is>
          <t>Rang</t>
        </is>
      </c>
    </row>
    <row r="2">
      <c r="A2" t="inlineStr">
        <is>
          <t>ILC</t>
        </is>
      </c>
      <c r="B2">
        <f>IF(AND(LEN(Indices!A4)=7,MID(Indices!A4,5,2)="-T",ISNUMBER(VALUE(LEFT(Indices!A4,4))),ISNUMBER(INDEX(Indices!$A:$P,ROW(Indices!A4),COLUMN(Indices!A4)+1))),VALUE(LEFT(Indices!A4,4))*4+VALUE(RIGHT(Indices!A4,1)),0)</f>
        <v/>
      </c>
    </row>
    <row r="3">
      <c r="A3" t="inlineStr">
        <is>
          <t>ILC</t>
        </is>
      </c>
      <c r="B3">
        <f>IF(AND(LEN(Indices!A5)=7,MID(Indices!A5,5,2)="-T",ISNUMBER(VALUE(LEFT(Indices!A5,4))),ISNUMBER(INDEX(Indices!$A:$P,ROW(Indices!A5),COLUMN(Indices!A5)+1))),VALUE(LEFT(Indices!A5,4))*4+VALUE(RIGHT(Indices!A5,1)),0)</f>
        <v/>
      </c>
    </row>
    <row r="4">
      <c r="A4" t="inlineStr">
        <is>
          <t>ILC</t>
        </is>
      </c>
      <c r="B4">
        <f>IF(AND(LEN(Indices!A6)=7,MID(Indices!A6,5,2)="-T",ISNUMBER(VALUE(LEFT(Indices!A6,4))),ISNUMBER(INDEX(Indices!$A:$P,ROW(Indices!A6),COLUMN(Indices!A6)+1))),VALUE(LEFT(Indices!A6,4))*4+VALUE(RIGHT(Indices!A6,1)),0)</f>
        <v/>
      </c>
    </row>
    <row r="5">
      <c r="A5" t="inlineStr">
        <is>
          <t>ILC</t>
        </is>
      </c>
      <c r="B5">
        <f>IF(AND(LEN(Indices!A7)=7,MID(Indices!A7,5,2)="-T",ISNUMBER(VALUE(LEFT(Indices!A7,4))),ISNUMBER(INDEX(Indices!$A:$P,ROW(Indices!A7),COLUMN(Indices!A7)+1))),VALUE(LEFT(Indices!A7,4))*4+VALUE(RIGHT(Indices!A7,1)),0)</f>
        <v/>
      </c>
    </row>
    <row r="6">
      <c r="A6" t="inlineStr">
        <is>
          <t>ILC</t>
        </is>
      </c>
      <c r="B6">
        <f>IF(AND(LEN(Indices!A8)=7,MID(Indices!A8,5,2)="-T",ISNUMBER(VALUE(LEFT(Indices!A8,4))),ISNUMBER(INDEX(Indices!$A:$P,ROW(Indices!A8),COLUMN(Indices!A8)+1))),VALUE(LEFT(Indices!A8,4))*4+VALUE(RIGHT(Indices!A8,1)),0)</f>
        <v/>
      </c>
    </row>
    <row r="7">
      <c r="A7" t="inlineStr">
        <is>
          <t>ILC</t>
        </is>
      </c>
      <c r="B7">
        <f>IF(AND(LEN(Indices!A9)=7,MID(Indices!A9,5,2)="-T",ISNUMBER(VALUE(LEFT(Indices!A9,4))),ISNUMBER(INDEX(Indices!$A:$P,ROW(Indices!A9),COLUMN(Indices!A9)+1))),VALUE(LEFT(Indices!A9,4))*4+VALUE(RIGHT(Indices!A9,1)),0)</f>
        <v/>
      </c>
    </row>
    <row r="8">
      <c r="A8" t="inlineStr">
        <is>
          <t>ILC</t>
        </is>
      </c>
      <c r="B8">
        <f>IF(AND(LEN(Indices!A10)=7,MID(Indices!A10,5,2)="-T",ISNUMBER(VALUE(LEFT(Indices!A10,4))),ISNUMBER(INDEX(Indices!$A:$P,ROW(Indices!A10),COLUMN(Indices!A10)+1))),VALUE(LEFT(Indices!A10,4))*4+VALUE(RIGHT(Indices!A10,1)),0)</f>
        <v/>
      </c>
    </row>
    <row r="9">
      <c r="A9" t="inlineStr">
        <is>
          <t>ILC</t>
        </is>
      </c>
      <c r="B9">
        <f>IF(AND(LEN(Indices!A11)=7,MID(Indices!A11,5,2)="-T",ISNUMBER(VALUE(LEFT(Indices!A11,4))),ISNUMBER(INDEX(Indices!$A:$P,ROW(Indices!A11),COLUMN(Indices!A11)+1))),VALUE(LEFT(Indices!A11,4))*4+VALUE(RIGHT(Indices!A11,1)),0)</f>
        <v/>
      </c>
    </row>
    <row r="10">
      <c r="A10" t="inlineStr">
        <is>
          <t>ILC</t>
        </is>
      </c>
      <c r="B10">
        <f>IF(AND(LEN(Indices!A12)=7,MID(Indices!A12,5,2)="-T",ISNUMBER(VALUE(LEFT(Indices!A12,4))),ISNUMBER(INDEX(Indices!$A:$P,ROW(Indices!A12),COLUMN(Indices!A12)+1))),VALUE(LEFT(Indices!A12,4))*4+VALUE(RIGHT(Indices!A12,1)),0)</f>
        <v/>
      </c>
    </row>
    <row r="11">
      <c r="A11" t="inlineStr">
        <is>
          <t>ILC</t>
        </is>
      </c>
      <c r="B11">
        <f>IF(AND(LEN(Indices!A13)=7,MID(Indices!A13,5,2)="-T",ISNUMBER(VALUE(LEFT(Indices!A13,4))),ISNUMBER(INDEX(Indices!$A:$P,ROW(Indices!A13),COLUMN(Indices!A13)+1))),VALUE(LEFT(Indices!A13,4))*4+VALUE(RIGHT(Indices!A13,1)),0)</f>
        <v/>
      </c>
    </row>
    <row r="12">
      <c r="A12" t="inlineStr">
        <is>
          <t>ILC</t>
        </is>
      </c>
      <c r="B12">
        <f>IF(AND(LEN(Indices!A14)=7,MID(Indices!A14,5,2)="-T",ISNUMBER(VALUE(LEFT(Indices!A14,4))),ISNUMBER(INDEX(Indices!$A:$P,ROW(Indices!A14),COLUMN(Indices!A14)+1))),VALUE(LEFT(Indices!A14,4))*4+VALUE(RIGHT(Indices!A14,1)),0)</f>
        <v/>
      </c>
    </row>
    <row r="13">
      <c r="A13" t="inlineStr">
        <is>
          <t>ILC</t>
        </is>
      </c>
      <c r="B13">
        <f>IF(AND(LEN(Indices!A15)=7,MID(Indices!A15,5,2)="-T",ISNUMBER(VALUE(LEFT(Indices!A15,4))),ISNUMBER(INDEX(Indices!$A:$P,ROW(Indices!A15),COLUMN(Indices!A15)+1))),VALUE(LEFT(Indices!A15,4))*4+VALUE(RIGHT(Indices!A15,1)),0)</f>
        <v/>
      </c>
    </row>
    <row r="14">
      <c r="A14" t="inlineStr">
        <is>
          <t>ILC</t>
        </is>
      </c>
      <c r="B14">
        <f>IF(AND(LEN(Indices!A16)=7,MID(Indices!A16,5,2)="-T",ISNUMBER(VALUE(LEFT(Indices!A16,4))),ISNUMBER(INDEX(Indices!$A:$P,ROW(Indices!A16),COLUMN(Indices!A16)+1))),VALUE(LEFT(Indices!A16,4))*4+VALUE(RIGHT(Indices!A16,1)),0)</f>
        <v/>
      </c>
    </row>
    <row r="15">
      <c r="A15" t="inlineStr">
        <is>
          <t>ILC</t>
        </is>
      </c>
      <c r="B15">
        <f>IF(AND(LEN(Indices!A17)=7,MID(Indices!A17,5,2)="-T",ISNUMBER(VALUE(LEFT(Indices!A17,4))),ISNUMBER(INDEX(Indices!$A:$P,ROW(Indices!A17),COLUMN(Indices!A17)+1))),VALUE(LEFT(Indices!A17,4))*4+VALUE(RIGHT(Indices!A17,1)),0)</f>
        <v/>
      </c>
    </row>
    <row r="16">
      <c r="A16" t="inlineStr">
        <is>
          <t>ILC</t>
        </is>
      </c>
      <c r="B16">
        <f>IF(AND(LEN(Indices!A18)=7,MID(Indices!A18,5,2)="-T",ISNUMBER(VALUE(LEFT(Indices!A18,4))),ISNUMBER(INDEX(Indices!$A:$P,ROW(Indices!A18),COLUMN(Indices!A18)+1))),VALUE(LEFT(Indices!A18,4))*4+VALUE(RIGHT(Indices!A18,1)),0)</f>
        <v/>
      </c>
    </row>
    <row r="17">
      <c r="A17" t="inlineStr">
        <is>
          <t>ILC</t>
        </is>
      </c>
      <c r="B17">
        <f>IF(AND(LEN(Indices!A19)=7,MID(Indices!A19,5,2)="-T",ISNUMBER(VALUE(LEFT(Indices!A19,4))),ISNUMBER(INDEX(Indices!$A:$P,ROW(Indices!A19),COLUMN(Indices!A19)+1))),VALUE(LEFT(Indices!A19,4))*4+VALUE(RIGHT(Indices!A19,1)),0)</f>
        <v/>
      </c>
    </row>
    <row r="18">
      <c r="A18" t="inlineStr">
        <is>
          <t>ILC</t>
        </is>
      </c>
      <c r="B18">
        <f>IF(AND(LEN(Indices!A20)=7,MID(Indices!A20,5,2)="-T",ISNUMBER(VALUE(LEFT(Indices!A20,4))),ISNUMBER(INDEX(Indices!$A:$P,ROW(Indices!A20),COLUMN(Indices!A20)+1))),VALUE(LEFT(Indices!A20,4))*4+VALUE(RIGHT(Indices!A20,1)),0)</f>
        <v/>
      </c>
    </row>
    <row r="19">
      <c r="A19" t="inlineStr">
        <is>
          <t>ILC</t>
        </is>
      </c>
      <c r="B19">
        <f>IF(AND(LEN(Indices!A21)=7,MID(Indices!A21,5,2)="-T",ISNUMBER(VALUE(LEFT(Indices!A21,4))),ISNUMBER(INDEX(Indices!$A:$P,ROW(Indices!A21),COLUMN(Indices!A21)+1))),VALUE(LEFT(Indices!A21,4))*4+VALUE(RIGHT(Indices!A21,1)),0)</f>
        <v/>
      </c>
    </row>
    <row r="20">
      <c r="A20" t="inlineStr">
        <is>
          <t>ILC</t>
        </is>
      </c>
      <c r="B20">
        <f>IF(AND(LEN(Indices!A22)=7,MID(Indices!A22,5,2)="-T",ISNUMBER(VALUE(LEFT(Indices!A22,4))),ISNUMBER(INDEX(Indices!$A:$P,ROW(Indices!A22),COLUMN(Indices!A22)+1))),VALUE(LEFT(Indices!A22,4))*4+VALUE(RIGHT(Indices!A22,1)),0)</f>
        <v/>
      </c>
    </row>
    <row r="21">
      <c r="A21" t="inlineStr">
        <is>
          <t>ILC</t>
        </is>
      </c>
      <c r="B21">
        <f>IF(AND(LEN(Indices!A23)=7,MID(Indices!A23,5,2)="-T",ISNUMBER(VALUE(LEFT(Indices!A23,4))),ISNUMBER(INDEX(Indices!$A:$P,ROW(Indices!A23),COLUMN(Indices!A23)+1))),VALUE(LEFT(Indices!A23,4))*4+VALUE(RIGHT(Indices!A23,1)),0)</f>
        <v/>
      </c>
    </row>
    <row r="22">
      <c r="A22" t="inlineStr">
        <is>
          <t>ILC</t>
        </is>
      </c>
      <c r="B22">
        <f>IF(AND(LEN(Indices!A24)=7,MID(Indices!A24,5,2)="-T",ISNUMBER(VALUE(LEFT(Indices!A24,4))),ISNUMBER(INDEX(Indices!$A:$P,ROW(Indices!A24),COLUMN(Indices!A24)+1))),VALUE(LEFT(Indices!A24,4))*4+VALUE(RIGHT(Indices!A24,1)),0)</f>
        <v/>
      </c>
    </row>
    <row r="23">
      <c r="A23" t="inlineStr">
        <is>
          <t>ILC</t>
        </is>
      </c>
      <c r="B23">
        <f>IF(AND(LEN(Indices!A25)=7,MID(Indices!A25,5,2)="-T",ISNUMBER(VALUE(LEFT(Indices!A25,4))),ISNUMBER(INDEX(Indices!$A:$P,ROW(Indices!A25),COLUMN(Indices!A25)+1))),VALUE(LEFT(Indices!A25,4))*4+VALUE(RIGHT(Indices!A25,1)),0)</f>
        <v/>
      </c>
    </row>
    <row r="24">
      <c r="A24" t="inlineStr">
        <is>
          <t>ILC</t>
        </is>
      </c>
      <c r="B24">
        <f>IF(AND(LEN(Indices!A26)=7,MID(Indices!A26,5,2)="-T",ISNUMBER(VALUE(LEFT(Indices!A26,4))),ISNUMBER(INDEX(Indices!$A:$P,ROW(Indices!A26),COLUMN(Indices!A26)+1))),VALUE(LEFT(Indices!A26,4))*4+VALUE(RIGHT(Indices!A26,1)),0)</f>
        <v/>
      </c>
    </row>
    <row r="25">
      <c r="A25" t="inlineStr">
        <is>
          <t>ILC</t>
        </is>
      </c>
      <c r="B25">
        <f>IF(AND(LEN(Indices!A27)=7,MID(Indices!A27,5,2)="-T",ISNUMBER(VALUE(LEFT(Indices!A27,4))),ISNUMBER(INDEX(Indices!$A:$P,ROW(Indices!A27),COLUMN(Indices!A27)+1))),VALUE(LEFT(Indices!A27,4))*4+VALUE(RIGHT(Indices!A27,1)),0)</f>
        <v/>
      </c>
    </row>
    <row r="26">
      <c r="A26" t="inlineStr">
        <is>
          <t>ILC</t>
        </is>
      </c>
      <c r="B26">
        <f>IF(AND(LEN(Indices!A28)=7,MID(Indices!A28,5,2)="-T",ISNUMBER(VALUE(LEFT(Indices!A28,4))),ISNUMBER(INDEX(Indices!$A:$P,ROW(Indices!A28),COLUMN(Indices!A28)+1))),VALUE(LEFT(Indices!A28,4))*4+VALUE(RIGHT(Indices!A28,1)),0)</f>
        <v/>
      </c>
    </row>
    <row r="27">
      <c r="A27" t="inlineStr">
        <is>
          <t>ILC</t>
        </is>
      </c>
      <c r="B27">
        <f>IF(AND(LEN(Indices!A29)=7,MID(Indices!A29,5,2)="-T",ISNUMBER(VALUE(LEFT(Indices!A29,4))),ISNUMBER(INDEX(Indices!$A:$P,ROW(Indices!A29),COLUMN(Indices!A29)+1))),VALUE(LEFT(Indices!A29,4))*4+VALUE(RIGHT(Indices!A29,1)),0)</f>
        <v/>
      </c>
    </row>
    <row r="28">
      <c r="A28" t="inlineStr">
        <is>
          <t>ILC</t>
        </is>
      </c>
      <c r="B28">
        <f>IF(AND(LEN(Indices!A30)=7,MID(Indices!A30,5,2)="-T",ISNUMBER(VALUE(LEFT(Indices!A30,4))),ISNUMBER(INDEX(Indices!$A:$P,ROW(Indices!A30),COLUMN(Indices!A30)+1))),VALUE(LEFT(Indices!A30,4))*4+VALUE(RIGHT(Indices!A30,1)),0)</f>
        <v/>
      </c>
    </row>
    <row r="29">
      <c r="A29" t="inlineStr">
        <is>
          <t>ILC</t>
        </is>
      </c>
      <c r="B29">
        <f>IF(AND(LEN(Indices!A31)=7,MID(Indices!A31,5,2)="-T",ISNUMBER(VALUE(LEFT(Indices!A31,4))),ISNUMBER(INDEX(Indices!$A:$P,ROW(Indices!A31),COLUMN(Indices!A31)+1))),VALUE(LEFT(Indices!A31,4))*4+VALUE(RIGHT(Indices!A31,1)),0)</f>
        <v/>
      </c>
    </row>
    <row r="30">
      <c r="A30" t="inlineStr">
        <is>
          <t>ILC</t>
        </is>
      </c>
      <c r="B30">
        <f>IF(AND(LEN(Indices!A32)=7,MID(Indices!A32,5,2)="-T",ISNUMBER(VALUE(LEFT(Indices!A32,4))),ISNUMBER(INDEX(Indices!$A:$P,ROW(Indices!A32),COLUMN(Indices!A32)+1))),VALUE(LEFT(Indices!A32,4))*4+VALUE(RIGHT(Indices!A32,1)),0)</f>
        <v/>
      </c>
    </row>
    <row r="31">
      <c r="A31" t="inlineStr">
        <is>
          <t>ILC</t>
        </is>
      </c>
      <c r="B31">
        <f>IF(AND(LEN(Indices!A33)=7,MID(Indices!A33,5,2)="-T",ISNUMBER(VALUE(LEFT(Indices!A33,4))),ISNUMBER(INDEX(Indices!$A:$P,ROW(Indices!A33),COLUMN(Indices!A33)+1))),VALUE(LEFT(Indices!A33,4))*4+VALUE(RIGHT(Indices!A33,1)),0)</f>
        <v/>
      </c>
    </row>
    <row r="32">
      <c r="A32" t="inlineStr">
        <is>
          <t>ILC</t>
        </is>
      </c>
      <c r="B32">
        <f>IF(AND(LEN(Indices!A34)=7,MID(Indices!A34,5,2)="-T",ISNUMBER(VALUE(LEFT(Indices!A34,4))),ISNUMBER(INDEX(Indices!$A:$P,ROW(Indices!A34),COLUMN(Indices!A34)+1))),VALUE(LEFT(Indices!A34,4))*4+VALUE(RIGHT(Indices!A34,1)),0)</f>
        <v/>
      </c>
    </row>
    <row r="33">
      <c r="A33" t="inlineStr">
        <is>
          <t>ILC</t>
        </is>
      </c>
      <c r="B33">
        <f>IF(AND(LEN(Indices!A35)=7,MID(Indices!A35,5,2)="-T",ISNUMBER(VALUE(LEFT(Indices!A35,4))),ISNUMBER(INDEX(Indices!$A:$P,ROW(Indices!A35),COLUMN(Indices!A35)+1))),VALUE(LEFT(Indices!A35,4))*4+VALUE(RIGHT(Indices!A35,1)),0)</f>
        <v/>
      </c>
    </row>
    <row r="34">
      <c r="A34" t="inlineStr">
        <is>
          <t>ILC</t>
        </is>
      </c>
      <c r="B34">
        <f>IF(AND(LEN(Indices!A36)=7,MID(Indices!A36,5,2)="-T",ISNUMBER(VALUE(LEFT(Indices!A36,4))),ISNUMBER(INDEX(Indices!$A:$P,ROW(Indices!A36),COLUMN(Indices!A36)+1))),VALUE(LEFT(Indices!A36,4))*4+VALUE(RIGHT(Indices!A36,1)),0)</f>
        <v/>
      </c>
    </row>
    <row r="35">
      <c r="A35" t="inlineStr">
        <is>
          <t>ILC</t>
        </is>
      </c>
      <c r="B35">
        <f>IF(AND(LEN(Indices!A37)=7,MID(Indices!A37,5,2)="-T",ISNUMBER(VALUE(LEFT(Indices!A37,4))),ISNUMBER(INDEX(Indices!$A:$P,ROW(Indices!A37),COLUMN(Indices!A37)+1))),VALUE(LEFT(Indices!A37,4))*4+VALUE(RIGHT(Indices!A37,1)),0)</f>
        <v/>
      </c>
    </row>
    <row r="36">
      <c r="A36" t="inlineStr">
        <is>
          <t>ILC</t>
        </is>
      </c>
      <c r="B36">
        <f>IF(AND(LEN(Indices!A38)=7,MID(Indices!A38,5,2)="-T",ISNUMBER(VALUE(LEFT(Indices!A38,4))),ISNUMBER(INDEX(Indices!$A:$P,ROW(Indices!A38),COLUMN(Indices!A38)+1))),VALUE(LEFT(Indices!A38,4))*4+VALUE(RIGHT(Indices!A38,1)),0)</f>
        <v/>
      </c>
    </row>
    <row r="37">
      <c r="A37" t="inlineStr">
        <is>
          <t>ILC</t>
        </is>
      </c>
      <c r="B37">
        <f>IF(AND(LEN(Indices!A39)=7,MID(Indices!A39,5,2)="-T",ISNUMBER(VALUE(LEFT(Indices!A39,4))),ISNUMBER(INDEX(Indices!$A:$P,ROW(Indices!A39),COLUMN(Indices!A39)+1))),VALUE(LEFT(Indices!A39,4))*4+VALUE(RIGHT(Indices!A39,1)),0)</f>
        <v/>
      </c>
    </row>
    <row r="38">
      <c r="A38" t="inlineStr">
        <is>
          <t>ILC</t>
        </is>
      </c>
      <c r="B38">
        <f>IF(AND(LEN(Indices!A40)=7,MID(Indices!A40,5,2)="-T",ISNUMBER(VALUE(LEFT(Indices!A40,4))),ISNUMBER(INDEX(Indices!$A:$P,ROW(Indices!A40),COLUMN(Indices!A40)+1))),VALUE(LEFT(Indices!A40,4))*4+VALUE(RIGHT(Indices!A40,1)),0)</f>
        <v/>
      </c>
    </row>
    <row r="39">
      <c r="A39" t="inlineStr">
        <is>
          <t>ILC</t>
        </is>
      </c>
      <c r="B39">
        <f>IF(AND(LEN(Indices!A41)=7,MID(Indices!A41,5,2)="-T",ISNUMBER(VALUE(LEFT(Indices!A41,4))),ISNUMBER(INDEX(Indices!$A:$P,ROW(Indices!A41),COLUMN(Indices!A41)+1))),VALUE(LEFT(Indices!A41,4))*4+VALUE(RIGHT(Indices!A41,1)),0)</f>
        <v/>
      </c>
    </row>
    <row r="40">
      <c r="A40" t="inlineStr">
        <is>
          <t>ILC</t>
        </is>
      </c>
      <c r="B40">
        <f>IF(AND(LEN(Indices!A42)=7,MID(Indices!A42,5,2)="-T",ISNUMBER(VALUE(LEFT(Indices!A42,4))),ISNUMBER(INDEX(Indices!$A:$P,ROW(Indices!A42),COLUMN(Indices!A42)+1))),VALUE(LEFT(Indices!A42,4))*4+VALUE(RIGHT(Indices!A42,1)),0)</f>
        <v/>
      </c>
    </row>
    <row r="41">
      <c r="A41" t="inlineStr">
        <is>
          <t>ILC</t>
        </is>
      </c>
      <c r="B41">
        <f>IF(AND(LEN(Indices!A43)=7,MID(Indices!A43,5,2)="-T",ISNUMBER(VALUE(LEFT(Indices!A43,4))),ISNUMBER(INDEX(Indices!$A:$P,ROW(Indices!A43),COLUMN(Indices!A43)+1))),VALUE(LEFT(Indices!A43,4))*4+VALUE(RIGHT(Indices!A43,1)),0)</f>
        <v/>
      </c>
    </row>
    <row r="42">
      <c r="A42" t="inlineStr">
        <is>
          <t>ILC</t>
        </is>
      </c>
      <c r="B42">
        <f>IF(AND(LEN(Indices!A44)=7,MID(Indices!A44,5,2)="-T",ISNUMBER(VALUE(LEFT(Indices!A44,4))),ISNUMBER(INDEX(Indices!$A:$P,ROW(Indices!A44),COLUMN(Indices!A44)+1))),VALUE(LEFT(Indices!A44,4))*4+VALUE(RIGHT(Indices!A44,1)),0)</f>
        <v/>
      </c>
    </row>
    <row r="43">
      <c r="A43" t="inlineStr">
        <is>
          <t>ILC</t>
        </is>
      </c>
      <c r="B43">
        <f>IF(AND(LEN(Indices!A45)=7,MID(Indices!A45,5,2)="-T",ISNUMBER(VALUE(LEFT(Indices!A45,4))),ISNUMBER(INDEX(Indices!$A:$P,ROW(Indices!A45),COLUMN(Indices!A45)+1))),VALUE(LEFT(Indices!A45,4))*4+VALUE(RIGHT(Indices!A45,1)),0)</f>
        <v/>
      </c>
    </row>
    <row r="44">
      <c r="A44" t="inlineStr">
        <is>
          <t>ILC</t>
        </is>
      </c>
      <c r="B44">
        <f>IF(AND(LEN(Indices!A46)=7,MID(Indices!A46,5,2)="-T",ISNUMBER(VALUE(LEFT(Indices!A46,4))),ISNUMBER(INDEX(Indices!$A:$P,ROW(Indices!A46),COLUMN(Indices!A46)+1))),VALUE(LEFT(Indices!A46,4))*4+VALUE(RIGHT(Indices!A46,1)),0)</f>
        <v/>
      </c>
    </row>
    <row r="45">
      <c r="A45" t="inlineStr">
        <is>
          <t>ILC</t>
        </is>
      </c>
      <c r="B45">
        <f>IF(AND(LEN(Indices!A47)=7,MID(Indices!A47,5,2)="-T",ISNUMBER(VALUE(LEFT(Indices!A47,4))),ISNUMBER(INDEX(Indices!$A:$P,ROW(Indices!A47),COLUMN(Indices!A47)+1))),VALUE(LEFT(Indices!A47,4))*4+VALUE(RIGHT(Indices!A47,1)),0)</f>
        <v/>
      </c>
    </row>
    <row r="46">
      <c r="A46" t="inlineStr">
        <is>
          <t>ILC</t>
        </is>
      </c>
      <c r="B46">
        <f>IF(AND(LEN(Indices!A48)=7,MID(Indices!A48,5,2)="-T",ISNUMBER(VALUE(LEFT(Indices!A48,4))),ISNUMBER(INDEX(Indices!$A:$P,ROW(Indices!A48),COLUMN(Indices!A48)+1))),VALUE(LEFT(Indices!A48,4))*4+VALUE(RIGHT(Indices!A48,1)),0)</f>
        <v/>
      </c>
    </row>
    <row r="47">
      <c r="A47" t="inlineStr">
        <is>
          <t>ILC</t>
        </is>
      </c>
      <c r="B47">
        <f>IF(AND(LEN(Indices!A49)=7,MID(Indices!A49,5,2)="-T",ISNUMBER(VALUE(LEFT(Indices!A49,4))),ISNUMBER(INDEX(Indices!$A:$P,ROW(Indices!A49),COLUMN(Indices!A49)+1))),VALUE(LEFT(Indices!A49,4))*4+VALUE(RIGHT(Indices!A49,1)),0)</f>
        <v/>
      </c>
    </row>
    <row r="48">
      <c r="A48" t="inlineStr">
        <is>
          <t>ILC</t>
        </is>
      </c>
      <c r="B48">
        <f>IF(AND(LEN(Indices!A50)=7,MID(Indices!A50,5,2)="-T",ISNUMBER(VALUE(LEFT(Indices!A50,4))),ISNUMBER(INDEX(Indices!$A:$P,ROW(Indices!A50),COLUMN(Indices!A50)+1))),VALUE(LEFT(Indices!A50,4))*4+VALUE(RIGHT(Indices!A50,1)),0)</f>
        <v/>
      </c>
    </row>
    <row r="49">
      <c r="A49" t="inlineStr">
        <is>
          <t>ILC</t>
        </is>
      </c>
      <c r="B49">
        <f>IF(AND(LEN(Indices!A51)=7,MID(Indices!A51,5,2)="-T",ISNUMBER(VALUE(LEFT(Indices!A51,4))),ISNUMBER(INDEX(Indices!$A:$P,ROW(Indices!A51),COLUMN(Indices!A51)+1))),VALUE(LEFT(Indices!A51,4))*4+VALUE(RIGHT(Indices!A51,1)),0)</f>
        <v/>
      </c>
    </row>
    <row r="50">
      <c r="A50" t="inlineStr">
        <is>
          <t>ILC</t>
        </is>
      </c>
      <c r="B50">
        <f>IF(AND(LEN(Indices!A52)=7,MID(Indices!A52,5,2)="-T",ISNUMBER(VALUE(LEFT(Indices!A52,4))),ISNUMBER(INDEX(Indices!$A:$P,ROW(Indices!A52),COLUMN(Indices!A52)+1))),VALUE(LEFT(Indices!A52,4))*4+VALUE(RIGHT(Indices!A52,1)),0)</f>
        <v/>
      </c>
    </row>
    <row r="51">
      <c r="A51" t="inlineStr">
        <is>
          <t>ILC</t>
        </is>
      </c>
      <c r="B51">
        <f>IF(AND(LEN(Indices!A53)=7,MID(Indices!A53,5,2)="-T",ISNUMBER(VALUE(LEFT(Indices!A53,4))),ISNUMBER(INDEX(Indices!$A:$P,ROW(Indices!A53),COLUMN(Indices!A53)+1))),VALUE(LEFT(Indices!A53,4))*4+VALUE(RIGHT(Indices!A53,1)),0)</f>
        <v/>
      </c>
    </row>
    <row r="52">
      <c r="A52" t="inlineStr">
        <is>
          <t>ILC</t>
        </is>
      </c>
      <c r="B52">
        <f>IF(AND(LEN(Indices!A54)=7,MID(Indices!A54,5,2)="-T",ISNUMBER(VALUE(LEFT(Indices!A54,4))),ISNUMBER(INDEX(Indices!$A:$P,ROW(Indices!A54),COLUMN(Indices!A54)+1))),VALUE(LEFT(Indices!A54,4))*4+VALUE(RIGHT(Indices!A54,1)),0)</f>
        <v/>
      </c>
    </row>
    <row r="53">
      <c r="A53" t="inlineStr">
        <is>
          <t>ILC</t>
        </is>
      </c>
      <c r="B53">
        <f>IF(AND(LEN(Indices!A55)=7,MID(Indices!A55,5,2)="-T",ISNUMBER(VALUE(LEFT(Indices!A55,4))),ISNUMBER(INDEX(Indices!$A:$P,ROW(Indices!A55),COLUMN(Indices!A55)+1))),VALUE(LEFT(Indices!A55,4))*4+VALUE(RIGHT(Indices!A55,1)),0)</f>
        <v/>
      </c>
    </row>
    <row r="54">
      <c r="A54" t="inlineStr">
        <is>
          <t>ILC</t>
        </is>
      </c>
      <c r="B54">
        <f>IF(AND(LEN(Indices!A56)=7,MID(Indices!A56,5,2)="-T",ISNUMBER(VALUE(LEFT(Indices!A56,4))),ISNUMBER(INDEX(Indices!$A:$P,ROW(Indices!A56),COLUMN(Indices!A56)+1))),VALUE(LEFT(Indices!A56,4))*4+VALUE(RIGHT(Indices!A56,1)),0)</f>
        <v/>
      </c>
    </row>
    <row r="55">
      <c r="A55" t="inlineStr">
        <is>
          <t>ILC</t>
        </is>
      </c>
      <c r="B55">
        <f>IF(AND(LEN(Indices!A57)=7,MID(Indices!A57,5,2)="-T",ISNUMBER(VALUE(LEFT(Indices!A57,4))),ISNUMBER(INDEX(Indices!$A:$P,ROW(Indices!A57),COLUMN(Indices!A57)+1))),VALUE(LEFT(Indices!A57,4))*4+VALUE(RIGHT(Indices!A57,1)),0)</f>
        <v/>
      </c>
    </row>
    <row r="56">
      <c r="A56" t="inlineStr">
        <is>
          <t>ILC</t>
        </is>
      </c>
      <c r="B56">
        <f>IF(AND(LEN(Indices!A58)=7,MID(Indices!A58,5,2)="-T",ISNUMBER(VALUE(LEFT(Indices!A58,4))),ISNUMBER(INDEX(Indices!$A:$P,ROW(Indices!A58),COLUMN(Indices!A58)+1))),VALUE(LEFT(Indices!A58,4))*4+VALUE(RIGHT(Indices!A58,1)),0)</f>
        <v/>
      </c>
    </row>
    <row r="57">
      <c r="A57" t="inlineStr">
        <is>
          <t>ILC</t>
        </is>
      </c>
      <c r="B57">
        <f>IF(AND(LEN(Indices!A59)=7,MID(Indices!A59,5,2)="-T",ISNUMBER(VALUE(LEFT(Indices!A59,4))),ISNUMBER(INDEX(Indices!$A:$P,ROW(Indices!A59),COLUMN(Indices!A59)+1))),VALUE(LEFT(Indices!A59,4))*4+VALUE(RIGHT(Indices!A59,1)),0)</f>
        <v/>
      </c>
    </row>
    <row r="58">
      <c r="A58" t="inlineStr">
        <is>
          <t>ILC</t>
        </is>
      </c>
      <c r="B58">
        <f>IF(AND(LEN(Indices!A60)=7,MID(Indices!A60,5,2)="-T",ISNUMBER(VALUE(LEFT(Indices!A60,4))),ISNUMBER(INDEX(Indices!$A:$P,ROW(Indices!A60),COLUMN(Indices!A60)+1))),VALUE(LEFT(Indices!A60,4))*4+VALUE(RIGHT(Indices!A60,1)),0)</f>
        <v/>
      </c>
    </row>
    <row r="59">
      <c r="A59" t="inlineStr">
        <is>
          <t>ILC</t>
        </is>
      </c>
      <c r="B59">
        <f>IF(AND(LEN(Indices!A61)=7,MID(Indices!A61,5,2)="-T",ISNUMBER(VALUE(LEFT(Indices!A61,4))),ISNUMBER(INDEX(Indices!$A:$P,ROW(Indices!A61),COLUMN(Indices!A61)+1))),VALUE(LEFT(Indices!A61,4))*4+VALUE(RIGHT(Indices!A61,1)),0)</f>
        <v/>
      </c>
    </row>
    <row r="60">
      <c r="A60" t="inlineStr">
        <is>
          <t>ILC</t>
        </is>
      </c>
      <c r="B60">
        <f>IF(AND(LEN(Indices!A62)=7,MID(Indices!A62,5,2)="-T",ISNUMBER(VALUE(LEFT(Indices!A62,4))),ISNUMBER(INDEX(Indices!$A:$P,ROW(Indices!A62),COLUMN(Indices!A62)+1))),VALUE(LEFT(Indices!A62,4))*4+VALUE(RIGHT(Indices!A62,1)),0)</f>
        <v/>
      </c>
    </row>
    <row r="61">
      <c r="A61" t="inlineStr">
        <is>
          <t>ILC</t>
        </is>
      </c>
      <c r="B61">
        <f>IF(AND(LEN(Indices!A63)=7,MID(Indices!A63,5,2)="-T",ISNUMBER(VALUE(LEFT(Indices!A63,4))),ISNUMBER(INDEX(Indices!$A:$P,ROW(Indices!A63),COLUMN(Indices!A63)+1))),VALUE(LEFT(Indices!A63,4))*4+VALUE(RIGHT(Indices!A63,1)),0)</f>
        <v/>
      </c>
    </row>
    <row r="62">
      <c r="A62" t="inlineStr">
        <is>
          <t>ILC</t>
        </is>
      </c>
      <c r="B62">
        <f>IF(AND(LEN(Indices!A64)=7,MID(Indices!A64,5,2)="-T",ISNUMBER(VALUE(LEFT(Indices!A64,4))),ISNUMBER(INDEX(Indices!$A:$P,ROW(Indices!A64),COLUMN(Indices!A64)+1))),VALUE(LEFT(Indices!A64,4))*4+VALUE(RIGHT(Indices!A64,1)),0)</f>
        <v/>
      </c>
    </row>
    <row r="63">
      <c r="A63" t="inlineStr">
        <is>
          <t>ILC</t>
        </is>
      </c>
      <c r="B63">
        <f>IF(AND(LEN(Indices!A65)=7,MID(Indices!A65,5,2)="-T",ISNUMBER(VALUE(LEFT(Indices!A65,4))),ISNUMBER(INDEX(Indices!$A:$P,ROW(Indices!A65),COLUMN(Indices!A65)+1))),VALUE(LEFT(Indices!A65,4))*4+VALUE(RIGHT(Indices!A65,1)),0)</f>
        <v/>
      </c>
    </row>
    <row r="64">
      <c r="A64" t="inlineStr">
        <is>
          <t>ILC</t>
        </is>
      </c>
      <c r="B64">
        <f>IF(AND(LEN(Indices!A66)=7,MID(Indices!A66,5,2)="-T",ISNUMBER(VALUE(LEFT(Indices!A66,4))),ISNUMBER(INDEX(Indices!$A:$P,ROW(Indices!A66),COLUMN(Indices!A66)+1))),VALUE(LEFT(Indices!A66,4))*4+VALUE(RIGHT(Indices!A66,1)),0)</f>
        <v/>
      </c>
    </row>
    <row r="65">
      <c r="A65" t="inlineStr">
        <is>
          <t>ILC</t>
        </is>
      </c>
      <c r="B65">
        <f>IF(AND(LEN(Indices!A67)=7,MID(Indices!A67,5,2)="-T",ISNUMBER(VALUE(LEFT(Indices!A67,4))),ISNUMBER(INDEX(Indices!$A:$P,ROW(Indices!A67),COLUMN(Indices!A67)+1))),VALUE(LEFT(Indices!A67,4))*4+VALUE(RIGHT(Indices!A67,1)),0)</f>
        <v/>
      </c>
    </row>
    <row r="66">
      <c r="A66" t="inlineStr">
        <is>
          <t>ILC</t>
        </is>
      </c>
      <c r="B66">
        <f>IF(AND(LEN(Indices!A68)=7,MID(Indices!A68,5,2)="-T",ISNUMBER(VALUE(LEFT(Indices!A68,4))),ISNUMBER(INDEX(Indices!$A:$P,ROW(Indices!A68),COLUMN(Indices!A68)+1))),VALUE(LEFT(Indices!A68,4))*4+VALUE(RIGHT(Indices!A68,1)),0)</f>
        <v/>
      </c>
    </row>
    <row r="67">
      <c r="A67" t="inlineStr">
        <is>
          <t>ILC</t>
        </is>
      </c>
      <c r="B67">
        <f>IF(AND(LEN(Indices!A69)=7,MID(Indices!A69,5,2)="-T",ISNUMBER(VALUE(LEFT(Indices!A69,4))),ISNUMBER(INDEX(Indices!$A:$P,ROW(Indices!A69),COLUMN(Indices!A69)+1))),VALUE(LEFT(Indices!A69,4))*4+VALUE(RIGHT(Indices!A69,1)),0)</f>
        <v/>
      </c>
    </row>
    <row r="68">
      <c r="A68" t="inlineStr">
        <is>
          <t>ILC</t>
        </is>
      </c>
      <c r="B68">
        <f>IF(AND(LEN(Indices!A70)=7,MID(Indices!A70,5,2)="-T",ISNUMBER(VALUE(LEFT(Indices!A70,4))),ISNUMBER(INDEX(Indices!$A:$P,ROW(Indices!A70),COLUMN(Indices!A70)+1))),VALUE(LEFT(Indices!A70,4))*4+VALUE(RIGHT(Indices!A70,1)),0)</f>
        <v/>
      </c>
    </row>
    <row r="69">
      <c r="A69" t="inlineStr">
        <is>
          <t>ILC</t>
        </is>
      </c>
      <c r="B69">
        <f>IF(AND(LEN(Indices!A71)=7,MID(Indices!A71,5,2)="-T",ISNUMBER(VALUE(LEFT(Indices!A71,4))),ISNUMBER(INDEX(Indices!$A:$P,ROW(Indices!A71),COLUMN(Indices!A71)+1))),VALUE(LEFT(Indices!A71,4))*4+VALUE(RIGHT(Indices!A71,1)),0)</f>
        <v/>
      </c>
    </row>
    <row r="70">
      <c r="A70" t="inlineStr">
        <is>
          <t>ILC</t>
        </is>
      </c>
      <c r="B70">
        <f>IF(AND(LEN(Indices!A72)=7,MID(Indices!A72,5,2)="-T",ISNUMBER(VALUE(LEFT(Indices!A72,4))),ISNUMBER(INDEX(Indices!$A:$P,ROW(Indices!A72),COLUMN(Indices!A72)+1))),VALUE(LEFT(Indices!A72,4))*4+VALUE(RIGHT(Indices!A72,1)),0)</f>
        <v/>
      </c>
    </row>
    <row r="71">
      <c r="A71" t="inlineStr">
        <is>
          <t>ILC</t>
        </is>
      </c>
      <c r="B71">
        <f>IF(AND(LEN(Indices!A73)=7,MID(Indices!A73,5,2)="-T",ISNUMBER(VALUE(LEFT(Indices!A73,4))),ISNUMBER(INDEX(Indices!$A:$P,ROW(Indices!A73),COLUMN(Indices!A73)+1))),VALUE(LEFT(Indices!A73,4))*4+VALUE(RIGHT(Indices!A73,1)),0)</f>
        <v/>
      </c>
    </row>
    <row r="72">
      <c r="A72" t="inlineStr">
        <is>
          <t>ILC</t>
        </is>
      </c>
      <c r="B72">
        <f>IF(AND(LEN(Indices!A74)=7,MID(Indices!A74,5,2)="-T",ISNUMBER(VALUE(LEFT(Indices!A74,4))),ISNUMBER(INDEX(Indices!$A:$P,ROW(Indices!A74),COLUMN(Indices!A74)+1))),VALUE(LEFT(Indices!A74,4))*4+VALUE(RIGHT(Indices!A74,1)),0)</f>
        <v/>
      </c>
    </row>
    <row r="73">
      <c r="A73" t="inlineStr">
        <is>
          <t>ILC</t>
        </is>
      </c>
      <c r="B73">
        <f>IF(AND(LEN(Indices!A75)=7,MID(Indices!A75,5,2)="-T",ISNUMBER(VALUE(LEFT(Indices!A75,4))),ISNUMBER(INDEX(Indices!$A:$P,ROW(Indices!A75),COLUMN(Indices!A75)+1))),VALUE(LEFT(Indices!A75,4))*4+VALUE(RIGHT(Indices!A75,1)),0)</f>
        <v/>
      </c>
    </row>
    <row r="74">
      <c r="A74" t="inlineStr">
        <is>
          <t>ILC</t>
        </is>
      </c>
      <c r="B74">
        <f>IF(AND(LEN(Indices!A76)=7,MID(Indices!A76,5,2)="-T",ISNUMBER(VALUE(LEFT(Indices!A76,4))),ISNUMBER(INDEX(Indices!$A:$P,ROW(Indices!A76),COLUMN(Indices!A76)+1))),VALUE(LEFT(Indices!A76,4))*4+VALUE(RIGHT(Indices!A76,1)),0)</f>
        <v/>
      </c>
    </row>
    <row r="75">
      <c r="A75" t="inlineStr">
        <is>
          <t>ILC</t>
        </is>
      </c>
      <c r="B75">
        <f>IF(AND(LEN(Indices!A77)=7,MID(Indices!A77,5,2)="-T",ISNUMBER(VALUE(LEFT(Indices!A77,4))),ISNUMBER(INDEX(Indices!$A:$P,ROW(Indices!A77),COLUMN(Indices!A77)+1))),VALUE(LEFT(Indices!A77,4))*4+VALUE(RIGHT(Indices!A77,1)),0)</f>
        <v/>
      </c>
    </row>
    <row r="76">
      <c r="A76" t="inlineStr">
        <is>
          <t>ILC</t>
        </is>
      </c>
      <c r="B76">
        <f>IF(AND(LEN(Indices!A78)=7,MID(Indices!A78,5,2)="-T",ISNUMBER(VALUE(LEFT(Indices!A78,4))),ISNUMBER(INDEX(Indices!$A:$P,ROW(Indices!A78),COLUMN(Indices!A78)+1))),VALUE(LEFT(Indices!A78,4))*4+VALUE(RIGHT(Indices!A78,1)),0)</f>
        <v/>
      </c>
    </row>
    <row r="77">
      <c r="A77" t="inlineStr">
        <is>
          <t>ILC</t>
        </is>
      </c>
      <c r="B77">
        <f>IF(AND(LEN(Indices!A79)=7,MID(Indices!A79,5,2)="-T",ISNUMBER(VALUE(LEFT(Indices!A79,4))),ISNUMBER(INDEX(Indices!$A:$P,ROW(Indices!A79),COLUMN(Indices!A79)+1))),VALUE(LEFT(Indices!A79,4))*4+VALUE(RIGHT(Indices!A79,1)),0)</f>
        <v/>
      </c>
    </row>
    <row r="78">
      <c r="A78" t="inlineStr">
        <is>
          <t>ILC</t>
        </is>
      </c>
      <c r="B78">
        <f>IF(AND(LEN(Indices!A80)=7,MID(Indices!A80,5,2)="-T",ISNUMBER(VALUE(LEFT(Indices!A80,4))),ISNUMBER(INDEX(Indices!$A:$P,ROW(Indices!A80),COLUMN(Indices!A80)+1))),VALUE(LEFT(Indices!A80,4))*4+VALUE(RIGHT(Indices!A80,1)),0)</f>
        <v/>
      </c>
    </row>
    <row r="79">
      <c r="A79" t="inlineStr">
        <is>
          <t>ILC</t>
        </is>
      </c>
      <c r="B79">
        <f>IF(AND(LEN(Indices!A81)=7,MID(Indices!A81,5,2)="-T",ISNUMBER(VALUE(LEFT(Indices!A81,4))),ISNUMBER(INDEX(Indices!$A:$P,ROW(Indices!A81),COLUMN(Indices!A81)+1))),VALUE(LEFT(Indices!A81,4))*4+VALUE(RIGHT(Indices!A81,1)),0)</f>
        <v/>
      </c>
    </row>
    <row r="80">
      <c r="A80" t="inlineStr">
        <is>
          <t>ILC</t>
        </is>
      </c>
      <c r="B80">
        <f>IF(AND(LEN(Indices!A82)=7,MID(Indices!A82,5,2)="-T",ISNUMBER(VALUE(LEFT(Indices!A82,4))),ISNUMBER(INDEX(Indices!$A:$P,ROW(Indices!A82),COLUMN(Indices!A82)+1))),VALUE(LEFT(Indices!A82,4))*4+VALUE(RIGHT(Indices!A82,1)),0)</f>
        <v/>
      </c>
    </row>
    <row r="81">
      <c r="A81" t="inlineStr">
        <is>
          <t>ILC</t>
        </is>
      </c>
      <c r="B81">
        <f>IF(AND(LEN(Indices!A83)=7,MID(Indices!A83,5,2)="-T",ISNUMBER(VALUE(LEFT(Indices!A83,4))),ISNUMBER(INDEX(Indices!$A:$P,ROW(Indices!A83),COLUMN(Indices!A83)+1))),VALUE(LEFT(Indices!A83,4))*4+VALUE(RIGHT(Indices!A83,1)),0)</f>
        <v/>
      </c>
    </row>
    <row r="82">
      <c r="A82" t="inlineStr">
        <is>
          <t>ILC</t>
        </is>
      </c>
      <c r="B82">
        <f>IF(AND(LEN(Indices!A84)=7,MID(Indices!A84,5,2)="-T",ISNUMBER(VALUE(LEFT(Indices!A84,4))),ISNUMBER(INDEX(Indices!$A:$P,ROW(Indices!A84),COLUMN(Indices!A84)+1))),VALUE(LEFT(Indices!A84,4))*4+VALUE(RIGHT(Indices!A84,1)),0)</f>
        <v/>
      </c>
    </row>
    <row r="83">
      <c r="A83" t="inlineStr">
        <is>
          <t>ILC</t>
        </is>
      </c>
      <c r="B83">
        <f>IF(AND(LEN(Indices!A85)=7,MID(Indices!A85,5,2)="-T",ISNUMBER(VALUE(LEFT(Indices!A85,4))),ISNUMBER(INDEX(Indices!$A:$P,ROW(Indices!A85),COLUMN(Indices!A85)+1))),VALUE(LEFT(Indices!A85,4))*4+VALUE(RIGHT(Indices!A85,1)),0)</f>
        <v/>
      </c>
    </row>
    <row r="84">
      <c r="A84" t="inlineStr">
        <is>
          <t>ILC</t>
        </is>
      </c>
      <c r="B84">
        <f>IF(AND(LEN(Indices!A86)=7,MID(Indices!A86,5,2)="-T",ISNUMBER(VALUE(LEFT(Indices!A86,4))),ISNUMBER(INDEX(Indices!$A:$P,ROW(Indices!A86),COLUMN(Indices!A86)+1))),VALUE(LEFT(Indices!A86,4))*4+VALUE(RIGHT(Indices!A86,1)),0)</f>
        <v/>
      </c>
    </row>
    <row r="85">
      <c r="A85" t="inlineStr">
        <is>
          <t>ILC</t>
        </is>
      </c>
      <c r="B85">
        <f>IF(AND(LEN(Indices!A87)=7,MID(Indices!A87,5,2)="-T",ISNUMBER(VALUE(LEFT(Indices!A87,4))),ISNUMBER(INDEX(Indices!$A:$P,ROW(Indices!A87),COLUMN(Indices!A87)+1))),VALUE(LEFT(Indices!A87,4))*4+VALUE(RIGHT(Indices!A87,1)),0)</f>
        <v/>
      </c>
    </row>
    <row r="86">
      <c r="A86" t="inlineStr">
        <is>
          <t>ILC</t>
        </is>
      </c>
      <c r="B86">
        <f>IF(AND(LEN(Indices!A88)=7,MID(Indices!A88,5,2)="-T",ISNUMBER(VALUE(LEFT(Indices!A88,4))),ISNUMBER(INDEX(Indices!$A:$P,ROW(Indices!A88),COLUMN(Indices!A88)+1))),VALUE(LEFT(Indices!A88,4))*4+VALUE(RIGHT(Indices!A88,1)),0)</f>
        <v/>
      </c>
    </row>
    <row r="87">
      <c r="A87" t="inlineStr">
        <is>
          <t>ILC</t>
        </is>
      </c>
      <c r="B87">
        <f>IF(AND(LEN(Indices!A89)=7,MID(Indices!A89,5,2)="-T",ISNUMBER(VALUE(LEFT(Indices!A89,4))),ISNUMBER(INDEX(Indices!$A:$P,ROW(Indices!A89),COLUMN(Indices!A89)+1))),VALUE(LEFT(Indices!A89,4))*4+VALUE(RIGHT(Indices!A89,1)),0)</f>
        <v/>
      </c>
    </row>
    <row r="88">
      <c r="A88" t="inlineStr">
        <is>
          <t>ILC</t>
        </is>
      </c>
      <c r="B88">
        <f>IF(AND(LEN(Indices!A90)=7,MID(Indices!A90,5,2)="-T",ISNUMBER(VALUE(LEFT(Indices!A90,4))),ISNUMBER(INDEX(Indices!$A:$P,ROW(Indices!A90),COLUMN(Indices!A90)+1))),VALUE(LEFT(Indices!A90,4))*4+VALUE(RIGHT(Indices!A90,1)),0)</f>
        <v/>
      </c>
    </row>
    <row r="89">
      <c r="A89" t="inlineStr">
        <is>
          <t>ILC</t>
        </is>
      </c>
      <c r="B89">
        <f>IF(AND(LEN(Indices!A91)=7,MID(Indices!A91,5,2)="-T",ISNUMBER(VALUE(LEFT(Indices!A91,4))),ISNUMBER(INDEX(Indices!$A:$P,ROW(Indices!A91),COLUMN(Indices!A91)+1))),VALUE(LEFT(Indices!A91,4))*4+VALUE(RIGHT(Indices!A91,1)),0)</f>
        <v/>
      </c>
    </row>
    <row r="90">
      <c r="A90" t="inlineStr">
        <is>
          <t>ILC</t>
        </is>
      </c>
      <c r="B90">
        <f>IF(AND(LEN(Indices!A92)=7,MID(Indices!A92,5,2)="-T",ISNUMBER(VALUE(LEFT(Indices!A92,4))),ISNUMBER(INDEX(Indices!$A:$P,ROW(Indices!A92),COLUMN(Indices!A92)+1))),VALUE(LEFT(Indices!A92,4))*4+VALUE(RIGHT(Indices!A92,1)),0)</f>
        <v/>
      </c>
    </row>
    <row r="91">
      <c r="A91" t="inlineStr">
        <is>
          <t>ILC</t>
        </is>
      </c>
      <c r="B91">
        <f>IF(AND(LEN(Indices!A93)=7,MID(Indices!A93,5,2)="-T",ISNUMBER(VALUE(LEFT(Indices!A93,4))),ISNUMBER(INDEX(Indices!$A:$P,ROW(Indices!A93),COLUMN(Indices!A93)+1))),VALUE(LEFT(Indices!A93,4))*4+VALUE(RIGHT(Indices!A93,1)),0)</f>
        <v/>
      </c>
    </row>
    <row r="92">
      <c r="A92" t="inlineStr">
        <is>
          <t>ILC</t>
        </is>
      </c>
      <c r="B92">
        <f>IF(AND(LEN(Indices!A94)=7,MID(Indices!A94,5,2)="-T",ISNUMBER(VALUE(LEFT(Indices!A94,4))),ISNUMBER(INDEX(Indices!$A:$P,ROW(Indices!A94),COLUMN(Indices!A94)+1))),VALUE(LEFT(Indices!A94,4))*4+VALUE(RIGHT(Indices!A94,1)),0)</f>
        <v/>
      </c>
    </row>
    <row r="93">
      <c r="A93" t="inlineStr">
        <is>
          <t>ILC</t>
        </is>
      </c>
      <c r="B93">
        <f>IF(AND(LEN(Indices!A95)=7,MID(Indices!A95,5,2)="-T",ISNUMBER(VALUE(LEFT(Indices!A95,4))),ISNUMBER(INDEX(Indices!$A:$P,ROW(Indices!A95),COLUMN(Indices!A95)+1))),VALUE(LEFT(Indices!A95,4))*4+VALUE(RIGHT(Indices!A95,1)),0)</f>
        <v/>
      </c>
    </row>
    <row r="94">
      <c r="A94" t="inlineStr">
        <is>
          <t>ILC</t>
        </is>
      </c>
      <c r="B94">
        <f>IF(AND(LEN(Indices!A96)=7,MID(Indices!A96,5,2)="-T",ISNUMBER(VALUE(LEFT(Indices!A96,4))),ISNUMBER(INDEX(Indices!$A:$P,ROW(Indices!A96),COLUMN(Indices!A96)+1))),VALUE(LEFT(Indices!A96,4))*4+VALUE(RIGHT(Indices!A96,1)),0)</f>
        <v/>
      </c>
    </row>
    <row r="95">
      <c r="A95" t="inlineStr">
        <is>
          <t>ILC</t>
        </is>
      </c>
      <c r="B95">
        <f>IF(AND(LEN(Indices!A97)=7,MID(Indices!A97,5,2)="-T",ISNUMBER(VALUE(LEFT(Indices!A97,4))),ISNUMBER(INDEX(Indices!$A:$P,ROW(Indices!A97),COLUMN(Indices!A97)+1))),VALUE(LEFT(Indices!A97,4))*4+VALUE(RIGHT(Indices!A97,1)),0)</f>
        <v/>
      </c>
    </row>
    <row r="96">
      <c r="A96" t="inlineStr">
        <is>
          <t>ILC</t>
        </is>
      </c>
      <c r="B96">
        <f>IF(AND(LEN(Indices!A98)=7,MID(Indices!A98,5,2)="-T",ISNUMBER(VALUE(LEFT(Indices!A98,4))),ISNUMBER(INDEX(Indices!$A:$P,ROW(Indices!A98),COLUMN(Indices!A98)+1))),VALUE(LEFT(Indices!A98,4))*4+VALUE(RIGHT(Indices!A98,1)),0)</f>
        <v/>
      </c>
    </row>
    <row r="97">
      <c r="A97" t="inlineStr">
        <is>
          <t>ILC</t>
        </is>
      </c>
      <c r="B97">
        <f>IF(AND(LEN(Indices!A99)=7,MID(Indices!A99,5,2)="-T",ISNUMBER(VALUE(LEFT(Indices!A99,4))),ISNUMBER(INDEX(Indices!$A:$P,ROW(Indices!A99),COLUMN(Indices!A99)+1))),VALUE(LEFT(Indices!A99,4))*4+VALUE(RIGHT(Indices!A99,1)),0)</f>
        <v/>
      </c>
    </row>
    <row r="98">
      <c r="A98" t="inlineStr">
        <is>
          <t>ILC</t>
        </is>
      </c>
      <c r="B98">
        <f>IF(AND(LEN(Indices!A100)=7,MID(Indices!A100,5,2)="-T",ISNUMBER(VALUE(LEFT(Indices!A100,4))),ISNUMBER(INDEX(Indices!$A:$P,ROW(Indices!A100),COLUMN(Indices!A100)+1))),VALUE(LEFT(Indices!A100,4))*4+VALUE(RIGHT(Indices!A100,1)),0)</f>
        <v/>
      </c>
    </row>
    <row r="99">
      <c r="A99" t="inlineStr">
        <is>
          <t>ILC</t>
        </is>
      </c>
      <c r="B99">
        <f>IF(AND(LEN(Indices!A101)=7,MID(Indices!A101,5,2)="-T",ISNUMBER(VALUE(LEFT(Indices!A101,4))),ISNUMBER(INDEX(Indices!$A:$P,ROW(Indices!A101),COLUMN(Indices!A101)+1))),VALUE(LEFT(Indices!A101,4))*4+VALUE(RIGHT(Indices!A101,1)),0)</f>
        <v/>
      </c>
    </row>
    <row r="100">
      <c r="A100" t="inlineStr">
        <is>
          <t>ILC</t>
        </is>
      </c>
      <c r="B100">
        <f>IF(AND(LEN(Indices!A102)=7,MID(Indices!A102,5,2)="-T",ISNUMBER(VALUE(LEFT(Indices!A102,4))),ISNUMBER(INDEX(Indices!$A:$P,ROW(Indices!A102),COLUMN(Indices!A102)+1))),VALUE(LEFT(Indices!A102,4))*4+VALUE(RIGHT(Indices!A102,1)),0)</f>
        <v/>
      </c>
    </row>
    <row r="101">
      <c r="A101" t="inlineStr">
        <is>
          <t>ILC</t>
        </is>
      </c>
      <c r="B101">
        <f>IF(AND(LEN(Indices!A103)=7,MID(Indices!A103,5,2)="-T",ISNUMBER(VALUE(LEFT(Indices!A103,4))),ISNUMBER(INDEX(Indices!$A:$P,ROW(Indices!A103),COLUMN(Indices!A103)+1))),VALUE(LEFT(Indices!A103,4))*4+VALUE(RIGHT(Indices!A103,1)),0)</f>
        <v/>
      </c>
    </row>
    <row r="102">
      <c r="A102" t="inlineStr">
        <is>
          <t>ILC</t>
        </is>
      </c>
      <c r="B102">
        <f>IF(AND(LEN(Indices!A104)=7,MID(Indices!A104,5,2)="-T",ISNUMBER(VALUE(LEFT(Indices!A104,4))),ISNUMBER(INDEX(Indices!$A:$P,ROW(Indices!A104),COLUMN(Indices!A104)+1))),VALUE(LEFT(Indices!A104,4))*4+VALUE(RIGHT(Indices!A104,1)),0)</f>
        <v/>
      </c>
    </row>
    <row r="103">
      <c r="A103" t="inlineStr">
        <is>
          <t>ILC</t>
        </is>
      </c>
      <c r="B103">
        <f>IF(AND(LEN(Indices!A105)=7,MID(Indices!A105,5,2)="-T",ISNUMBER(VALUE(LEFT(Indices!A105,4))),ISNUMBER(INDEX(Indices!$A:$P,ROW(Indices!A105),COLUMN(Indices!A105)+1))),VALUE(LEFT(Indices!A105,4))*4+VALUE(RIGHT(Indices!A105,1)),0)</f>
        <v/>
      </c>
    </row>
    <row r="104">
      <c r="A104" t="inlineStr">
        <is>
          <t>ILC</t>
        </is>
      </c>
      <c r="B104">
        <f>IF(AND(LEN(Indices!A106)=7,MID(Indices!A106,5,2)="-T",ISNUMBER(VALUE(LEFT(Indices!A106,4))),ISNUMBER(INDEX(Indices!$A:$P,ROW(Indices!A106),COLUMN(Indices!A106)+1))),VALUE(LEFT(Indices!A106,4))*4+VALUE(RIGHT(Indices!A106,1)),0)</f>
        <v/>
      </c>
    </row>
    <row r="105">
      <c r="A105" t="inlineStr">
        <is>
          <t>ILC</t>
        </is>
      </c>
      <c r="B105">
        <f>IF(AND(LEN(Indices!A107)=7,MID(Indices!A107,5,2)="-T",ISNUMBER(VALUE(LEFT(Indices!A107,4))),ISNUMBER(INDEX(Indices!$A:$P,ROW(Indices!A107),COLUMN(Indices!A107)+1))),VALUE(LEFT(Indices!A107,4))*4+VALUE(RIGHT(Indices!A107,1)),0)</f>
        <v/>
      </c>
    </row>
    <row r="106">
      <c r="A106" t="inlineStr">
        <is>
          <t>ILC</t>
        </is>
      </c>
      <c r="B106">
        <f>IF(AND(LEN(Indices!A108)=7,MID(Indices!A108,5,2)="-T",ISNUMBER(VALUE(LEFT(Indices!A108,4))),ISNUMBER(INDEX(Indices!$A:$P,ROW(Indices!A108),COLUMN(Indices!A108)+1))),VALUE(LEFT(Indices!A108,4))*4+VALUE(RIGHT(Indices!A108,1)),0)</f>
        <v/>
      </c>
    </row>
    <row r="107">
      <c r="A107" t="inlineStr">
        <is>
          <t>ILC</t>
        </is>
      </c>
      <c r="B107">
        <f>IF(AND(LEN(Indices!A109)=7,MID(Indices!A109,5,2)="-T",ISNUMBER(VALUE(LEFT(Indices!A109,4))),ISNUMBER(INDEX(Indices!$A:$P,ROW(Indices!A109),COLUMN(Indices!A109)+1))),VALUE(LEFT(Indices!A109,4))*4+VALUE(RIGHT(Indices!A109,1)),0)</f>
        <v/>
      </c>
    </row>
    <row r="108">
      <c r="A108" t="inlineStr">
        <is>
          <t>ILC</t>
        </is>
      </c>
      <c r="B108">
        <f>IF(AND(LEN(Indices!A110)=7,MID(Indices!A110,5,2)="-T",ISNUMBER(VALUE(LEFT(Indices!A110,4))),ISNUMBER(INDEX(Indices!$A:$P,ROW(Indices!A110),COLUMN(Indices!A110)+1))),VALUE(LEFT(Indices!A110,4))*4+VALUE(RIGHT(Indices!A110,1)),0)</f>
        <v/>
      </c>
    </row>
    <row r="109">
      <c r="A109" t="inlineStr">
        <is>
          <t>ILC</t>
        </is>
      </c>
      <c r="B109">
        <f>IF(AND(LEN(Indices!A111)=7,MID(Indices!A111,5,2)="-T",ISNUMBER(VALUE(LEFT(Indices!A111,4))),ISNUMBER(INDEX(Indices!$A:$P,ROW(Indices!A111),COLUMN(Indices!A111)+1))),VALUE(LEFT(Indices!A111,4))*4+VALUE(RIGHT(Indices!A111,1)),0)</f>
        <v/>
      </c>
    </row>
    <row r="110">
      <c r="A110" t="inlineStr">
        <is>
          <t>ILC</t>
        </is>
      </c>
      <c r="B110">
        <f>IF(AND(LEN(Indices!A112)=7,MID(Indices!A112,5,2)="-T",ISNUMBER(VALUE(LEFT(Indices!A112,4))),ISNUMBER(INDEX(Indices!$A:$P,ROW(Indices!A112),COLUMN(Indices!A112)+1))),VALUE(LEFT(Indices!A112,4))*4+VALUE(RIGHT(Indices!A112,1)),0)</f>
        <v/>
      </c>
    </row>
    <row r="111">
      <c r="A111" t="inlineStr">
        <is>
          <t>ILC</t>
        </is>
      </c>
      <c r="B111">
        <f>IF(AND(LEN(Indices!A113)=7,MID(Indices!A113,5,2)="-T",ISNUMBER(VALUE(LEFT(Indices!A113,4))),ISNUMBER(INDEX(Indices!$A:$P,ROW(Indices!A113),COLUMN(Indices!A113)+1))),VALUE(LEFT(Indices!A113,4))*4+VALUE(RIGHT(Indices!A113,1)),0)</f>
        <v/>
      </c>
    </row>
    <row r="112">
      <c r="A112" t="inlineStr">
        <is>
          <t>ILC</t>
        </is>
      </c>
      <c r="B112">
        <f>IF(AND(LEN(Indices!A114)=7,MID(Indices!A114,5,2)="-T",ISNUMBER(VALUE(LEFT(Indices!A114,4))),ISNUMBER(INDEX(Indices!$A:$P,ROW(Indices!A114),COLUMN(Indices!A114)+1))),VALUE(LEFT(Indices!A114,4))*4+VALUE(RIGHT(Indices!A114,1)),0)</f>
        <v/>
      </c>
    </row>
    <row r="113">
      <c r="A113" t="inlineStr">
        <is>
          <t>ILC</t>
        </is>
      </c>
      <c r="B113">
        <f>IF(AND(LEN(Indices!A115)=7,MID(Indices!A115,5,2)="-T",ISNUMBER(VALUE(LEFT(Indices!A115,4))),ISNUMBER(INDEX(Indices!$A:$P,ROW(Indices!A115),COLUMN(Indices!A115)+1))),VALUE(LEFT(Indices!A115,4))*4+VALUE(RIGHT(Indices!A115,1)),0)</f>
        <v/>
      </c>
    </row>
    <row r="114">
      <c r="A114" t="inlineStr">
        <is>
          <t>ILC</t>
        </is>
      </c>
      <c r="B114">
        <f>IF(AND(LEN(Indices!A116)=7,MID(Indices!A116,5,2)="-T",ISNUMBER(VALUE(LEFT(Indices!A116,4))),ISNUMBER(INDEX(Indices!$A:$P,ROW(Indices!A116),COLUMN(Indices!A116)+1))),VALUE(LEFT(Indices!A116,4))*4+VALUE(RIGHT(Indices!A116,1)),0)</f>
        <v/>
      </c>
    </row>
    <row r="115">
      <c r="A115" t="inlineStr">
        <is>
          <t>ILC</t>
        </is>
      </c>
      <c r="B115">
        <f>IF(AND(LEN(Indices!A117)=7,MID(Indices!A117,5,2)="-T",ISNUMBER(VALUE(LEFT(Indices!A117,4))),ISNUMBER(INDEX(Indices!$A:$P,ROW(Indices!A117),COLUMN(Indices!A117)+1))),VALUE(LEFT(Indices!A117,4))*4+VALUE(RIGHT(Indices!A117,1)),0)</f>
        <v/>
      </c>
    </row>
    <row r="116">
      <c r="A116" t="inlineStr">
        <is>
          <t>ILC</t>
        </is>
      </c>
      <c r="B116">
        <f>IF(AND(LEN(Indices!A118)=7,MID(Indices!A118,5,2)="-T",ISNUMBER(VALUE(LEFT(Indices!A118,4))),ISNUMBER(INDEX(Indices!$A:$P,ROW(Indices!A118),COLUMN(Indices!A118)+1))),VALUE(LEFT(Indices!A118,4))*4+VALUE(RIGHT(Indices!A118,1)),0)</f>
        <v/>
      </c>
    </row>
    <row r="117">
      <c r="A117" t="inlineStr">
        <is>
          <t>ILC</t>
        </is>
      </c>
      <c r="B117">
        <f>IF(AND(LEN(Indices!A119)=7,MID(Indices!A119,5,2)="-T",ISNUMBER(VALUE(LEFT(Indices!A119,4))),ISNUMBER(INDEX(Indices!$A:$P,ROW(Indices!A119),COLUMN(Indices!A119)+1))),VALUE(LEFT(Indices!A119,4))*4+VALUE(RIGHT(Indices!A119,1)),0)</f>
        <v/>
      </c>
    </row>
    <row r="118">
      <c r="A118" t="inlineStr">
        <is>
          <t>ILC</t>
        </is>
      </c>
      <c r="B118">
        <f>IF(AND(LEN(Indices!A120)=7,MID(Indices!A120,5,2)="-T",ISNUMBER(VALUE(LEFT(Indices!A120,4))),ISNUMBER(INDEX(Indices!$A:$P,ROW(Indices!A120),COLUMN(Indices!A120)+1))),VALUE(LEFT(Indices!A120,4))*4+VALUE(RIGHT(Indices!A120,1)),0)</f>
        <v/>
      </c>
    </row>
    <row r="119">
      <c r="A119" t="inlineStr">
        <is>
          <t>ILC</t>
        </is>
      </c>
      <c r="B119">
        <f>IF(AND(LEN(Indices!A121)=7,MID(Indices!A121,5,2)="-T",ISNUMBER(VALUE(LEFT(Indices!A121,4))),ISNUMBER(INDEX(Indices!$A:$P,ROW(Indices!A121),COLUMN(Indices!A121)+1))),VALUE(LEFT(Indices!A121,4))*4+VALUE(RIGHT(Indices!A121,1)),0)</f>
        <v/>
      </c>
    </row>
    <row r="120">
      <c r="A120" t="inlineStr">
        <is>
          <t>ILC</t>
        </is>
      </c>
      <c r="B120">
        <f>IF(AND(LEN(Indices!A122)=7,MID(Indices!A122,5,2)="-T",ISNUMBER(VALUE(LEFT(Indices!A122,4))),ISNUMBER(INDEX(Indices!$A:$P,ROW(Indices!A122),COLUMN(Indices!A122)+1))),VALUE(LEFT(Indices!A122,4))*4+VALUE(RIGHT(Indices!A122,1)),0)</f>
        <v/>
      </c>
    </row>
    <row r="121">
      <c r="A121" t="inlineStr">
        <is>
          <t>ILC</t>
        </is>
      </c>
      <c r="B121">
        <f>IF(AND(LEN(Indices!A123)=7,MID(Indices!A123,5,2)="-T",ISNUMBER(VALUE(LEFT(Indices!A123,4))),ISNUMBER(INDEX(Indices!$A:$P,ROW(Indices!A123),COLUMN(Indices!A123)+1))),VALUE(LEFT(Indices!A123,4))*4+VALUE(RIGHT(Indices!A123,1)),0)</f>
        <v/>
      </c>
    </row>
    <row r="122">
      <c r="A122" t="inlineStr">
        <is>
          <t>ILC</t>
        </is>
      </c>
      <c r="B122">
        <f>IF(AND(LEN(Indices!A124)=7,MID(Indices!A124,5,2)="-T",ISNUMBER(VALUE(LEFT(Indices!A124,4))),ISNUMBER(INDEX(Indices!$A:$P,ROW(Indices!A124),COLUMN(Indices!A124)+1))),VALUE(LEFT(Indices!A124,4))*4+VALUE(RIGHT(Indices!A124,1)),0)</f>
        <v/>
      </c>
    </row>
    <row r="123">
      <c r="A123" t="inlineStr">
        <is>
          <t>ILC</t>
        </is>
      </c>
      <c r="B123">
        <f>IF(AND(LEN(Indices!A125)=7,MID(Indices!A125,5,2)="-T",ISNUMBER(VALUE(LEFT(Indices!A125,4))),ISNUMBER(INDEX(Indices!$A:$P,ROW(Indices!A125),COLUMN(Indices!A125)+1))),VALUE(LEFT(Indices!A125,4))*4+VALUE(RIGHT(Indices!A125,1)),0)</f>
        <v/>
      </c>
    </row>
    <row r="124">
      <c r="A124" t="inlineStr">
        <is>
          <t>ILC</t>
        </is>
      </c>
      <c r="B124">
        <f>IF(AND(LEN(Indices!A126)=7,MID(Indices!A126,5,2)="-T",ISNUMBER(VALUE(LEFT(Indices!A126,4))),ISNUMBER(INDEX(Indices!$A:$P,ROW(Indices!A126),COLUMN(Indices!A126)+1))),VALUE(LEFT(Indices!A126,4))*4+VALUE(RIGHT(Indices!A126,1)),0)</f>
        <v/>
      </c>
    </row>
    <row r="125">
      <c r="A125" t="inlineStr">
        <is>
          <t>ILC</t>
        </is>
      </c>
      <c r="B125">
        <f>IF(AND(LEN(Indices!A127)=7,MID(Indices!A127,5,2)="-T",ISNUMBER(VALUE(LEFT(Indices!A127,4))),ISNUMBER(INDEX(Indices!$A:$P,ROW(Indices!A127),COLUMN(Indices!A127)+1))),VALUE(LEFT(Indices!A127,4))*4+VALUE(RIGHT(Indices!A127,1)),0)</f>
        <v/>
      </c>
    </row>
    <row r="126">
      <c r="A126" t="inlineStr">
        <is>
          <t>ILC</t>
        </is>
      </c>
      <c r="B126">
        <f>IF(AND(LEN(Indices!A128)=7,MID(Indices!A128,5,2)="-T",ISNUMBER(VALUE(LEFT(Indices!A128,4))),ISNUMBER(INDEX(Indices!$A:$P,ROW(Indices!A128),COLUMN(Indices!A128)+1))),VALUE(LEFT(Indices!A128,4))*4+VALUE(RIGHT(Indices!A128,1)),0)</f>
        <v/>
      </c>
    </row>
    <row r="127">
      <c r="A127" t="inlineStr">
        <is>
          <t>ILC</t>
        </is>
      </c>
      <c r="B127">
        <f>IF(AND(LEN(Indices!A129)=7,MID(Indices!A129,5,2)="-T",ISNUMBER(VALUE(LEFT(Indices!A129,4))),ISNUMBER(INDEX(Indices!$A:$P,ROW(Indices!A129),COLUMN(Indices!A129)+1))),VALUE(LEFT(Indices!A129,4))*4+VALUE(RIGHT(Indices!A129,1)),0)</f>
        <v/>
      </c>
    </row>
    <row r="128">
      <c r="A128" t="inlineStr">
        <is>
          <t>ILC</t>
        </is>
      </c>
      <c r="B128">
        <f>IF(AND(LEN(Indices!A130)=7,MID(Indices!A130,5,2)="-T",ISNUMBER(VALUE(LEFT(Indices!A130,4))),ISNUMBER(INDEX(Indices!$A:$P,ROW(Indices!A130),COLUMN(Indices!A130)+1))),VALUE(LEFT(Indices!A130,4))*4+VALUE(RIGHT(Indices!A130,1)),0)</f>
        <v/>
      </c>
    </row>
    <row r="129">
      <c r="A129" t="inlineStr">
        <is>
          <t>ILC</t>
        </is>
      </c>
      <c r="B129">
        <f>IF(AND(LEN(Indices!A131)=7,MID(Indices!A131,5,2)="-T",ISNUMBER(VALUE(LEFT(Indices!A131,4))),ISNUMBER(INDEX(Indices!$A:$P,ROW(Indices!A131),COLUMN(Indices!A131)+1))),VALUE(LEFT(Indices!A131,4))*4+VALUE(RIGHT(Indices!A131,1)),0)</f>
        <v/>
      </c>
    </row>
    <row r="130">
      <c r="A130" t="inlineStr">
        <is>
          <t>ILC</t>
        </is>
      </c>
      <c r="B130">
        <f>IF(AND(LEN(Indices!A132)=7,MID(Indices!A132,5,2)="-T",ISNUMBER(VALUE(LEFT(Indices!A132,4))),ISNUMBER(INDEX(Indices!$A:$P,ROW(Indices!A132),COLUMN(Indices!A132)+1))),VALUE(LEFT(Indices!A132,4))*4+VALUE(RIGHT(Indices!A132,1)),0)</f>
        <v/>
      </c>
    </row>
    <row r="131">
      <c r="A131" t="inlineStr">
        <is>
          <t>ILC</t>
        </is>
      </c>
      <c r="B131">
        <f>IF(AND(LEN(Indices!A133)=7,MID(Indices!A133,5,2)="-T",ISNUMBER(VALUE(LEFT(Indices!A133,4))),ISNUMBER(INDEX(Indices!$A:$P,ROW(Indices!A133),COLUMN(Indices!A133)+1))),VALUE(LEFT(Indices!A133,4))*4+VALUE(RIGHT(Indices!A133,1)),0)</f>
        <v/>
      </c>
    </row>
    <row r="132">
      <c r="A132" t="inlineStr">
        <is>
          <t>ILC</t>
        </is>
      </c>
      <c r="B132">
        <f>IF(AND(LEN(Indices!A134)=7,MID(Indices!A134,5,2)="-T",ISNUMBER(VALUE(LEFT(Indices!A134,4))),ISNUMBER(INDEX(Indices!$A:$P,ROW(Indices!A134),COLUMN(Indices!A134)+1))),VALUE(LEFT(Indices!A134,4))*4+VALUE(RIGHT(Indices!A134,1)),0)</f>
        <v/>
      </c>
    </row>
    <row r="133">
      <c r="A133" t="inlineStr">
        <is>
          <t>ILC</t>
        </is>
      </c>
      <c r="B133">
        <f>IF(AND(LEN(Indices!A135)=7,MID(Indices!A135,5,2)="-T",ISNUMBER(VALUE(LEFT(Indices!A135,4))),ISNUMBER(INDEX(Indices!$A:$P,ROW(Indices!A135),COLUMN(Indices!A135)+1))),VALUE(LEFT(Indices!A135,4))*4+VALUE(RIGHT(Indices!A135,1)),0)</f>
        <v/>
      </c>
    </row>
    <row r="134">
      <c r="A134" t="inlineStr">
        <is>
          <t>ILC</t>
        </is>
      </c>
      <c r="B134">
        <f>IF(AND(LEN(Indices!A136)=7,MID(Indices!A136,5,2)="-T",ISNUMBER(VALUE(LEFT(Indices!A136,4))),ISNUMBER(INDEX(Indices!$A:$P,ROW(Indices!A136),COLUMN(Indices!A136)+1))),VALUE(LEFT(Indices!A136,4))*4+VALUE(RIGHT(Indices!A136,1)),0)</f>
        <v/>
      </c>
    </row>
    <row r="135">
      <c r="A135" t="inlineStr">
        <is>
          <t>ILC</t>
        </is>
      </c>
      <c r="B135">
        <f>IF(AND(LEN(Indices!A137)=7,MID(Indices!A137,5,2)="-T",ISNUMBER(VALUE(LEFT(Indices!A137,4))),ISNUMBER(INDEX(Indices!$A:$P,ROW(Indices!A137),COLUMN(Indices!A137)+1))),VALUE(LEFT(Indices!A137,4))*4+VALUE(RIGHT(Indices!A137,1)),0)</f>
        <v/>
      </c>
    </row>
    <row r="136">
      <c r="A136" t="inlineStr">
        <is>
          <t>ILC</t>
        </is>
      </c>
      <c r="B136">
        <f>IF(AND(LEN(Indices!A138)=7,MID(Indices!A138,5,2)="-T",ISNUMBER(VALUE(LEFT(Indices!A138,4))),ISNUMBER(INDEX(Indices!$A:$P,ROW(Indices!A138),COLUMN(Indices!A138)+1))),VALUE(LEFT(Indices!A138,4))*4+VALUE(RIGHT(Indices!A138,1)),0)</f>
        <v/>
      </c>
    </row>
    <row r="137">
      <c r="A137" t="inlineStr">
        <is>
          <t>ILC</t>
        </is>
      </c>
      <c r="B137">
        <f>IF(AND(LEN(Indices!A139)=7,MID(Indices!A139,5,2)="-T",ISNUMBER(VALUE(LEFT(Indices!A139,4))),ISNUMBER(INDEX(Indices!$A:$P,ROW(Indices!A139),COLUMN(Indices!A139)+1))),VALUE(LEFT(Indices!A139,4))*4+VALUE(RIGHT(Indices!A139,1)),0)</f>
        <v/>
      </c>
    </row>
    <row r="138">
      <c r="A138" t="inlineStr">
        <is>
          <t>ILC</t>
        </is>
      </c>
      <c r="B138">
        <f>IF(AND(LEN(Indices!A140)=7,MID(Indices!A140,5,2)="-T",ISNUMBER(VALUE(LEFT(Indices!A140,4))),ISNUMBER(INDEX(Indices!$A:$P,ROW(Indices!A140),COLUMN(Indices!A140)+1))),VALUE(LEFT(Indices!A140,4))*4+VALUE(RIGHT(Indices!A140,1)),0)</f>
        <v/>
      </c>
    </row>
    <row r="139">
      <c r="A139" t="inlineStr">
        <is>
          <t>ILC</t>
        </is>
      </c>
      <c r="B139">
        <f>IF(AND(LEN(Indices!A141)=7,MID(Indices!A141,5,2)="-T",ISNUMBER(VALUE(LEFT(Indices!A141,4))),ISNUMBER(INDEX(Indices!$A:$P,ROW(Indices!A141),COLUMN(Indices!A141)+1))),VALUE(LEFT(Indices!A141,4))*4+VALUE(RIGHT(Indices!A141,1)),0)</f>
        <v/>
      </c>
    </row>
    <row r="140">
      <c r="A140" t="inlineStr">
        <is>
          <t>ILC</t>
        </is>
      </c>
      <c r="B140">
        <f>IF(AND(LEN(Indices!A142)=7,MID(Indices!A142,5,2)="-T",ISNUMBER(VALUE(LEFT(Indices!A142,4))),ISNUMBER(INDEX(Indices!$A:$P,ROW(Indices!A142),COLUMN(Indices!A142)+1))),VALUE(LEFT(Indices!A142,4))*4+VALUE(RIGHT(Indices!A142,1)),0)</f>
        <v/>
      </c>
    </row>
    <row r="141">
      <c r="A141" t="inlineStr">
        <is>
          <t>ILC</t>
        </is>
      </c>
      <c r="B141">
        <f>IF(AND(LEN(Indices!A143)=7,MID(Indices!A143,5,2)="-T",ISNUMBER(VALUE(LEFT(Indices!A143,4))),ISNUMBER(INDEX(Indices!$A:$P,ROW(Indices!A143),COLUMN(Indices!A143)+1))),VALUE(LEFT(Indices!A143,4))*4+VALUE(RIGHT(Indices!A143,1)),0)</f>
        <v/>
      </c>
    </row>
    <row r="142">
      <c r="A142" t="inlineStr">
        <is>
          <t>ILC</t>
        </is>
      </c>
      <c r="B142">
        <f>IF(AND(LEN(Indices!A144)=7,MID(Indices!A144,5,2)="-T",ISNUMBER(VALUE(LEFT(Indices!A144,4))),ISNUMBER(INDEX(Indices!$A:$P,ROW(Indices!A144),COLUMN(Indices!A144)+1))),VALUE(LEFT(Indices!A144,4))*4+VALUE(RIGHT(Indices!A144,1)),0)</f>
        <v/>
      </c>
    </row>
    <row r="143">
      <c r="A143" t="inlineStr">
        <is>
          <t>ILC</t>
        </is>
      </c>
      <c r="B143">
        <f>IF(AND(LEN(Indices!A145)=7,MID(Indices!A145,5,2)="-T",ISNUMBER(VALUE(LEFT(Indices!A145,4))),ISNUMBER(INDEX(Indices!$A:$P,ROW(Indices!A145),COLUMN(Indices!A145)+1))),VALUE(LEFT(Indices!A145,4))*4+VALUE(RIGHT(Indices!A145,1)),0)</f>
        <v/>
      </c>
    </row>
    <row r="144">
      <c r="A144" t="inlineStr">
        <is>
          <t>ILC</t>
        </is>
      </c>
      <c r="B144">
        <f>IF(AND(LEN(Indices!A146)=7,MID(Indices!A146,5,2)="-T",ISNUMBER(VALUE(LEFT(Indices!A146,4))),ISNUMBER(INDEX(Indices!$A:$P,ROW(Indices!A146),COLUMN(Indices!A146)+1))),VALUE(LEFT(Indices!A146,4))*4+VALUE(RIGHT(Indices!A146,1)),0)</f>
        <v/>
      </c>
    </row>
    <row r="145">
      <c r="A145" t="inlineStr">
        <is>
          <t>ILC</t>
        </is>
      </c>
      <c r="B145">
        <f>IF(AND(LEN(Indices!A147)=7,MID(Indices!A147,5,2)="-T",ISNUMBER(VALUE(LEFT(Indices!A147,4))),ISNUMBER(INDEX(Indices!$A:$P,ROW(Indices!A147),COLUMN(Indices!A147)+1))),VALUE(LEFT(Indices!A147,4))*4+VALUE(RIGHT(Indices!A147,1)),0)</f>
        <v/>
      </c>
    </row>
    <row r="146">
      <c r="A146" t="inlineStr">
        <is>
          <t>ILC</t>
        </is>
      </c>
      <c r="B146">
        <f>IF(AND(LEN(Indices!A148)=7,MID(Indices!A148,5,2)="-T",ISNUMBER(VALUE(LEFT(Indices!A148,4))),ISNUMBER(INDEX(Indices!$A:$P,ROW(Indices!A148),COLUMN(Indices!A148)+1))),VALUE(LEFT(Indices!A148,4))*4+VALUE(RIGHT(Indices!A148,1)),0)</f>
        <v/>
      </c>
    </row>
    <row r="147">
      <c r="A147" t="inlineStr">
        <is>
          <t>ILC</t>
        </is>
      </c>
      <c r="B147">
        <f>IF(AND(LEN(Indices!A149)=7,MID(Indices!A149,5,2)="-T",ISNUMBER(VALUE(LEFT(Indices!A149,4))),ISNUMBER(INDEX(Indices!$A:$P,ROW(Indices!A149),COLUMN(Indices!A149)+1))),VALUE(LEFT(Indices!A149,4))*4+VALUE(RIGHT(Indices!A149,1)),0)</f>
        <v/>
      </c>
    </row>
    <row r="148">
      <c r="A148" t="inlineStr">
        <is>
          <t>ILC</t>
        </is>
      </c>
      <c r="B148">
        <f>IF(AND(LEN(Indices!A150)=7,MID(Indices!A150,5,2)="-T",ISNUMBER(VALUE(LEFT(Indices!A150,4))),ISNUMBER(INDEX(Indices!$A:$P,ROW(Indices!A150),COLUMN(Indices!A150)+1))),VALUE(LEFT(Indices!A150,4))*4+VALUE(RIGHT(Indices!A150,1)),0)</f>
        <v/>
      </c>
    </row>
    <row r="149">
      <c r="A149" t="inlineStr">
        <is>
          <t>ILC</t>
        </is>
      </c>
      <c r="B149">
        <f>IF(AND(LEN(Indices!A151)=7,MID(Indices!A151,5,2)="-T",ISNUMBER(VALUE(LEFT(Indices!A151,4))),ISNUMBER(INDEX(Indices!$A:$P,ROW(Indices!A151),COLUMN(Indices!A151)+1))),VALUE(LEFT(Indices!A151,4))*4+VALUE(RIGHT(Indices!A151,1)),0)</f>
        <v/>
      </c>
    </row>
    <row r="150">
      <c r="A150" t="inlineStr">
        <is>
          <t>ILC</t>
        </is>
      </c>
      <c r="B150">
        <f>IF(AND(LEN(Indices!A152)=7,MID(Indices!A152,5,2)="-T",ISNUMBER(VALUE(LEFT(Indices!A152,4))),ISNUMBER(INDEX(Indices!$A:$P,ROW(Indices!A152),COLUMN(Indices!A152)+1))),VALUE(LEFT(Indices!A152,4))*4+VALUE(RIGHT(Indices!A152,1)),0)</f>
        <v/>
      </c>
    </row>
    <row r="151">
      <c r="A151" t="inlineStr">
        <is>
          <t>ILC</t>
        </is>
      </c>
      <c r="B151">
        <f>IF(AND(LEN(Indices!A153)=7,MID(Indices!A153,5,2)="-T",ISNUMBER(VALUE(LEFT(Indices!A153,4))),ISNUMBER(INDEX(Indices!$A:$P,ROW(Indices!A153),COLUMN(Indices!A153)+1))),VALUE(LEFT(Indices!A153,4))*4+VALUE(RIGHT(Indices!A153,1)),0)</f>
        <v/>
      </c>
    </row>
    <row r="152">
      <c r="A152" t="inlineStr">
        <is>
          <t>ILC</t>
        </is>
      </c>
      <c r="B152">
        <f>IF(AND(LEN(Indices!A154)=7,MID(Indices!A154,5,2)="-T",ISNUMBER(VALUE(LEFT(Indices!A154,4))),ISNUMBER(INDEX(Indices!$A:$P,ROW(Indices!A154),COLUMN(Indices!A154)+1))),VALUE(LEFT(Indices!A154,4))*4+VALUE(RIGHT(Indices!A154,1)),0)</f>
        <v/>
      </c>
    </row>
    <row r="153">
      <c r="A153" t="inlineStr">
        <is>
          <t>ILC</t>
        </is>
      </c>
      <c r="B153">
        <f>IF(AND(LEN(Indices!A155)=7,MID(Indices!A155,5,2)="-T",ISNUMBER(VALUE(LEFT(Indices!A155,4))),ISNUMBER(INDEX(Indices!$A:$P,ROW(Indices!A155),COLUMN(Indices!A155)+1))),VALUE(LEFT(Indices!A155,4))*4+VALUE(RIGHT(Indices!A155,1)),0)</f>
        <v/>
      </c>
    </row>
    <row r="154">
      <c r="A154" t="inlineStr">
        <is>
          <t>ILC</t>
        </is>
      </c>
      <c r="B154">
        <f>IF(AND(LEN(Indices!A156)=7,MID(Indices!A156,5,2)="-T",ISNUMBER(VALUE(LEFT(Indices!A156,4))),ISNUMBER(INDEX(Indices!$A:$P,ROW(Indices!A156),COLUMN(Indices!A156)+1))),VALUE(LEFT(Indices!A156,4))*4+VALUE(RIGHT(Indices!A156,1)),0)</f>
        <v/>
      </c>
    </row>
    <row r="155">
      <c r="A155" t="inlineStr">
        <is>
          <t>ILC</t>
        </is>
      </c>
      <c r="B155">
        <f>IF(AND(LEN(Indices!A157)=7,MID(Indices!A157,5,2)="-T",ISNUMBER(VALUE(LEFT(Indices!A157,4))),ISNUMBER(INDEX(Indices!$A:$P,ROW(Indices!A157),COLUMN(Indices!A157)+1))),VALUE(LEFT(Indices!A157,4))*4+VALUE(RIGHT(Indices!A157,1)),0)</f>
        <v/>
      </c>
    </row>
    <row r="156">
      <c r="A156" t="inlineStr">
        <is>
          <t>ILC</t>
        </is>
      </c>
      <c r="B156">
        <f>IF(AND(LEN(Indices!A158)=7,MID(Indices!A158,5,2)="-T",ISNUMBER(VALUE(LEFT(Indices!A158,4))),ISNUMBER(INDEX(Indices!$A:$P,ROW(Indices!A158),COLUMN(Indices!A158)+1))),VALUE(LEFT(Indices!A158,4))*4+VALUE(RIGHT(Indices!A158,1)),0)</f>
        <v/>
      </c>
    </row>
    <row r="157">
      <c r="A157" t="inlineStr">
        <is>
          <t>ILC</t>
        </is>
      </c>
      <c r="B157">
        <f>IF(AND(LEN(Indices!A159)=7,MID(Indices!A159,5,2)="-T",ISNUMBER(VALUE(LEFT(Indices!A159,4))),ISNUMBER(INDEX(Indices!$A:$P,ROW(Indices!A159),COLUMN(Indices!A159)+1))),VALUE(LEFT(Indices!A159,4))*4+VALUE(RIGHT(Indices!A159,1)),0)</f>
        <v/>
      </c>
    </row>
    <row r="158">
      <c r="A158" t="inlineStr">
        <is>
          <t>ILC</t>
        </is>
      </c>
      <c r="B158">
        <f>IF(AND(LEN(Indices!A160)=7,MID(Indices!A160,5,2)="-T",ISNUMBER(VALUE(LEFT(Indices!A160,4))),ISNUMBER(INDEX(Indices!$A:$P,ROW(Indices!A160),COLUMN(Indices!A160)+1))),VALUE(LEFT(Indices!A160,4))*4+VALUE(RIGHT(Indices!A160,1)),0)</f>
        <v/>
      </c>
    </row>
    <row r="159">
      <c r="A159" t="inlineStr">
        <is>
          <t>ILC</t>
        </is>
      </c>
      <c r="B159">
        <f>IF(AND(LEN(Indices!A161)=7,MID(Indices!A161,5,2)="-T",ISNUMBER(VALUE(LEFT(Indices!A161,4))),ISNUMBER(INDEX(Indices!$A:$P,ROW(Indices!A161),COLUMN(Indices!A161)+1))),VALUE(LEFT(Indices!A161,4))*4+VALUE(RIGHT(Indices!A161,1)),0)</f>
        <v/>
      </c>
    </row>
    <row r="160">
      <c r="A160" t="inlineStr">
        <is>
          <t>ILC</t>
        </is>
      </c>
      <c r="B160">
        <f>IF(AND(LEN(Indices!A162)=7,MID(Indices!A162,5,2)="-T",ISNUMBER(VALUE(LEFT(Indices!A162,4))),ISNUMBER(INDEX(Indices!$A:$P,ROW(Indices!A162),COLUMN(Indices!A162)+1))),VALUE(LEFT(Indices!A162,4))*4+VALUE(RIGHT(Indices!A162,1)),0)</f>
        <v/>
      </c>
    </row>
    <row r="161">
      <c r="A161" t="inlineStr">
        <is>
          <t>ILC</t>
        </is>
      </c>
      <c r="B161">
        <f>IF(AND(LEN(Indices!A163)=7,MID(Indices!A163,5,2)="-T",ISNUMBER(VALUE(LEFT(Indices!A163,4))),ISNUMBER(INDEX(Indices!$A:$P,ROW(Indices!A163),COLUMN(Indices!A163)+1))),VALUE(LEFT(Indices!A163,4))*4+VALUE(RIGHT(Indices!A163,1)),0)</f>
        <v/>
      </c>
    </row>
    <row r="162">
      <c r="A162" t="inlineStr">
        <is>
          <t>ILC</t>
        </is>
      </c>
      <c r="B162">
        <f>IF(AND(LEN(Indices!A164)=7,MID(Indices!A164,5,2)="-T",ISNUMBER(VALUE(LEFT(Indices!A164,4))),ISNUMBER(INDEX(Indices!$A:$P,ROW(Indices!A164),COLUMN(Indices!A164)+1))),VALUE(LEFT(Indices!A164,4))*4+VALUE(RIGHT(Indices!A164,1)),0)</f>
        <v/>
      </c>
    </row>
    <row r="163">
      <c r="A163" t="inlineStr">
        <is>
          <t>ILC</t>
        </is>
      </c>
      <c r="B163">
        <f>IF(AND(LEN(Indices!A165)=7,MID(Indices!A165,5,2)="-T",ISNUMBER(VALUE(LEFT(Indices!A165,4))),ISNUMBER(INDEX(Indices!$A:$P,ROW(Indices!A165),COLUMN(Indices!A165)+1))),VALUE(LEFT(Indices!A165,4))*4+VALUE(RIGHT(Indices!A165,1)),0)</f>
        <v/>
      </c>
    </row>
    <row r="164">
      <c r="A164" t="inlineStr">
        <is>
          <t>ILC</t>
        </is>
      </c>
      <c r="B164">
        <f>IF(AND(LEN(Indices!A166)=7,MID(Indices!A166,5,2)="-T",ISNUMBER(VALUE(LEFT(Indices!A166,4))),ISNUMBER(INDEX(Indices!$A:$P,ROW(Indices!A166),COLUMN(Indices!A166)+1))),VALUE(LEFT(Indices!A166,4))*4+VALUE(RIGHT(Indices!A166,1)),0)</f>
        <v/>
      </c>
    </row>
    <row r="165">
      <c r="A165" t="inlineStr">
        <is>
          <t>ILC</t>
        </is>
      </c>
      <c r="B165">
        <f>IF(AND(LEN(Indices!A167)=7,MID(Indices!A167,5,2)="-T",ISNUMBER(VALUE(LEFT(Indices!A167,4))),ISNUMBER(INDEX(Indices!$A:$P,ROW(Indices!A167),COLUMN(Indices!A167)+1))),VALUE(LEFT(Indices!A167,4))*4+VALUE(RIGHT(Indices!A167,1)),0)</f>
        <v/>
      </c>
    </row>
    <row r="166">
      <c r="A166" t="inlineStr">
        <is>
          <t>ILC</t>
        </is>
      </c>
      <c r="B166">
        <f>IF(AND(LEN(Indices!A168)=7,MID(Indices!A168,5,2)="-T",ISNUMBER(VALUE(LEFT(Indices!A168,4))),ISNUMBER(INDEX(Indices!$A:$P,ROW(Indices!A168),COLUMN(Indices!A168)+1))),VALUE(LEFT(Indices!A168,4))*4+VALUE(RIGHT(Indices!A168,1)),0)</f>
        <v/>
      </c>
    </row>
    <row r="167">
      <c r="A167" t="inlineStr">
        <is>
          <t>ILC</t>
        </is>
      </c>
      <c r="B167">
        <f>IF(AND(LEN(Indices!A169)=7,MID(Indices!A169,5,2)="-T",ISNUMBER(VALUE(LEFT(Indices!A169,4))),ISNUMBER(INDEX(Indices!$A:$P,ROW(Indices!A169),COLUMN(Indices!A169)+1))),VALUE(LEFT(Indices!A169,4))*4+VALUE(RIGHT(Indices!A169,1)),0)</f>
        <v/>
      </c>
    </row>
    <row r="168">
      <c r="A168" t="inlineStr">
        <is>
          <t>ILC</t>
        </is>
      </c>
      <c r="B168">
        <f>IF(AND(LEN(Indices!A170)=7,MID(Indices!A170,5,2)="-T",ISNUMBER(VALUE(LEFT(Indices!A170,4))),ISNUMBER(INDEX(Indices!$A:$P,ROW(Indices!A170),COLUMN(Indices!A170)+1))),VALUE(LEFT(Indices!A170,4))*4+VALUE(RIGHT(Indices!A170,1)),0)</f>
        <v/>
      </c>
    </row>
    <row r="169">
      <c r="A169" t="inlineStr">
        <is>
          <t>ILC</t>
        </is>
      </c>
      <c r="B169">
        <f>IF(AND(LEN(Indices!A171)=7,MID(Indices!A171,5,2)="-T",ISNUMBER(VALUE(LEFT(Indices!A171,4))),ISNUMBER(INDEX(Indices!$A:$P,ROW(Indices!A171),COLUMN(Indices!A171)+1))),VALUE(LEFT(Indices!A171,4))*4+VALUE(RIGHT(Indices!A171,1)),0)</f>
        <v/>
      </c>
    </row>
    <row r="170">
      <c r="A170" t="inlineStr">
        <is>
          <t>ILC</t>
        </is>
      </c>
      <c r="B170">
        <f>IF(AND(LEN(Indices!A172)=7,MID(Indices!A172,5,2)="-T",ISNUMBER(VALUE(LEFT(Indices!A172,4))),ISNUMBER(INDEX(Indices!$A:$P,ROW(Indices!A172),COLUMN(Indices!A172)+1))),VALUE(LEFT(Indices!A172,4))*4+VALUE(RIGHT(Indices!A172,1)),0)</f>
        <v/>
      </c>
    </row>
    <row r="171">
      <c r="A171" t="inlineStr">
        <is>
          <t>ILC</t>
        </is>
      </c>
      <c r="B171">
        <f>IF(AND(LEN(Indices!A173)=7,MID(Indices!A173,5,2)="-T",ISNUMBER(VALUE(LEFT(Indices!A173,4))),ISNUMBER(INDEX(Indices!$A:$P,ROW(Indices!A173),COLUMN(Indices!A173)+1))),VALUE(LEFT(Indices!A173,4))*4+VALUE(RIGHT(Indices!A173,1)),0)</f>
        <v/>
      </c>
    </row>
    <row r="172">
      <c r="A172" t="inlineStr">
        <is>
          <t>ILC</t>
        </is>
      </c>
      <c r="B172">
        <f>IF(AND(LEN(Indices!A174)=7,MID(Indices!A174,5,2)="-T",ISNUMBER(VALUE(LEFT(Indices!A174,4))),ISNUMBER(INDEX(Indices!$A:$P,ROW(Indices!A174),COLUMN(Indices!A174)+1))),VALUE(LEFT(Indices!A174,4))*4+VALUE(RIGHT(Indices!A174,1)),0)</f>
        <v/>
      </c>
    </row>
    <row r="173">
      <c r="A173" t="inlineStr">
        <is>
          <t>ILC</t>
        </is>
      </c>
      <c r="B173">
        <f>IF(AND(LEN(Indices!A175)=7,MID(Indices!A175,5,2)="-T",ISNUMBER(VALUE(LEFT(Indices!A175,4))),ISNUMBER(INDEX(Indices!$A:$P,ROW(Indices!A175),COLUMN(Indices!A175)+1))),VALUE(LEFT(Indices!A175,4))*4+VALUE(RIGHT(Indices!A175,1)),0)</f>
        <v/>
      </c>
    </row>
    <row r="174">
      <c r="A174" t="inlineStr">
        <is>
          <t>ILC</t>
        </is>
      </c>
      <c r="B174">
        <f>IF(AND(LEN(Indices!A176)=7,MID(Indices!A176,5,2)="-T",ISNUMBER(VALUE(LEFT(Indices!A176,4))),ISNUMBER(INDEX(Indices!$A:$P,ROW(Indices!A176),COLUMN(Indices!A176)+1))),VALUE(LEFT(Indices!A176,4))*4+VALUE(RIGHT(Indices!A176,1)),0)</f>
        <v/>
      </c>
    </row>
    <row r="175">
      <c r="A175" t="inlineStr">
        <is>
          <t>ILC</t>
        </is>
      </c>
      <c r="B175">
        <f>IF(AND(LEN(Indices!A177)=7,MID(Indices!A177,5,2)="-T",ISNUMBER(VALUE(LEFT(Indices!A177,4))),ISNUMBER(INDEX(Indices!$A:$P,ROW(Indices!A177),COLUMN(Indices!A177)+1))),VALUE(LEFT(Indices!A177,4))*4+VALUE(RIGHT(Indices!A177,1)),0)</f>
        <v/>
      </c>
    </row>
    <row r="176">
      <c r="A176" t="inlineStr">
        <is>
          <t>ILC</t>
        </is>
      </c>
      <c r="B176">
        <f>IF(AND(LEN(Indices!A178)=7,MID(Indices!A178,5,2)="-T",ISNUMBER(VALUE(LEFT(Indices!A178,4))),ISNUMBER(INDEX(Indices!$A:$P,ROW(Indices!A178),COLUMN(Indices!A178)+1))),VALUE(LEFT(Indices!A178,4))*4+VALUE(RIGHT(Indices!A178,1)),0)</f>
        <v/>
      </c>
    </row>
    <row r="177">
      <c r="A177" t="inlineStr">
        <is>
          <t>ILC</t>
        </is>
      </c>
      <c r="B177">
        <f>IF(AND(LEN(Indices!A179)=7,MID(Indices!A179,5,2)="-T",ISNUMBER(VALUE(LEFT(Indices!A179,4))),ISNUMBER(INDEX(Indices!$A:$P,ROW(Indices!A179),COLUMN(Indices!A179)+1))),VALUE(LEFT(Indices!A179,4))*4+VALUE(RIGHT(Indices!A179,1)),0)</f>
        <v/>
      </c>
    </row>
    <row r="178">
      <c r="A178" t="inlineStr">
        <is>
          <t>ILC</t>
        </is>
      </c>
      <c r="B178">
        <f>IF(AND(LEN(Indices!A180)=7,MID(Indices!A180,5,2)="-T",ISNUMBER(VALUE(LEFT(Indices!A180,4))),ISNUMBER(INDEX(Indices!$A:$P,ROW(Indices!A180),COLUMN(Indices!A180)+1))),VALUE(LEFT(Indices!A180,4))*4+VALUE(RIGHT(Indices!A180,1)),0)</f>
        <v/>
      </c>
    </row>
    <row r="179">
      <c r="A179" t="inlineStr">
        <is>
          <t>ILC</t>
        </is>
      </c>
      <c r="B179">
        <f>IF(AND(LEN(Indices!A181)=7,MID(Indices!A181,5,2)="-T",ISNUMBER(VALUE(LEFT(Indices!A181,4))),ISNUMBER(INDEX(Indices!$A:$P,ROW(Indices!A181),COLUMN(Indices!A181)+1))),VALUE(LEFT(Indices!A181,4))*4+VALUE(RIGHT(Indices!A181,1)),0)</f>
        <v/>
      </c>
    </row>
    <row r="180">
      <c r="A180" t="inlineStr">
        <is>
          <t>ILC</t>
        </is>
      </c>
      <c r="B180">
        <f>IF(AND(LEN(Indices!A182)=7,MID(Indices!A182,5,2)="-T",ISNUMBER(VALUE(LEFT(Indices!A182,4))),ISNUMBER(INDEX(Indices!$A:$P,ROW(Indices!A182),COLUMN(Indices!A182)+1))),VALUE(LEFT(Indices!A182,4))*4+VALUE(RIGHT(Indices!A182,1)),0)</f>
        <v/>
      </c>
    </row>
    <row r="181">
      <c r="A181" t="inlineStr">
        <is>
          <t>ILC</t>
        </is>
      </c>
      <c r="B181">
        <f>IF(AND(LEN(Indices!A183)=7,MID(Indices!A183,5,2)="-T",ISNUMBER(VALUE(LEFT(Indices!A183,4))),ISNUMBER(INDEX(Indices!$A:$P,ROW(Indices!A183),COLUMN(Indices!A183)+1))),VALUE(LEFT(Indices!A183,4))*4+VALUE(RIGHT(Indices!A183,1)),0)</f>
        <v/>
      </c>
    </row>
    <row r="182">
      <c r="A182" t="inlineStr">
        <is>
          <t>ILC</t>
        </is>
      </c>
      <c r="B182">
        <f>IF(AND(LEN(Indices!A184)=7,MID(Indices!A184,5,2)="-T",ISNUMBER(VALUE(LEFT(Indices!A184,4))),ISNUMBER(INDEX(Indices!$A:$P,ROW(Indices!A184),COLUMN(Indices!A184)+1))),VALUE(LEFT(Indices!A184,4))*4+VALUE(RIGHT(Indices!A184,1)),0)</f>
        <v/>
      </c>
    </row>
    <row r="183">
      <c r="A183" t="inlineStr">
        <is>
          <t>ILC</t>
        </is>
      </c>
      <c r="B183">
        <f>IF(AND(LEN(Indices!A185)=7,MID(Indices!A185,5,2)="-T",ISNUMBER(VALUE(LEFT(Indices!A185,4))),ISNUMBER(INDEX(Indices!$A:$P,ROW(Indices!A185),COLUMN(Indices!A185)+1))),VALUE(LEFT(Indices!A185,4))*4+VALUE(RIGHT(Indices!A185,1)),0)</f>
        <v/>
      </c>
    </row>
    <row r="184">
      <c r="A184" t="inlineStr">
        <is>
          <t>ILC</t>
        </is>
      </c>
      <c r="B184">
        <f>IF(AND(LEN(Indices!A186)=7,MID(Indices!A186,5,2)="-T",ISNUMBER(VALUE(LEFT(Indices!A186,4))),ISNUMBER(INDEX(Indices!$A:$P,ROW(Indices!A186),COLUMN(Indices!A186)+1))),VALUE(LEFT(Indices!A186,4))*4+VALUE(RIGHT(Indices!A186,1)),0)</f>
        <v/>
      </c>
    </row>
    <row r="185">
      <c r="A185" t="inlineStr">
        <is>
          <t>ILC</t>
        </is>
      </c>
      <c r="B185">
        <f>IF(AND(LEN(Indices!A187)=7,MID(Indices!A187,5,2)="-T",ISNUMBER(VALUE(LEFT(Indices!A187,4))),ISNUMBER(INDEX(Indices!$A:$P,ROW(Indices!A187),COLUMN(Indices!A187)+1))),VALUE(LEFT(Indices!A187,4))*4+VALUE(RIGHT(Indices!A187,1)),0)</f>
        <v/>
      </c>
    </row>
    <row r="186">
      <c r="A186" t="inlineStr">
        <is>
          <t>ILC</t>
        </is>
      </c>
      <c r="B186">
        <f>IF(AND(LEN(Indices!A188)=7,MID(Indices!A188,5,2)="-T",ISNUMBER(VALUE(LEFT(Indices!A188,4))),ISNUMBER(INDEX(Indices!$A:$P,ROW(Indices!A188),COLUMN(Indices!A188)+1))),VALUE(LEFT(Indices!A188,4))*4+VALUE(RIGHT(Indices!A188,1)),0)</f>
        <v/>
      </c>
    </row>
    <row r="187">
      <c r="A187" t="inlineStr">
        <is>
          <t>ILC</t>
        </is>
      </c>
      <c r="B187">
        <f>IF(AND(LEN(Indices!A189)=7,MID(Indices!A189,5,2)="-T",ISNUMBER(VALUE(LEFT(Indices!A189,4))),ISNUMBER(INDEX(Indices!$A:$P,ROW(Indices!A189),COLUMN(Indices!A189)+1))),VALUE(LEFT(Indices!A189,4))*4+VALUE(RIGHT(Indices!A189,1)),0)</f>
        <v/>
      </c>
    </row>
    <row r="188">
      <c r="A188" t="inlineStr">
        <is>
          <t>ILC</t>
        </is>
      </c>
      <c r="B188">
        <f>IF(AND(LEN(Indices!A190)=7,MID(Indices!A190,5,2)="-T",ISNUMBER(VALUE(LEFT(Indices!A190,4))),ISNUMBER(INDEX(Indices!$A:$P,ROW(Indices!A190),COLUMN(Indices!A190)+1))),VALUE(LEFT(Indices!A190,4))*4+VALUE(RIGHT(Indices!A190,1)),0)</f>
        <v/>
      </c>
    </row>
    <row r="189">
      <c r="A189" t="inlineStr">
        <is>
          <t>ILC</t>
        </is>
      </c>
      <c r="B189">
        <f>IF(AND(LEN(Indices!A191)=7,MID(Indices!A191,5,2)="-T",ISNUMBER(VALUE(LEFT(Indices!A191,4))),ISNUMBER(INDEX(Indices!$A:$P,ROW(Indices!A191),COLUMN(Indices!A191)+1))),VALUE(LEFT(Indices!A191,4))*4+VALUE(RIGHT(Indices!A191,1)),0)</f>
        <v/>
      </c>
    </row>
    <row r="190">
      <c r="A190" t="inlineStr">
        <is>
          <t>ILC</t>
        </is>
      </c>
      <c r="B190">
        <f>IF(AND(LEN(Indices!A192)=7,MID(Indices!A192,5,2)="-T",ISNUMBER(VALUE(LEFT(Indices!A192,4))),ISNUMBER(INDEX(Indices!$A:$P,ROW(Indices!A192),COLUMN(Indices!A192)+1))),VALUE(LEFT(Indices!A192,4))*4+VALUE(RIGHT(Indices!A192,1)),0)</f>
        <v/>
      </c>
    </row>
    <row r="191">
      <c r="A191" t="inlineStr">
        <is>
          <t>ILC</t>
        </is>
      </c>
      <c r="B191">
        <f>IF(AND(LEN(Indices!A193)=7,MID(Indices!A193,5,2)="-T",ISNUMBER(VALUE(LEFT(Indices!A193,4))),ISNUMBER(INDEX(Indices!$A:$P,ROW(Indices!A193),COLUMN(Indices!A193)+1))),VALUE(LEFT(Indices!A193,4))*4+VALUE(RIGHT(Indices!A193,1)),0)</f>
        <v/>
      </c>
    </row>
    <row r="192">
      <c r="A192" t="inlineStr">
        <is>
          <t>ILC</t>
        </is>
      </c>
      <c r="B192">
        <f>IF(AND(LEN(Indices!A194)=7,MID(Indices!A194,5,2)="-T",ISNUMBER(VALUE(LEFT(Indices!A194,4))),ISNUMBER(INDEX(Indices!$A:$P,ROW(Indices!A194),COLUMN(Indices!A194)+1))),VALUE(LEFT(Indices!A194,4))*4+VALUE(RIGHT(Indices!A194,1)),0)</f>
        <v/>
      </c>
    </row>
    <row r="193">
      <c r="A193" t="inlineStr">
        <is>
          <t>ILC</t>
        </is>
      </c>
      <c r="B193">
        <f>IF(AND(LEN(Indices!A195)=7,MID(Indices!A195,5,2)="-T",ISNUMBER(VALUE(LEFT(Indices!A195,4))),ISNUMBER(INDEX(Indices!$A:$P,ROW(Indices!A195),COLUMN(Indices!A195)+1))),VALUE(LEFT(Indices!A195,4))*4+VALUE(RIGHT(Indices!A195,1)),0)</f>
        <v/>
      </c>
    </row>
    <row r="194">
      <c r="A194" t="inlineStr">
        <is>
          <t>ILC</t>
        </is>
      </c>
      <c r="B194">
        <f>IF(AND(LEN(Indices!A196)=7,MID(Indices!A196,5,2)="-T",ISNUMBER(VALUE(LEFT(Indices!A196,4))),ISNUMBER(INDEX(Indices!$A:$P,ROW(Indices!A196),COLUMN(Indices!A196)+1))),VALUE(LEFT(Indices!A196,4))*4+VALUE(RIGHT(Indices!A196,1)),0)</f>
        <v/>
      </c>
    </row>
    <row r="195">
      <c r="A195" t="inlineStr">
        <is>
          <t>ILC</t>
        </is>
      </c>
      <c r="B195">
        <f>IF(AND(LEN(Indices!A197)=7,MID(Indices!A197,5,2)="-T",ISNUMBER(VALUE(LEFT(Indices!A197,4))),ISNUMBER(INDEX(Indices!$A:$P,ROW(Indices!A197),COLUMN(Indices!A197)+1))),VALUE(LEFT(Indices!A197,4))*4+VALUE(RIGHT(Indices!A197,1)),0)</f>
        <v/>
      </c>
    </row>
    <row r="196">
      <c r="A196" t="inlineStr">
        <is>
          <t>ILC</t>
        </is>
      </c>
      <c r="B196">
        <f>IF(AND(LEN(Indices!A198)=7,MID(Indices!A198,5,2)="-T",ISNUMBER(VALUE(LEFT(Indices!A198,4))),ISNUMBER(INDEX(Indices!$A:$P,ROW(Indices!A198),COLUMN(Indices!A198)+1))),VALUE(LEFT(Indices!A198,4))*4+VALUE(RIGHT(Indices!A198,1)),0)</f>
        <v/>
      </c>
    </row>
    <row r="197">
      <c r="A197" t="inlineStr">
        <is>
          <t>ILC</t>
        </is>
      </c>
      <c r="B197">
        <f>IF(AND(LEN(Indices!A199)=7,MID(Indices!A199,5,2)="-T",ISNUMBER(VALUE(LEFT(Indices!A199,4))),ISNUMBER(INDEX(Indices!$A:$P,ROW(Indices!A199),COLUMN(Indices!A199)+1))),VALUE(LEFT(Indices!A199,4))*4+VALUE(RIGHT(Indices!A199,1)),0)</f>
        <v/>
      </c>
    </row>
    <row r="198">
      <c r="A198" t="inlineStr">
        <is>
          <t>ILC</t>
        </is>
      </c>
      <c r="B198">
        <f>IF(AND(LEN(Indices!A200)=7,MID(Indices!A200,5,2)="-T",ISNUMBER(VALUE(LEFT(Indices!A200,4))),ISNUMBER(INDEX(Indices!$A:$P,ROW(Indices!A200),COLUMN(Indices!A200)+1))),VALUE(LEFT(Indices!A200,4))*4+VALUE(RIGHT(Indices!A200,1)),0)</f>
        <v/>
      </c>
    </row>
    <row r="199">
      <c r="A199" t="inlineStr">
        <is>
          <t>ILC</t>
        </is>
      </c>
      <c r="B199">
        <f>IF(AND(LEN(Indices!A201)=7,MID(Indices!A201,5,2)="-T",ISNUMBER(VALUE(LEFT(Indices!A201,4))),ISNUMBER(INDEX(Indices!$A:$P,ROW(Indices!A201),COLUMN(Indices!A201)+1))),VALUE(LEFT(Indices!A201,4))*4+VALUE(RIGHT(Indices!A201,1)),0)</f>
        <v/>
      </c>
    </row>
    <row r="200">
      <c r="A200" t="inlineStr">
        <is>
          <t>ILC</t>
        </is>
      </c>
      <c r="B200">
        <f>IF(AND(LEN(Indices!A202)=7,MID(Indices!A202,5,2)="-T",ISNUMBER(VALUE(LEFT(Indices!A202,4))),ISNUMBER(INDEX(Indices!$A:$P,ROW(Indices!A202),COLUMN(Indices!A202)+1))),VALUE(LEFT(Indices!A202,4))*4+VALUE(RIGHT(Indices!A202,1)),0)</f>
        <v/>
      </c>
    </row>
    <row r="201">
      <c r="A201" t="inlineStr">
        <is>
          <t>ILC</t>
        </is>
      </c>
      <c r="B201">
        <f>IF(AND(LEN(Indices!A203)=7,MID(Indices!A203,5,2)="-T",ISNUMBER(VALUE(LEFT(Indices!A203,4))),ISNUMBER(INDEX(Indices!$A:$P,ROW(Indices!A203),COLUMN(Indices!A203)+1))),VALUE(LEFT(Indices!A203,4))*4+VALUE(RIGHT(Indices!A203,1)),0)</f>
        <v/>
      </c>
    </row>
    <row r="202">
      <c r="A202" t="inlineStr">
        <is>
          <t>ILAT</t>
        </is>
      </c>
      <c r="B202">
        <f>IF(AND(LEN(Indices!E4)=7,MID(Indices!E4,5,2)="-T",ISNUMBER(VALUE(LEFT(Indices!E4,4))),ISNUMBER(INDEX(Indices!$A:$P,ROW(Indices!E4),COLUMN(Indices!E4)+1))),VALUE(LEFT(Indices!E4,4))*4+VALUE(RIGHT(Indices!E4,1)),0)</f>
        <v/>
      </c>
    </row>
    <row r="203">
      <c r="A203" t="inlineStr">
        <is>
          <t>ILAT</t>
        </is>
      </c>
      <c r="B203">
        <f>IF(AND(LEN(Indices!E5)=7,MID(Indices!E5,5,2)="-T",ISNUMBER(VALUE(LEFT(Indices!E5,4))),ISNUMBER(INDEX(Indices!$A:$P,ROW(Indices!E5),COLUMN(Indices!E5)+1))),VALUE(LEFT(Indices!E5,4))*4+VALUE(RIGHT(Indices!E5,1)),0)</f>
        <v/>
      </c>
    </row>
    <row r="204">
      <c r="A204" t="inlineStr">
        <is>
          <t>ILAT</t>
        </is>
      </c>
      <c r="B204">
        <f>IF(AND(LEN(Indices!E6)=7,MID(Indices!E6,5,2)="-T",ISNUMBER(VALUE(LEFT(Indices!E6,4))),ISNUMBER(INDEX(Indices!$A:$P,ROW(Indices!E6),COLUMN(Indices!E6)+1))),VALUE(LEFT(Indices!E6,4))*4+VALUE(RIGHT(Indices!E6,1)),0)</f>
        <v/>
      </c>
    </row>
    <row r="205">
      <c r="A205" t="inlineStr">
        <is>
          <t>ILAT</t>
        </is>
      </c>
      <c r="B205">
        <f>IF(AND(LEN(Indices!E7)=7,MID(Indices!E7,5,2)="-T",ISNUMBER(VALUE(LEFT(Indices!E7,4))),ISNUMBER(INDEX(Indices!$A:$P,ROW(Indices!E7),COLUMN(Indices!E7)+1))),VALUE(LEFT(Indices!E7,4))*4+VALUE(RIGHT(Indices!E7,1)),0)</f>
        <v/>
      </c>
    </row>
    <row r="206">
      <c r="A206" t="inlineStr">
        <is>
          <t>ILAT</t>
        </is>
      </c>
      <c r="B206">
        <f>IF(AND(LEN(Indices!E8)=7,MID(Indices!E8,5,2)="-T",ISNUMBER(VALUE(LEFT(Indices!E8,4))),ISNUMBER(INDEX(Indices!$A:$P,ROW(Indices!E8),COLUMN(Indices!E8)+1))),VALUE(LEFT(Indices!E8,4))*4+VALUE(RIGHT(Indices!E8,1)),0)</f>
        <v/>
      </c>
    </row>
    <row r="207">
      <c r="A207" t="inlineStr">
        <is>
          <t>ILAT</t>
        </is>
      </c>
      <c r="B207">
        <f>IF(AND(LEN(Indices!E9)=7,MID(Indices!E9,5,2)="-T",ISNUMBER(VALUE(LEFT(Indices!E9,4))),ISNUMBER(INDEX(Indices!$A:$P,ROW(Indices!E9),COLUMN(Indices!E9)+1))),VALUE(LEFT(Indices!E9,4))*4+VALUE(RIGHT(Indices!E9,1)),0)</f>
        <v/>
      </c>
    </row>
    <row r="208">
      <c r="A208" t="inlineStr">
        <is>
          <t>ILAT</t>
        </is>
      </c>
      <c r="B208">
        <f>IF(AND(LEN(Indices!E10)=7,MID(Indices!E10,5,2)="-T",ISNUMBER(VALUE(LEFT(Indices!E10,4))),ISNUMBER(INDEX(Indices!$A:$P,ROW(Indices!E10),COLUMN(Indices!E10)+1))),VALUE(LEFT(Indices!E10,4))*4+VALUE(RIGHT(Indices!E10,1)),0)</f>
        <v/>
      </c>
    </row>
    <row r="209">
      <c r="A209" t="inlineStr">
        <is>
          <t>ILAT</t>
        </is>
      </c>
      <c r="B209">
        <f>IF(AND(LEN(Indices!E11)=7,MID(Indices!E11,5,2)="-T",ISNUMBER(VALUE(LEFT(Indices!E11,4))),ISNUMBER(INDEX(Indices!$A:$P,ROW(Indices!E11),COLUMN(Indices!E11)+1))),VALUE(LEFT(Indices!E11,4))*4+VALUE(RIGHT(Indices!E11,1)),0)</f>
        <v/>
      </c>
    </row>
    <row r="210">
      <c r="A210" t="inlineStr">
        <is>
          <t>ILAT</t>
        </is>
      </c>
      <c r="B210">
        <f>IF(AND(LEN(Indices!E12)=7,MID(Indices!E12,5,2)="-T",ISNUMBER(VALUE(LEFT(Indices!E12,4))),ISNUMBER(INDEX(Indices!$A:$P,ROW(Indices!E12),COLUMN(Indices!E12)+1))),VALUE(LEFT(Indices!E12,4))*4+VALUE(RIGHT(Indices!E12,1)),0)</f>
        <v/>
      </c>
    </row>
    <row r="211">
      <c r="A211" t="inlineStr">
        <is>
          <t>ILAT</t>
        </is>
      </c>
      <c r="B211">
        <f>IF(AND(LEN(Indices!E13)=7,MID(Indices!E13,5,2)="-T",ISNUMBER(VALUE(LEFT(Indices!E13,4))),ISNUMBER(INDEX(Indices!$A:$P,ROW(Indices!E13),COLUMN(Indices!E13)+1))),VALUE(LEFT(Indices!E13,4))*4+VALUE(RIGHT(Indices!E13,1)),0)</f>
        <v/>
      </c>
    </row>
    <row r="212">
      <c r="A212" t="inlineStr">
        <is>
          <t>ILAT</t>
        </is>
      </c>
      <c r="B212">
        <f>IF(AND(LEN(Indices!E14)=7,MID(Indices!E14,5,2)="-T",ISNUMBER(VALUE(LEFT(Indices!E14,4))),ISNUMBER(INDEX(Indices!$A:$P,ROW(Indices!E14),COLUMN(Indices!E14)+1))),VALUE(LEFT(Indices!E14,4))*4+VALUE(RIGHT(Indices!E14,1)),0)</f>
        <v/>
      </c>
    </row>
    <row r="213">
      <c r="A213" t="inlineStr">
        <is>
          <t>ILAT</t>
        </is>
      </c>
      <c r="B213">
        <f>IF(AND(LEN(Indices!E15)=7,MID(Indices!E15,5,2)="-T",ISNUMBER(VALUE(LEFT(Indices!E15,4))),ISNUMBER(INDEX(Indices!$A:$P,ROW(Indices!E15),COLUMN(Indices!E15)+1))),VALUE(LEFT(Indices!E15,4))*4+VALUE(RIGHT(Indices!E15,1)),0)</f>
        <v/>
      </c>
    </row>
    <row r="214">
      <c r="A214" t="inlineStr">
        <is>
          <t>ILAT</t>
        </is>
      </c>
      <c r="B214">
        <f>IF(AND(LEN(Indices!E16)=7,MID(Indices!E16,5,2)="-T",ISNUMBER(VALUE(LEFT(Indices!E16,4))),ISNUMBER(INDEX(Indices!$A:$P,ROW(Indices!E16),COLUMN(Indices!E16)+1))),VALUE(LEFT(Indices!E16,4))*4+VALUE(RIGHT(Indices!E16,1)),0)</f>
        <v/>
      </c>
    </row>
    <row r="215">
      <c r="A215" t="inlineStr">
        <is>
          <t>ILAT</t>
        </is>
      </c>
      <c r="B215">
        <f>IF(AND(LEN(Indices!E17)=7,MID(Indices!E17,5,2)="-T",ISNUMBER(VALUE(LEFT(Indices!E17,4))),ISNUMBER(INDEX(Indices!$A:$P,ROW(Indices!E17),COLUMN(Indices!E17)+1))),VALUE(LEFT(Indices!E17,4))*4+VALUE(RIGHT(Indices!E17,1)),0)</f>
        <v/>
      </c>
    </row>
    <row r="216">
      <c r="A216" t="inlineStr">
        <is>
          <t>ILAT</t>
        </is>
      </c>
      <c r="B216">
        <f>IF(AND(LEN(Indices!E18)=7,MID(Indices!E18,5,2)="-T",ISNUMBER(VALUE(LEFT(Indices!E18,4))),ISNUMBER(INDEX(Indices!$A:$P,ROW(Indices!E18),COLUMN(Indices!E18)+1))),VALUE(LEFT(Indices!E18,4))*4+VALUE(RIGHT(Indices!E18,1)),0)</f>
        <v/>
      </c>
    </row>
    <row r="217">
      <c r="A217" t="inlineStr">
        <is>
          <t>ILAT</t>
        </is>
      </c>
      <c r="B217">
        <f>IF(AND(LEN(Indices!E19)=7,MID(Indices!E19,5,2)="-T",ISNUMBER(VALUE(LEFT(Indices!E19,4))),ISNUMBER(INDEX(Indices!$A:$P,ROW(Indices!E19),COLUMN(Indices!E19)+1))),VALUE(LEFT(Indices!E19,4))*4+VALUE(RIGHT(Indices!E19,1)),0)</f>
        <v/>
      </c>
    </row>
    <row r="218">
      <c r="A218" t="inlineStr">
        <is>
          <t>ILAT</t>
        </is>
      </c>
      <c r="B218">
        <f>IF(AND(LEN(Indices!E20)=7,MID(Indices!E20,5,2)="-T",ISNUMBER(VALUE(LEFT(Indices!E20,4))),ISNUMBER(INDEX(Indices!$A:$P,ROW(Indices!E20),COLUMN(Indices!E20)+1))),VALUE(LEFT(Indices!E20,4))*4+VALUE(RIGHT(Indices!E20,1)),0)</f>
        <v/>
      </c>
    </row>
    <row r="219">
      <c r="A219" t="inlineStr">
        <is>
          <t>ILAT</t>
        </is>
      </c>
      <c r="B219">
        <f>IF(AND(LEN(Indices!E21)=7,MID(Indices!E21,5,2)="-T",ISNUMBER(VALUE(LEFT(Indices!E21,4))),ISNUMBER(INDEX(Indices!$A:$P,ROW(Indices!E21),COLUMN(Indices!E21)+1))),VALUE(LEFT(Indices!E21,4))*4+VALUE(RIGHT(Indices!E21,1)),0)</f>
        <v/>
      </c>
    </row>
    <row r="220">
      <c r="A220" t="inlineStr">
        <is>
          <t>ILAT</t>
        </is>
      </c>
      <c r="B220">
        <f>IF(AND(LEN(Indices!E22)=7,MID(Indices!E22,5,2)="-T",ISNUMBER(VALUE(LEFT(Indices!E22,4))),ISNUMBER(INDEX(Indices!$A:$P,ROW(Indices!E22),COLUMN(Indices!E22)+1))),VALUE(LEFT(Indices!E22,4))*4+VALUE(RIGHT(Indices!E22,1)),0)</f>
        <v/>
      </c>
    </row>
    <row r="221">
      <c r="A221" t="inlineStr">
        <is>
          <t>ILAT</t>
        </is>
      </c>
      <c r="B221">
        <f>IF(AND(LEN(Indices!E23)=7,MID(Indices!E23,5,2)="-T",ISNUMBER(VALUE(LEFT(Indices!E23,4))),ISNUMBER(INDEX(Indices!$A:$P,ROW(Indices!E23),COLUMN(Indices!E23)+1))),VALUE(LEFT(Indices!E23,4))*4+VALUE(RIGHT(Indices!E23,1)),0)</f>
        <v/>
      </c>
    </row>
    <row r="222">
      <c r="A222" t="inlineStr">
        <is>
          <t>ILAT</t>
        </is>
      </c>
      <c r="B222">
        <f>IF(AND(LEN(Indices!E24)=7,MID(Indices!E24,5,2)="-T",ISNUMBER(VALUE(LEFT(Indices!E24,4))),ISNUMBER(INDEX(Indices!$A:$P,ROW(Indices!E24),COLUMN(Indices!E24)+1))),VALUE(LEFT(Indices!E24,4))*4+VALUE(RIGHT(Indices!E24,1)),0)</f>
        <v/>
      </c>
    </row>
    <row r="223">
      <c r="A223" t="inlineStr">
        <is>
          <t>ILAT</t>
        </is>
      </c>
      <c r="B223">
        <f>IF(AND(LEN(Indices!E25)=7,MID(Indices!E25,5,2)="-T",ISNUMBER(VALUE(LEFT(Indices!E25,4))),ISNUMBER(INDEX(Indices!$A:$P,ROW(Indices!E25),COLUMN(Indices!E25)+1))),VALUE(LEFT(Indices!E25,4))*4+VALUE(RIGHT(Indices!E25,1)),0)</f>
        <v/>
      </c>
    </row>
    <row r="224">
      <c r="A224" t="inlineStr">
        <is>
          <t>ILAT</t>
        </is>
      </c>
      <c r="B224">
        <f>IF(AND(LEN(Indices!E26)=7,MID(Indices!E26,5,2)="-T",ISNUMBER(VALUE(LEFT(Indices!E26,4))),ISNUMBER(INDEX(Indices!$A:$P,ROW(Indices!E26),COLUMN(Indices!E26)+1))),VALUE(LEFT(Indices!E26,4))*4+VALUE(RIGHT(Indices!E26,1)),0)</f>
        <v/>
      </c>
    </row>
    <row r="225">
      <c r="A225" t="inlineStr">
        <is>
          <t>ILAT</t>
        </is>
      </c>
      <c r="B225">
        <f>IF(AND(LEN(Indices!E27)=7,MID(Indices!E27,5,2)="-T",ISNUMBER(VALUE(LEFT(Indices!E27,4))),ISNUMBER(INDEX(Indices!$A:$P,ROW(Indices!E27),COLUMN(Indices!E27)+1))),VALUE(LEFT(Indices!E27,4))*4+VALUE(RIGHT(Indices!E27,1)),0)</f>
        <v/>
      </c>
    </row>
    <row r="226">
      <c r="A226" t="inlineStr">
        <is>
          <t>ILAT</t>
        </is>
      </c>
      <c r="B226">
        <f>IF(AND(LEN(Indices!E28)=7,MID(Indices!E28,5,2)="-T",ISNUMBER(VALUE(LEFT(Indices!E28,4))),ISNUMBER(INDEX(Indices!$A:$P,ROW(Indices!E28),COLUMN(Indices!E28)+1))),VALUE(LEFT(Indices!E28,4))*4+VALUE(RIGHT(Indices!E28,1)),0)</f>
        <v/>
      </c>
    </row>
    <row r="227">
      <c r="A227" t="inlineStr">
        <is>
          <t>ILAT</t>
        </is>
      </c>
      <c r="B227">
        <f>IF(AND(LEN(Indices!E29)=7,MID(Indices!E29,5,2)="-T",ISNUMBER(VALUE(LEFT(Indices!E29,4))),ISNUMBER(INDEX(Indices!$A:$P,ROW(Indices!E29),COLUMN(Indices!E29)+1))),VALUE(LEFT(Indices!E29,4))*4+VALUE(RIGHT(Indices!E29,1)),0)</f>
        <v/>
      </c>
    </row>
    <row r="228">
      <c r="A228" t="inlineStr">
        <is>
          <t>ILAT</t>
        </is>
      </c>
      <c r="B228">
        <f>IF(AND(LEN(Indices!E30)=7,MID(Indices!E30,5,2)="-T",ISNUMBER(VALUE(LEFT(Indices!E30,4))),ISNUMBER(INDEX(Indices!$A:$P,ROW(Indices!E30),COLUMN(Indices!E30)+1))),VALUE(LEFT(Indices!E30,4))*4+VALUE(RIGHT(Indices!E30,1)),0)</f>
        <v/>
      </c>
    </row>
    <row r="229">
      <c r="A229" t="inlineStr">
        <is>
          <t>ILAT</t>
        </is>
      </c>
      <c r="B229">
        <f>IF(AND(LEN(Indices!E31)=7,MID(Indices!E31,5,2)="-T",ISNUMBER(VALUE(LEFT(Indices!E31,4))),ISNUMBER(INDEX(Indices!$A:$P,ROW(Indices!E31),COLUMN(Indices!E31)+1))),VALUE(LEFT(Indices!E31,4))*4+VALUE(RIGHT(Indices!E31,1)),0)</f>
        <v/>
      </c>
    </row>
    <row r="230">
      <c r="A230" t="inlineStr">
        <is>
          <t>ILAT</t>
        </is>
      </c>
      <c r="B230">
        <f>IF(AND(LEN(Indices!E32)=7,MID(Indices!E32,5,2)="-T",ISNUMBER(VALUE(LEFT(Indices!E32,4))),ISNUMBER(INDEX(Indices!$A:$P,ROW(Indices!E32),COLUMN(Indices!E32)+1))),VALUE(LEFT(Indices!E32,4))*4+VALUE(RIGHT(Indices!E32,1)),0)</f>
        <v/>
      </c>
    </row>
    <row r="231">
      <c r="A231" t="inlineStr">
        <is>
          <t>ILAT</t>
        </is>
      </c>
      <c r="B231">
        <f>IF(AND(LEN(Indices!E33)=7,MID(Indices!E33,5,2)="-T",ISNUMBER(VALUE(LEFT(Indices!E33,4))),ISNUMBER(INDEX(Indices!$A:$P,ROW(Indices!E33),COLUMN(Indices!E33)+1))),VALUE(LEFT(Indices!E33,4))*4+VALUE(RIGHT(Indices!E33,1)),0)</f>
        <v/>
      </c>
    </row>
    <row r="232">
      <c r="A232" t="inlineStr">
        <is>
          <t>ILAT</t>
        </is>
      </c>
      <c r="B232">
        <f>IF(AND(LEN(Indices!E34)=7,MID(Indices!E34,5,2)="-T",ISNUMBER(VALUE(LEFT(Indices!E34,4))),ISNUMBER(INDEX(Indices!$A:$P,ROW(Indices!E34),COLUMN(Indices!E34)+1))),VALUE(LEFT(Indices!E34,4))*4+VALUE(RIGHT(Indices!E34,1)),0)</f>
        <v/>
      </c>
    </row>
    <row r="233">
      <c r="A233" t="inlineStr">
        <is>
          <t>ILAT</t>
        </is>
      </c>
      <c r="B233">
        <f>IF(AND(LEN(Indices!E35)=7,MID(Indices!E35,5,2)="-T",ISNUMBER(VALUE(LEFT(Indices!E35,4))),ISNUMBER(INDEX(Indices!$A:$P,ROW(Indices!E35),COLUMN(Indices!E35)+1))),VALUE(LEFT(Indices!E35,4))*4+VALUE(RIGHT(Indices!E35,1)),0)</f>
        <v/>
      </c>
    </row>
    <row r="234">
      <c r="A234" t="inlineStr">
        <is>
          <t>ILAT</t>
        </is>
      </c>
      <c r="B234">
        <f>IF(AND(LEN(Indices!E36)=7,MID(Indices!E36,5,2)="-T",ISNUMBER(VALUE(LEFT(Indices!E36,4))),ISNUMBER(INDEX(Indices!$A:$P,ROW(Indices!E36),COLUMN(Indices!E36)+1))),VALUE(LEFT(Indices!E36,4))*4+VALUE(RIGHT(Indices!E36,1)),0)</f>
        <v/>
      </c>
    </row>
    <row r="235">
      <c r="A235" t="inlineStr">
        <is>
          <t>ILAT</t>
        </is>
      </c>
      <c r="B235">
        <f>IF(AND(LEN(Indices!E37)=7,MID(Indices!E37,5,2)="-T",ISNUMBER(VALUE(LEFT(Indices!E37,4))),ISNUMBER(INDEX(Indices!$A:$P,ROW(Indices!E37),COLUMN(Indices!E37)+1))),VALUE(LEFT(Indices!E37,4))*4+VALUE(RIGHT(Indices!E37,1)),0)</f>
        <v/>
      </c>
    </row>
    <row r="236">
      <c r="A236" t="inlineStr">
        <is>
          <t>ILAT</t>
        </is>
      </c>
      <c r="B236">
        <f>IF(AND(LEN(Indices!E38)=7,MID(Indices!E38,5,2)="-T",ISNUMBER(VALUE(LEFT(Indices!E38,4))),ISNUMBER(INDEX(Indices!$A:$P,ROW(Indices!E38),COLUMN(Indices!E38)+1))),VALUE(LEFT(Indices!E38,4))*4+VALUE(RIGHT(Indices!E38,1)),0)</f>
        <v/>
      </c>
    </row>
    <row r="237">
      <c r="A237" t="inlineStr">
        <is>
          <t>ILAT</t>
        </is>
      </c>
      <c r="B237">
        <f>IF(AND(LEN(Indices!E39)=7,MID(Indices!E39,5,2)="-T",ISNUMBER(VALUE(LEFT(Indices!E39,4))),ISNUMBER(INDEX(Indices!$A:$P,ROW(Indices!E39),COLUMN(Indices!E39)+1))),VALUE(LEFT(Indices!E39,4))*4+VALUE(RIGHT(Indices!E39,1)),0)</f>
        <v/>
      </c>
    </row>
    <row r="238">
      <c r="A238" t="inlineStr">
        <is>
          <t>ILAT</t>
        </is>
      </c>
      <c r="B238">
        <f>IF(AND(LEN(Indices!E40)=7,MID(Indices!E40,5,2)="-T",ISNUMBER(VALUE(LEFT(Indices!E40,4))),ISNUMBER(INDEX(Indices!$A:$P,ROW(Indices!E40),COLUMN(Indices!E40)+1))),VALUE(LEFT(Indices!E40,4))*4+VALUE(RIGHT(Indices!E40,1)),0)</f>
        <v/>
      </c>
    </row>
    <row r="239">
      <c r="A239" t="inlineStr">
        <is>
          <t>ILAT</t>
        </is>
      </c>
      <c r="B239">
        <f>IF(AND(LEN(Indices!E41)=7,MID(Indices!E41,5,2)="-T",ISNUMBER(VALUE(LEFT(Indices!E41,4))),ISNUMBER(INDEX(Indices!$A:$P,ROW(Indices!E41),COLUMN(Indices!E41)+1))),VALUE(LEFT(Indices!E41,4))*4+VALUE(RIGHT(Indices!E41,1)),0)</f>
        <v/>
      </c>
    </row>
    <row r="240">
      <c r="A240" t="inlineStr">
        <is>
          <t>ILAT</t>
        </is>
      </c>
      <c r="B240">
        <f>IF(AND(LEN(Indices!E42)=7,MID(Indices!E42,5,2)="-T",ISNUMBER(VALUE(LEFT(Indices!E42,4))),ISNUMBER(INDEX(Indices!$A:$P,ROW(Indices!E42),COLUMN(Indices!E42)+1))),VALUE(LEFT(Indices!E42,4))*4+VALUE(RIGHT(Indices!E42,1)),0)</f>
        <v/>
      </c>
    </row>
    <row r="241">
      <c r="A241" t="inlineStr">
        <is>
          <t>ILAT</t>
        </is>
      </c>
      <c r="B241">
        <f>IF(AND(LEN(Indices!E43)=7,MID(Indices!E43,5,2)="-T",ISNUMBER(VALUE(LEFT(Indices!E43,4))),ISNUMBER(INDEX(Indices!$A:$P,ROW(Indices!E43),COLUMN(Indices!E43)+1))),VALUE(LEFT(Indices!E43,4))*4+VALUE(RIGHT(Indices!E43,1)),0)</f>
        <v/>
      </c>
    </row>
    <row r="242">
      <c r="A242" t="inlineStr">
        <is>
          <t>ILAT</t>
        </is>
      </c>
      <c r="B242">
        <f>IF(AND(LEN(Indices!E44)=7,MID(Indices!E44,5,2)="-T",ISNUMBER(VALUE(LEFT(Indices!E44,4))),ISNUMBER(INDEX(Indices!$A:$P,ROW(Indices!E44),COLUMN(Indices!E44)+1))),VALUE(LEFT(Indices!E44,4))*4+VALUE(RIGHT(Indices!E44,1)),0)</f>
        <v/>
      </c>
    </row>
    <row r="243">
      <c r="A243" t="inlineStr">
        <is>
          <t>ILAT</t>
        </is>
      </c>
      <c r="B243">
        <f>IF(AND(LEN(Indices!E45)=7,MID(Indices!E45,5,2)="-T",ISNUMBER(VALUE(LEFT(Indices!E45,4))),ISNUMBER(INDEX(Indices!$A:$P,ROW(Indices!E45),COLUMN(Indices!E45)+1))),VALUE(LEFT(Indices!E45,4))*4+VALUE(RIGHT(Indices!E45,1)),0)</f>
        <v/>
      </c>
    </row>
    <row r="244">
      <c r="A244" t="inlineStr">
        <is>
          <t>ILAT</t>
        </is>
      </c>
      <c r="B244">
        <f>IF(AND(LEN(Indices!E46)=7,MID(Indices!E46,5,2)="-T",ISNUMBER(VALUE(LEFT(Indices!E46,4))),ISNUMBER(INDEX(Indices!$A:$P,ROW(Indices!E46),COLUMN(Indices!E46)+1))),VALUE(LEFT(Indices!E46,4))*4+VALUE(RIGHT(Indices!E46,1)),0)</f>
        <v/>
      </c>
    </row>
    <row r="245">
      <c r="A245" t="inlineStr">
        <is>
          <t>ILAT</t>
        </is>
      </c>
      <c r="B245">
        <f>IF(AND(LEN(Indices!E47)=7,MID(Indices!E47,5,2)="-T",ISNUMBER(VALUE(LEFT(Indices!E47,4))),ISNUMBER(INDEX(Indices!$A:$P,ROW(Indices!E47),COLUMN(Indices!E47)+1))),VALUE(LEFT(Indices!E47,4))*4+VALUE(RIGHT(Indices!E47,1)),0)</f>
        <v/>
      </c>
    </row>
    <row r="246">
      <c r="A246" t="inlineStr">
        <is>
          <t>ILAT</t>
        </is>
      </c>
      <c r="B246">
        <f>IF(AND(LEN(Indices!E48)=7,MID(Indices!E48,5,2)="-T",ISNUMBER(VALUE(LEFT(Indices!E48,4))),ISNUMBER(INDEX(Indices!$A:$P,ROW(Indices!E48),COLUMN(Indices!E48)+1))),VALUE(LEFT(Indices!E48,4))*4+VALUE(RIGHT(Indices!E48,1)),0)</f>
        <v/>
      </c>
    </row>
    <row r="247">
      <c r="A247" t="inlineStr">
        <is>
          <t>ILAT</t>
        </is>
      </c>
      <c r="B247">
        <f>IF(AND(LEN(Indices!E49)=7,MID(Indices!E49,5,2)="-T",ISNUMBER(VALUE(LEFT(Indices!E49,4))),ISNUMBER(INDEX(Indices!$A:$P,ROW(Indices!E49),COLUMN(Indices!E49)+1))),VALUE(LEFT(Indices!E49,4))*4+VALUE(RIGHT(Indices!E49,1)),0)</f>
        <v/>
      </c>
    </row>
    <row r="248">
      <c r="A248" t="inlineStr">
        <is>
          <t>ILAT</t>
        </is>
      </c>
      <c r="B248">
        <f>IF(AND(LEN(Indices!E50)=7,MID(Indices!E50,5,2)="-T",ISNUMBER(VALUE(LEFT(Indices!E50,4))),ISNUMBER(INDEX(Indices!$A:$P,ROW(Indices!E50),COLUMN(Indices!E50)+1))),VALUE(LEFT(Indices!E50,4))*4+VALUE(RIGHT(Indices!E50,1)),0)</f>
        <v/>
      </c>
    </row>
    <row r="249">
      <c r="A249" t="inlineStr">
        <is>
          <t>ILAT</t>
        </is>
      </c>
      <c r="B249">
        <f>IF(AND(LEN(Indices!E51)=7,MID(Indices!E51,5,2)="-T",ISNUMBER(VALUE(LEFT(Indices!E51,4))),ISNUMBER(INDEX(Indices!$A:$P,ROW(Indices!E51),COLUMN(Indices!E51)+1))),VALUE(LEFT(Indices!E51,4))*4+VALUE(RIGHT(Indices!E51,1)),0)</f>
        <v/>
      </c>
    </row>
    <row r="250">
      <c r="A250" t="inlineStr">
        <is>
          <t>ILAT</t>
        </is>
      </c>
      <c r="B250">
        <f>IF(AND(LEN(Indices!E52)=7,MID(Indices!E52,5,2)="-T",ISNUMBER(VALUE(LEFT(Indices!E52,4))),ISNUMBER(INDEX(Indices!$A:$P,ROW(Indices!E52),COLUMN(Indices!E52)+1))),VALUE(LEFT(Indices!E52,4))*4+VALUE(RIGHT(Indices!E52,1)),0)</f>
        <v/>
      </c>
    </row>
    <row r="251">
      <c r="A251" t="inlineStr">
        <is>
          <t>ILAT</t>
        </is>
      </c>
      <c r="B251">
        <f>IF(AND(LEN(Indices!E53)=7,MID(Indices!E53,5,2)="-T",ISNUMBER(VALUE(LEFT(Indices!E53,4))),ISNUMBER(INDEX(Indices!$A:$P,ROW(Indices!E53),COLUMN(Indices!E53)+1))),VALUE(LEFT(Indices!E53,4))*4+VALUE(RIGHT(Indices!E53,1)),0)</f>
        <v/>
      </c>
    </row>
    <row r="252">
      <c r="A252" t="inlineStr">
        <is>
          <t>ILAT</t>
        </is>
      </c>
      <c r="B252">
        <f>IF(AND(LEN(Indices!E54)=7,MID(Indices!E54,5,2)="-T",ISNUMBER(VALUE(LEFT(Indices!E54,4))),ISNUMBER(INDEX(Indices!$A:$P,ROW(Indices!E54),COLUMN(Indices!E54)+1))),VALUE(LEFT(Indices!E54,4))*4+VALUE(RIGHT(Indices!E54,1)),0)</f>
        <v/>
      </c>
    </row>
    <row r="253">
      <c r="A253" t="inlineStr">
        <is>
          <t>ILAT</t>
        </is>
      </c>
      <c r="B253">
        <f>IF(AND(LEN(Indices!E55)=7,MID(Indices!E55,5,2)="-T",ISNUMBER(VALUE(LEFT(Indices!E55,4))),ISNUMBER(INDEX(Indices!$A:$P,ROW(Indices!E55),COLUMN(Indices!E55)+1))),VALUE(LEFT(Indices!E55,4))*4+VALUE(RIGHT(Indices!E55,1)),0)</f>
        <v/>
      </c>
    </row>
    <row r="254">
      <c r="A254" t="inlineStr">
        <is>
          <t>ILAT</t>
        </is>
      </c>
      <c r="B254">
        <f>IF(AND(LEN(Indices!E56)=7,MID(Indices!E56,5,2)="-T",ISNUMBER(VALUE(LEFT(Indices!E56,4))),ISNUMBER(INDEX(Indices!$A:$P,ROW(Indices!E56),COLUMN(Indices!E56)+1))),VALUE(LEFT(Indices!E56,4))*4+VALUE(RIGHT(Indices!E56,1)),0)</f>
        <v/>
      </c>
    </row>
    <row r="255">
      <c r="A255" t="inlineStr">
        <is>
          <t>ILAT</t>
        </is>
      </c>
      <c r="B255">
        <f>IF(AND(LEN(Indices!E57)=7,MID(Indices!E57,5,2)="-T",ISNUMBER(VALUE(LEFT(Indices!E57,4))),ISNUMBER(INDEX(Indices!$A:$P,ROW(Indices!E57),COLUMN(Indices!E57)+1))),VALUE(LEFT(Indices!E57,4))*4+VALUE(RIGHT(Indices!E57,1)),0)</f>
        <v/>
      </c>
    </row>
    <row r="256">
      <c r="A256" t="inlineStr">
        <is>
          <t>ILAT</t>
        </is>
      </c>
      <c r="B256">
        <f>IF(AND(LEN(Indices!E58)=7,MID(Indices!E58,5,2)="-T",ISNUMBER(VALUE(LEFT(Indices!E58,4))),ISNUMBER(INDEX(Indices!$A:$P,ROW(Indices!E58),COLUMN(Indices!E58)+1))),VALUE(LEFT(Indices!E58,4))*4+VALUE(RIGHT(Indices!E58,1)),0)</f>
        <v/>
      </c>
    </row>
    <row r="257">
      <c r="A257" t="inlineStr">
        <is>
          <t>ILAT</t>
        </is>
      </c>
      <c r="B257">
        <f>IF(AND(LEN(Indices!E59)=7,MID(Indices!E59,5,2)="-T",ISNUMBER(VALUE(LEFT(Indices!E59,4))),ISNUMBER(INDEX(Indices!$A:$P,ROW(Indices!E59),COLUMN(Indices!E59)+1))),VALUE(LEFT(Indices!E59,4))*4+VALUE(RIGHT(Indices!E59,1)),0)</f>
        <v/>
      </c>
    </row>
    <row r="258">
      <c r="A258" t="inlineStr">
        <is>
          <t>ILAT</t>
        </is>
      </c>
      <c r="B258">
        <f>IF(AND(LEN(Indices!E60)=7,MID(Indices!E60,5,2)="-T",ISNUMBER(VALUE(LEFT(Indices!E60,4))),ISNUMBER(INDEX(Indices!$A:$P,ROW(Indices!E60),COLUMN(Indices!E60)+1))),VALUE(LEFT(Indices!E60,4))*4+VALUE(RIGHT(Indices!E60,1)),0)</f>
        <v/>
      </c>
    </row>
    <row r="259">
      <c r="A259" t="inlineStr">
        <is>
          <t>ILAT</t>
        </is>
      </c>
      <c r="B259">
        <f>IF(AND(LEN(Indices!E61)=7,MID(Indices!E61,5,2)="-T",ISNUMBER(VALUE(LEFT(Indices!E61,4))),ISNUMBER(INDEX(Indices!$A:$P,ROW(Indices!E61),COLUMN(Indices!E61)+1))),VALUE(LEFT(Indices!E61,4))*4+VALUE(RIGHT(Indices!E61,1)),0)</f>
        <v/>
      </c>
    </row>
    <row r="260">
      <c r="A260" t="inlineStr">
        <is>
          <t>ILAT</t>
        </is>
      </c>
      <c r="B260">
        <f>IF(AND(LEN(Indices!E62)=7,MID(Indices!E62,5,2)="-T",ISNUMBER(VALUE(LEFT(Indices!E62,4))),ISNUMBER(INDEX(Indices!$A:$P,ROW(Indices!E62),COLUMN(Indices!E62)+1))),VALUE(LEFT(Indices!E62,4))*4+VALUE(RIGHT(Indices!E62,1)),0)</f>
        <v/>
      </c>
    </row>
    <row r="261">
      <c r="A261" t="inlineStr">
        <is>
          <t>ILAT</t>
        </is>
      </c>
      <c r="B261">
        <f>IF(AND(LEN(Indices!E63)=7,MID(Indices!E63,5,2)="-T",ISNUMBER(VALUE(LEFT(Indices!E63,4))),ISNUMBER(INDEX(Indices!$A:$P,ROW(Indices!E63),COLUMN(Indices!E63)+1))),VALUE(LEFT(Indices!E63,4))*4+VALUE(RIGHT(Indices!E63,1)),0)</f>
        <v/>
      </c>
    </row>
    <row r="262">
      <c r="A262" t="inlineStr">
        <is>
          <t>ILAT</t>
        </is>
      </c>
      <c r="B262">
        <f>IF(AND(LEN(Indices!E64)=7,MID(Indices!E64,5,2)="-T",ISNUMBER(VALUE(LEFT(Indices!E64,4))),ISNUMBER(INDEX(Indices!$A:$P,ROW(Indices!E64),COLUMN(Indices!E64)+1))),VALUE(LEFT(Indices!E64,4))*4+VALUE(RIGHT(Indices!E64,1)),0)</f>
        <v/>
      </c>
    </row>
    <row r="263">
      <c r="A263" t="inlineStr">
        <is>
          <t>ILAT</t>
        </is>
      </c>
      <c r="B263">
        <f>IF(AND(LEN(Indices!E65)=7,MID(Indices!E65,5,2)="-T",ISNUMBER(VALUE(LEFT(Indices!E65,4))),ISNUMBER(INDEX(Indices!$A:$P,ROW(Indices!E65),COLUMN(Indices!E65)+1))),VALUE(LEFT(Indices!E65,4))*4+VALUE(RIGHT(Indices!E65,1)),0)</f>
        <v/>
      </c>
    </row>
    <row r="264">
      <c r="A264" t="inlineStr">
        <is>
          <t>ILAT</t>
        </is>
      </c>
      <c r="B264">
        <f>IF(AND(LEN(Indices!E66)=7,MID(Indices!E66,5,2)="-T",ISNUMBER(VALUE(LEFT(Indices!E66,4))),ISNUMBER(INDEX(Indices!$A:$P,ROW(Indices!E66),COLUMN(Indices!E66)+1))),VALUE(LEFT(Indices!E66,4))*4+VALUE(RIGHT(Indices!E66,1)),0)</f>
        <v/>
      </c>
    </row>
    <row r="265">
      <c r="A265" t="inlineStr">
        <is>
          <t>ILAT</t>
        </is>
      </c>
      <c r="B265">
        <f>IF(AND(LEN(Indices!E67)=7,MID(Indices!E67,5,2)="-T",ISNUMBER(VALUE(LEFT(Indices!E67,4))),ISNUMBER(INDEX(Indices!$A:$P,ROW(Indices!E67),COLUMN(Indices!E67)+1))),VALUE(LEFT(Indices!E67,4))*4+VALUE(RIGHT(Indices!E67,1)),0)</f>
        <v/>
      </c>
    </row>
    <row r="266">
      <c r="A266" t="inlineStr">
        <is>
          <t>ILAT</t>
        </is>
      </c>
      <c r="B266">
        <f>IF(AND(LEN(Indices!E68)=7,MID(Indices!E68,5,2)="-T",ISNUMBER(VALUE(LEFT(Indices!E68,4))),ISNUMBER(INDEX(Indices!$A:$P,ROW(Indices!E68),COLUMN(Indices!E68)+1))),VALUE(LEFT(Indices!E68,4))*4+VALUE(RIGHT(Indices!E68,1)),0)</f>
        <v/>
      </c>
    </row>
    <row r="267">
      <c r="A267" t="inlineStr">
        <is>
          <t>ILAT</t>
        </is>
      </c>
      <c r="B267">
        <f>IF(AND(LEN(Indices!E69)=7,MID(Indices!E69,5,2)="-T",ISNUMBER(VALUE(LEFT(Indices!E69,4))),ISNUMBER(INDEX(Indices!$A:$P,ROW(Indices!E69),COLUMN(Indices!E69)+1))),VALUE(LEFT(Indices!E69,4))*4+VALUE(RIGHT(Indices!E69,1)),0)</f>
        <v/>
      </c>
    </row>
    <row r="268">
      <c r="A268" t="inlineStr">
        <is>
          <t>ILAT</t>
        </is>
      </c>
      <c r="B268">
        <f>IF(AND(LEN(Indices!E70)=7,MID(Indices!E70,5,2)="-T",ISNUMBER(VALUE(LEFT(Indices!E70,4))),ISNUMBER(INDEX(Indices!$A:$P,ROW(Indices!E70),COLUMN(Indices!E70)+1))),VALUE(LEFT(Indices!E70,4))*4+VALUE(RIGHT(Indices!E70,1)),0)</f>
        <v/>
      </c>
    </row>
    <row r="269">
      <c r="A269" t="inlineStr">
        <is>
          <t>ILAT</t>
        </is>
      </c>
      <c r="B269">
        <f>IF(AND(LEN(Indices!E71)=7,MID(Indices!E71,5,2)="-T",ISNUMBER(VALUE(LEFT(Indices!E71,4))),ISNUMBER(INDEX(Indices!$A:$P,ROW(Indices!E71),COLUMN(Indices!E71)+1))),VALUE(LEFT(Indices!E71,4))*4+VALUE(RIGHT(Indices!E71,1)),0)</f>
        <v/>
      </c>
    </row>
    <row r="270">
      <c r="A270" t="inlineStr">
        <is>
          <t>ILAT</t>
        </is>
      </c>
      <c r="B270">
        <f>IF(AND(LEN(Indices!E72)=7,MID(Indices!E72,5,2)="-T",ISNUMBER(VALUE(LEFT(Indices!E72,4))),ISNUMBER(INDEX(Indices!$A:$P,ROW(Indices!E72),COLUMN(Indices!E72)+1))),VALUE(LEFT(Indices!E72,4))*4+VALUE(RIGHT(Indices!E72,1)),0)</f>
        <v/>
      </c>
    </row>
    <row r="271">
      <c r="A271" t="inlineStr">
        <is>
          <t>ILAT</t>
        </is>
      </c>
      <c r="B271">
        <f>IF(AND(LEN(Indices!E73)=7,MID(Indices!E73,5,2)="-T",ISNUMBER(VALUE(LEFT(Indices!E73,4))),ISNUMBER(INDEX(Indices!$A:$P,ROW(Indices!E73),COLUMN(Indices!E73)+1))),VALUE(LEFT(Indices!E73,4))*4+VALUE(RIGHT(Indices!E73,1)),0)</f>
        <v/>
      </c>
    </row>
    <row r="272">
      <c r="A272" t="inlineStr">
        <is>
          <t>ILAT</t>
        </is>
      </c>
      <c r="B272">
        <f>IF(AND(LEN(Indices!E74)=7,MID(Indices!E74,5,2)="-T",ISNUMBER(VALUE(LEFT(Indices!E74,4))),ISNUMBER(INDEX(Indices!$A:$P,ROW(Indices!E74),COLUMN(Indices!E74)+1))),VALUE(LEFT(Indices!E74,4))*4+VALUE(RIGHT(Indices!E74,1)),0)</f>
        <v/>
      </c>
    </row>
    <row r="273">
      <c r="A273" t="inlineStr">
        <is>
          <t>ILAT</t>
        </is>
      </c>
      <c r="B273">
        <f>IF(AND(LEN(Indices!E75)=7,MID(Indices!E75,5,2)="-T",ISNUMBER(VALUE(LEFT(Indices!E75,4))),ISNUMBER(INDEX(Indices!$A:$P,ROW(Indices!E75),COLUMN(Indices!E75)+1))),VALUE(LEFT(Indices!E75,4))*4+VALUE(RIGHT(Indices!E75,1)),0)</f>
        <v/>
      </c>
    </row>
    <row r="274">
      <c r="A274" t="inlineStr">
        <is>
          <t>ILAT</t>
        </is>
      </c>
      <c r="B274">
        <f>IF(AND(LEN(Indices!E76)=7,MID(Indices!E76,5,2)="-T",ISNUMBER(VALUE(LEFT(Indices!E76,4))),ISNUMBER(INDEX(Indices!$A:$P,ROW(Indices!E76),COLUMN(Indices!E76)+1))),VALUE(LEFT(Indices!E76,4))*4+VALUE(RIGHT(Indices!E76,1)),0)</f>
        <v/>
      </c>
    </row>
    <row r="275">
      <c r="A275" t="inlineStr">
        <is>
          <t>ILAT</t>
        </is>
      </c>
      <c r="B275">
        <f>IF(AND(LEN(Indices!E77)=7,MID(Indices!E77,5,2)="-T",ISNUMBER(VALUE(LEFT(Indices!E77,4))),ISNUMBER(INDEX(Indices!$A:$P,ROW(Indices!E77),COLUMN(Indices!E77)+1))),VALUE(LEFT(Indices!E77,4))*4+VALUE(RIGHT(Indices!E77,1)),0)</f>
        <v/>
      </c>
    </row>
    <row r="276">
      <c r="A276" t="inlineStr">
        <is>
          <t>ILAT</t>
        </is>
      </c>
      <c r="B276">
        <f>IF(AND(LEN(Indices!E78)=7,MID(Indices!E78,5,2)="-T",ISNUMBER(VALUE(LEFT(Indices!E78,4))),ISNUMBER(INDEX(Indices!$A:$P,ROW(Indices!E78),COLUMN(Indices!E78)+1))),VALUE(LEFT(Indices!E78,4))*4+VALUE(RIGHT(Indices!E78,1)),0)</f>
        <v/>
      </c>
    </row>
    <row r="277">
      <c r="A277" t="inlineStr">
        <is>
          <t>ILAT</t>
        </is>
      </c>
      <c r="B277">
        <f>IF(AND(LEN(Indices!E79)=7,MID(Indices!E79,5,2)="-T",ISNUMBER(VALUE(LEFT(Indices!E79,4))),ISNUMBER(INDEX(Indices!$A:$P,ROW(Indices!E79),COLUMN(Indices!E79)+1))),VALUE(LEFT(Indices!E79,4))*4+VALUE(RIGHT(Indices!E79,1)),0)</f>
        <v/>
      </c>
    </row>
    <row r="278">
      <c r="A278" t="inlineStr">
        <is>
          <t>ILAT</t>
        </is>
      </c>
      <c r="B278">
        <f>IF(AND(LEN(Indices!E80)=7,MID(Indices!E80,5,2)="-T",ISNUMBER(VALUE(LEFT(Indices!E80,4))),ISNUMBER(INDEX(Indices!$A:$P,ROW(Indices!E80),COLUMN(Indices!E80)+1))),VALUE(LEFT(Indices!E80,4))*4+VALUE(RIGHT(Indices!E80,1)),0)</f>
        <v/>
      </c>
    </row>
    <row r="279">
      <c r="A279" t="inlineStr">
        <is>
          <t>ILAT</t>
        </is>
      </c>
      <c r="B279">
        <f>IF(AND(LEN(Indices!E81)=7,MID(Indices!E81,5,2)="-T",ISNUMBER(VALUE(LEFT(Indices!E81,4))),ISNUMBER(INDEX(Indices!$A:$P,ROW(Indices!E81),COLUMN(Indices!E81)+1))),VALUE(LEFT(Indices!E81,4))*4+VALUE(RIGHT(Indices!E81,1)),0)</f>
        <v/>
      </c>
    </row>
    <row r="280">
      <c r="A280" t="inlineStr">
        <is>
          <t>ILAT</t>
        </is>
      </c>
      <c r="B280">
        <f>IF(AND(LEN(Indices!E82)=7,MID(Indices!E82,5,2)="-T",ISNUMBER(VALUE(LEFT(Indices!E82,4))),ISNUMBER(INDEX(Indices!$A:$P,ROW(Indices!E82),COLUMN(Indices!E82)+1))),VALUE(LEFT(Indices!E82,4))*4+VALUE(RIGHT(Indices!E82,1)),0)</f>
        <v/>
      </c>
    </row>
    <row r="281">
      <c r="A281" t="inlineStr">
        <is>
          <t>ILAT</t>
        </is>
      </c>
      <c r="B281">
        <f>IF(AND(LEN(Indices!E83)=7,MID(Indices!E83,5,2)="-T",ISNUMBER(VALUE(LEFT(Indices!E83,4))),ISNUMBER(INDEX(Indices!$A:$P,ROW(Indices!E83),COLUMN(Indices!E83)+1))),VALUE(LEFT(Indices!E83,4))*4+VALUE(RIGHT(Indices!E83,1)),0)</f>
        <v/>
      </c>
    </row>
    <row r="282">
      <c r="A282" t="inlineStr">
        <is>
          <t>ILAT</t>
        </is>
      </c>
      <c r="B282">
        <f>IF(AND(LEN(Indices!E84)=7,MID(Indices!E84,5,2)="-T",ISNUMBER(VALUE(LEFT(Indices!E84,4))),ISNUMBER(INDEX(Indices!$A:$P,ROW(Indices!E84),COLUMN(Indices!E84)+1))),VALUE(LEFT(Indices!E84,4))*4+VALUE(RIGHT(Indices!E84,1)),0)</f>
        <v/>
      </c>
    </row>
    <row r="283">
      <c r="A283" t="inlineStr">
        <is>
          <t>ILAT</t>
        </is>
      </c>
      <c r="B283">
        <f>IF(AND(LEN(Indices!E85)=7,MID(Indices!E85,5,2)="-T",ISNUMBER(VALUE(LEFT(Indices!E85,4))),ISNUMBER(INDEX(Indices!$A:$P,ROW(Indices!E85),COLUMN(Indices!E85)+1))),VALUE(LEFT(Indices!E85,4))*4+VALUE(RIGHT(Indices!E85,1)),0)</f>
        <v/>
      </c>
    </row>
    <row r="284">
      <c r="A284" t="inlineStr">
        <is>
          <t>ILAT</t>
        </is>
      </c>
      <c r="B284">
        <f>IF(AND(LEN(Indices!E86)=7,MID(Indices!E86,5,2)="-T",ISNUMBER(VALUE(LEFT(Indices!E86,4))),ISNUMBER(INDEX(Indices!$A:$P,ROW(Indices!E86),COLUMN(Indices!E86)+1))),VALUE(LEFT(Indices!E86,4))*4+VALUE(RIGHT(Indices!E86,1)),0)</f>
        <v/>
      </c>
    </row>
    <row r="285">
      <c r="A285" t="inlineStr">
        <is>
          <t>ILAT</t>
        </is>
      </c>
      <c r="B285">
        <f>IF(AND(LEN(Indices!E87)=7,MID(Indices!E87,5,2)="-T",ISNUMBER(VALUE(LEFT(Indices!E87,4))),ISNUMBER(INDEX(Indices!$A:$P,ROW(Indices!E87),COLUMN(Indices!E87)+1))),VALUE(LEFT(Indices!E87,4))*4+VALUE(RIGHT(Indices!E87,1)),0)</f>
        <v/>
      </c>
    </row>
    <row r="286">
      <c r="A286" t="inlineStr">
        <is>
          <t>ILAT</t>
        </is>
      </c>
      <c r="B286">
        <f>IF(AND(LEN(Indices!E88)=7,MID(Indices!E88,5,2)="-T",ISNUMBER(VALUE(LEFT(Indices!E88,4))),ISNUMBER(INDEX(Indices!$A:$P,ROW(Indices!E88),COLUMN(Indices!E88)+1))),VALUE(LEFT(Indices!E88,4))*4+VALUE(RIGHT(Indices!E88,1)),0)</f>
        <v/>
      </c>
    </row>
    <row r="287">
      <c r="A287" t="inlineStr">
        <is>
          <t>ILAT</t>
        </is>
      </c>
      <c r="B287">
        <f>IF(AND(LEN(Indices!E89)=7,MID(Indices!E89,5,2)="-T",ISNUMBER(VALUE(LEFT(Indices!E89,4))),ISNUMBER(INDEX(Indices!$A:$P,ROW(Indices!E89),COLUMN(Indices!E89)+1))),VALUE(LEFT(Indices!E89,4))*4+VALUE(RIGHT(Indices!E89,1)),0)</f>
        <v/>
      </c>
    </row>
    <row r="288">
      <c r="A288" t="inlineStr">
        <is>
          <t>ILAT</t>
        </is>
      </c>
      <c r="B288">
        <f>IF(AND(LEN(Indices!E90)=7,MID(Indices!E90,5,2)="-T",ISNUMBER(VALUE(LEFT(Indices!E90,4))),ISNUMBER(INDEX(Indices!$A:$P,ROW(Indices!E90),COLUMN(Indices!E90)+1))),VALUE(LEFT(Indices!E90,4))*4+VALUE(RIGHT(Indices!E90,1)),0)</f>
        <v/>
      </c>
    </row>
    <row r="289">
      <c r="A289" t="inlineStr">
        <is>
          <t>ILAT</t>
        </is>
      </c>
      <c r="B289">
        <f>IF(AND(LEN(Indices!E91)=7,MID(Indices!E91,5,2)="-T",ISNUMBER(VALUE(LEFT(Indices!E91,4))),ISNUMBER(INDEX(Indices!$A:$P,ROW(Indices!E91),COLUMN(Indices!E91)+1))),VALUE(LEFT(Indices!E91,4))*4+VALUE(RIGHT(Indices!E91,1)),0)</f>
        <v/>
      </c>
    </row>
    <row r="290">
      <c r="A290" t="inlineStr">
        <is>
          <t>ILAT</t>
        </is>
      </c>
      <c r="B290">
        <f>IF(AND(LEN(Indices!E92)=7,MID(Indices!E92,5,2)="-T",ISNUMBER(VALUE(LEFT(Indices!E92,4))),ISNUMBER(INDEX(Indices!$A:$P,ROW(Indices!E92),COLUMN(Indices!E92)+1))),VALUE(LEFT(Indices!E92,4))*4+VALUE(RIGHT(Indices!E92,1)),0)</f>
        <v/>
      </c>
    </row>
    <row r="291">
      <c r="A291" t="inlineStr">
        <is>
          <t>ILAT</t>
        </is>
      </c>
      <c r="B291">
        <f>IF(AND(LEN(Indices!E93)=7,MID(Indices!E93,5,2)="-T",ISNUMBER(VALUE(LEFT(Indices!E93,4))),ISNUMBER(INDEX(Indices!$A:$P,ROW(Indices!E93),COLUMN(Indices!E93)+1))),VALUE(LEFT(Indices!E93,4))*4+VALUE(RIGHT(Indices!E93,1)),0)</f>
        <v/>
      </c>
    </row>
    <row r="292">
      <c r="A292" t="inlineStr">
        <is>
          <t>ILAT</t>
        </is>
      </c>
      <c r="B292">
        <f>IF(AND(LEN(Indices!E94)=7,MID(Indices!E94,5,2)="-T",ISNUMBER(VALUE(LEFT(Indices!E94,4))),ISNUMBER(INDEX(Indices!$A:$P,ROW(Indices!E94),COLUMN(Indices!E94)+1))),VALUE(LEFT(Indices!E94,4))*4+VALUE(RIGHT(Indices!E94,1)),0)</f>
        <v/>
      </c>
    </row>
    <row r="293">
      <c r="A293" t="inlineStr">
        <is>
          <t>ILAT</t>
        </is>
      </c>
      <c r="B293">
        <f>IF(AND(LEN(Indices!E95)=7,MID(Indices!E95,5,2)="-T",ISNUMBER(VALUE(LEFT(Indices!E95,4))),ISNUMBER(INDEX(Indices!$A:$P,ROW(Indices!E95),COLUMN(Indices!E95)+1))),VALUE(LEFT(Indices!E95,4))*4+VALUE(RIGHT(Indices!E95,1)),0)</f>
        <v/>
      </c>
    </row>
    <row r="294">
      <c r="A294" t="inlineStr">
        <is>
          <t>ILAT</t>
        </is>
      </c>
      <c r="B294">
        <f>IF(AND(LEN(Indices!E96)=7,MID(Indices!E96,5,2)="-T",ISNUMBER(VALUE(LEFT(Indices!E96,4))),ISNUMBER(INDEX(Indices!$A:$P,ROW(Indices!E96),COLUMN(Indices!E96)+1))),VALUE(LEFT(Indices!E96,4))*4+VALUE(RIGHT(Indices!E96,1)),0)</f>
        <v/>
      </c>
    </row>
    <row r="295">
      <c r="A295" t="inlineStr">
        <is>
          <t>ILAT</t>
        </is>
      </c>
      <c r="B295">
        <f>IF(AND(LEN(Indices!E97)=7,MID(Indices!E97,5,2)="-T",ISNUMBER(VALUE(LEFT(Indices!E97,4))),ISNUMBER(INDEX(Indices!$A:$P,ROW(Indices!E97),COLUMN(Indices!E97)+1))),VALUE(LEFT(Indices!E97,4))*4+VALUE(RIGHT(Indices!E97,1)),0)</f>
        <v/>
      </c>
    </row>
    <row r="296">
      <c r="A296" t="inlineStr">
        <is>
          <t>ILAT</t>
        </is>
      </c>
      <c r="B296">
        <f>IF(AND(LEN(Indices!E98)=7,MID(Indices!E98,5,2)="-T",ISNUMBER(VALUE(LEFT(Indices!E98,4))),ISNUMBER(INDEX(Indices!$A:$P,ROW(Indices!E98),COLUMN(Indices!E98)+1))),VALUE(LEFT(Indices!E98,4))*4+VALUE(RIGHT(Indices!E98,1)),0)</f>
        <v/>
      </c>
    </row>
    <row r="297">
      <c r="A297" t="inlineStr">
        <is>
          <t>ILAT</t>
        </is>
      </c>
      <c r="B297">
        <f>IF(AND(LEN(Indices!E99)=7,MID(Indices!E99,5,2)="-T",ISNUMBER(VALUE(LEFT(Indices!E99,4))),ISNUMBER(INDEX(Indices!$A:$P,ROW(Indices!E99),COLUMN(Indices!E99)+1))),VALUE(LEFT(Indices!E99,4))*4+VALUE(RIGHT(Indices!E99,1)),0)</f>
        <v/>
      </c>
    </row>
    <row r="298">
      <c r="A298" t="inlineStr">
        <is>
          <t>ILAT</t>
        </is>
      </c>
      <c r="B298">
        <f>IF(AND(LEN(Indices!E100)=7,MID(Indices!E100,5,2)="-T",ISNUMBER(VALUE(LEFT(Indices!E100,4))),ISNUMBER(INDEX(Indices!$A:$P,ROW(Indices!E100),COLUMN(Indices!E100)+1))),VALUE(LEFT(Indices!E100,4))*4+VALUE(RIGHT(Indices!E100,1)),0)</f>
        <v/>
      </c>
    </row>
    <row r="299">
      <c r="A299" t="inlineStr">
        <is>
          <t>ILAT</t>
        </is>
      </c>
      <c r="B299">
        <f>IF(AND(LEN(Indices!E101)=7,MID(Indices!E101,5,2)="-T",ISNUMBER(VALUE(LEFT(Indices!E101,4))),ISNUMBER(INDEX(Indices!$A:$P,ROW(Indices!E101),COLUMN(Indices!E101)+1))),VALUE(LEFT(Indices!E101,4))*4+VALUE(RIGHT(Indices!E101,1)),0)</f>
        <v/>
      </c>
    </row>
    <row r="300">
      <c r="A300" t="inlineStr">
        <is>
          <t>ILAT</t>
        </is>
      </c>
      <c r="B300">
        <f>IF(AND(LEN(Indices!E102)=7,MID(Indices!E102,5,2)="-T",ISNUMBER(VALUE(LEFT(Indices!E102,4))),ISNUMBER(INDEX(Indices!$A:$P,ROW(Indices!E102),COLUMN(Indices!E102)+1))),VALUE(LEFT(Indices!E102,4))*4+VALUE(RIGHT(Indices!E102,1)),0)</f>
        <v/>
      </c>
    </row>
    <row r="301">
      <c r="A301" t="inlineStr">
        <is>
          <t>ILAT</t>
        </is>
      </c>
      <c r="B301">
        <f>IF(AND(LEN(Indices!E103)=7,MID(Indices!E103,5,2)="-T",ISNUMBER(VALUE(LEFT(Indices!E103,4))),ISNUMBER(INDEX(Indices!$A:$P,ROW(Indices!E103),COLUMN(Indices!E103)+1))),VALUE(LEFT(Indices!E103,4))*4+VALUE(RIGHT(Indices!E103,1)),0)</f>
        <v/>
      </c>
    </row>
    <row r="302">
      <c r="A302" t="inlineStr">
        <is>
          <t>ILAT</t>
        </is>
      </c>
      <c r="B302">
        <f>IF(AND(LEN(Indices!E104)=7,MID(Indices!E104,5,2)="-T",ISNUMBER(VALUE(LEFT(Indices!E104,4))),ISNUMBER(INDEX(Indices!$A:$P,ROW(Indices!E104),COLUMN(Indices!E104)+1))),VALUE(LEFT(Indices!E104,4))*4+VALUE(RIGHT(Indices!E104,1)),0)</f>
        <v/>
      </c>
    </row>
    <row r="303">
      <c r="A303" t="inlineStr">
        <is>
          <t>ILAT</t>
        </is>
      </c>
      <c r="B303">
        <f>IF(AND(LEN(Indices!E105)=7,MID(Indices!E105,5,2)="-T",ISNUMBER(VALUE(LEFT(Indices!E105,4))),ISNUMBER(INDEX(Indices!$A:$P,ROW(Indices!E105),COLUMN(Indices!E105)+1))),VALUE(LEFT(Indices!E105,4))*4+VALUE(RIGHT(Indices!E105,1)),0)</f>
        <v/>
      </c>
    </row>
    <row r="304">
      <c r="A304" t="inlineStr">
        <is>
          <t>ILAT</t>
        </is>
      </c>
      <c r="B304">
        <f>IF(AND(LEN(Indices!E106)=7,MID(Indices!E106,5,2)="-T",ISNUMBER(VALUE(LEFT(Indices!E106,4))),ISNUMBER(INDEX(Indices!$A:$P,ROW(Indices!E106),COLUMN(Indices!E106)+1))),VALUE(LEFT(Indices!E106,4))*4+VALUE(RIGHT(Indices!E106,1)),0)</f>
        <v/>
      </c>
    </row>
    <row r="305">
      <c r="A305" t="inlineStr">
        <is>
          <t>ILAT</t>
        </is>
      </c>
      <c r="B305">
        <f>IF(AND(LEN(Indices!E107)=7,MID(Indices!E107,5,2)="-T",ISNUMBER(VALUE(LEFT(Indices!E107,4))),ISNUMBER(INDEX(Indices!$A:$P,ROW(Indices!E107),COLUMN(Indices!E107)+1))),VALUE(LEFT(Indices!E107,4))*4+VALUE(RIGHT(Indices!E107,1)),0)</f>
        <v/>
      </c>
    </row>
    <row r="306">
      <c r="A306" t="inlineStr">
        <is>
          <t>ILAT</t>
        </is>
      </c>
      <c r="B306">
        <f>IF(AND(LEN(Indices!E108)=7,MID(Indices!E108,5,2)="-T",ISNUMBER(VALUE(LEFT(Indices!E108,4))),ISNUMBER(INDEX(Indices!$A:$P,ROW(Indices!E108),COLUMN(Indices!E108)+1))),VALUE(LEFT(Indices!E108,4))*4+VALUE(RIGHT(Indices!E108,1)),0)</f>
        <v/>
      </c>
    </row>
    <row r="307">
      <c r="A307" t="inlineStr">
        <is>
          <t>ILAT</t>
        </is>
      </c>
      <c r="B307">
        <f>IF(AND(LEN(Indices!E109)=7,MID(Indices!E109,5,2)="-T",ISNUMBER(VALUE(LEFT(Indices!E109,4))),ISNUMBER(INDEX(Indices!$A:$P,ROW(Indices!E109),COLUMN(Indices!E109)+1))),VALUE(LEFT(Indices!E109,4))*4+VALUE(RIGHT(Indices!E109,1)),0)</f>
        <v/>
      </c>
    </row>
    <row r="308">
      <c r="A308" t="inlineStr">
        <is>
          <t>ILAT</t>
        </is>
      </c>
      <c r="B308">
        <f>IF(AND(LEN(Indices!E110)=7,MID(Indices!E110,5,2)="-T",ISNUMBER(VALUE(LEFT(Indices!E110,4))),ISNUMBER(INDEX(Indices!$A:$P,ROW(Indices!E110),COLUMN(Indices!E110)+1))),VALUE(LEFT(Indices!E110,4))*4+VALUE(RIGHT(Indices!E110,1)),0)</f>
        <v/>
      </c>
    </row>
    <row r="309">
      <c r="A309" t="inlineStr">
        <is>
          <t>ILAT</t>
        </is>
      </c>
      <c r="B309">
        <f>IF(AND(LEN(Indices!E111)=7,MID(Indices!E111,5,2)="-T",ISNUMBER(VALUE(LEFT(Indices!E111,4))),ISNUMBER(INDEX(Indices!$A:$P,ROW(Indices!E111),COLUMN(Indices!E111)+1))),VALUE(LEFT(Indices!E111,4))*4+VALUE(RIGHT(Indices!E111,1)),0)</f>
        <v/>
      </c>
    </row>
    <row r="310">
      <c r="A310" t="inlineStr">
        <is>
          <t>ILAT</t>
        </is>
      </c>
      <c r="B310">
        <f>IF(AND(LEN(Indices!E112)=7,MID(Indices!E112,5,2)="-T",ISNUMBER(VALUE(LEFT(Indices!E112,4))),ISNUMBER(INDEX(Indices!$A:$P,ROW(Indices!E112),COLUMN(Indices!E112)+1))),VALUE(LEFT(Indices!E112,4))*4+VALUE(RIGHT(Indices!E112,1)),0)</f>
        <v/>
      </c>
    </row>
    <row r="311">
      <c r="A311" t="inlineStr">
        <is>
          <t>ILAT</t>
        </is>
      </c>
      <c r="B311">
        <f>IF(AND(LEN(Indices!E113)=7,MID(Indices!E113,5,2)="-T",ISNUMBER(VALUE(LEFT(Indices!E113,4))),ISNUMBER(INDEX(Indices!$A:$P,ROW(Indices!E113),COLUMN(Indices!E113)+1))),VALUE(LEFT(Indices!E113,4))*4+VALUE(RIGHT(Indices!E113,1)),0)</f>
        <v/>
      </c>
    </row>
    <row r="312">
      <c r="A312" t="inlineStr">
        <is>
          <t>ILAT</t>
        </is>
      </c>
      <c r="B312">
        <f>IF(AND(LEN(Indices!E114)=7,MID(Indices!E114,5,2)="-T",ISNUMBER(VALUE(LEFT(Indices!E114,4))),ISNUMBER(INDEX(Indices!$A:$P,ROW(Indices!E114),COLUMN(Indices!E114)+1))),VALUE(LEFT(Indices!E114,4))*4+VALUE(RIGHT(Indices!E114,1)),0)</f>
        <v/>
      </c>
    </row>
    <row r="313">
      <c r="A313" t="inlineStr">
        <is>
          <t>ILAT</t>
        </is>
      </c>
      <c r="B313">
        <f>IF(AND(LEN(Indices!E115)=7,MID(Indices!E115,5,2)="-T",ISNUMBER(VALUE(LEFT(Indices!E115,4))),ISNUMBER(INDEX(Indices!$A:$P,ROW(Indices!E115),COLUMN(Indices!E115)+1))),VALUE(LEFT(Indices!E115,4))*4+VALUE(RIGHT(Indices!E115,1)),0)</f>
        <v/>
      </c>
    </row>
    <row r="314">
      <c r="A314" t="inlineStr">
        <is>
          <t>ILAT</t>
        </is>
      </c>
      <c r="B314">
        <f>IF(AND(LEN(Indices!E116)=7,MID(Indices!E116,5,2)="-T",ISNUMBER(VALUE(LEFT(Indices!E116,4))),ISNUMBER(INDEX(Indices!$A:$P,ROW(Indices!E116),COLUMN(Indices!E116)+1))),VALUE(LEFT(Indices!E116,4))*4+VALUE(RIGHT(Indices!E116,1)),0)</f>
        <v/>
      </c>
    </row>
    <row r="315">
      <c r="A315" t="inlineStr">
        <is>
          <t>ILAT</t>
        </is>
      </c>
      <c r="B315">
        <f>IF(AND(LEN(Indices!E117)=7,MID(Indices!E117,5,2)="-T",ISNUMBER(VALUE(LEFT(Indices!E117,4))),ISNUMBER(INDEX(Indices!$A:$P,ROW(Indices!E117),COLUMN(Indices!E117)+1))),VALUE(LEFT(Indices!E117,4))*4+VALUE(RIGHT(Indices!E117,1)),0)</f>
        <v/>
      </c>
    </row>
    <row r="316">
      <c r="A316" t="inlineStr">
        <is>
          <t>ILAT</t>
        </is>
      </c>
      <c r="B316">
        <f>IF(AND(LEN(Indices!E118)=7,MID(Indices!E118,5,2)="-T",ISNUMBER(VALUE(LEFT(Indices!E118,4))),ISNUMBER(INDEX(Indices!$A:$P,ROW(Indices!E118),COLUMN(Indices!E118)+1))),VALUE(LEFT(Indices!E118,4))*4+VALUE(RIGHT(Indices!E118,1)),0)</f>
        <v/>
      </c>
    </row>
    <row r="317">
      <c r="A317" t="inlineStr">
        <is>
          <t>ILAT</t>
        </is>
      </c>
      <c r="B317">
        <f>IF(AND(LEN(Indices!E119)=7,MID(Indices!E119,5,2)="-T",ISNUMBER(VALUE(LEFT(Indices!E119,4))),ISNUMBER(INDEX(Indices!$A:$P,ROW(Indices!E119),COLUMN(Indices!E119)+1))),VALUE(LEFT(Indices!E119,4))*4+VALUE(RIGHT(Indices!E119,1)),0)</f>
        <v/>
      </c>
    </row>
    <row r="318">
      <c r="A318" t="inlineStr">
        <is>
          <t>ILAT</t>
        </is>
      </c>
      <c r="B318">
        <f>IF(AND(LEN(Indices!E120)=7,MID(Indices!E120,5,2)="-T",ISNUMBER(VALUE(LEFT(Indices!E120,4))),ISNUMBER(INDEX(Indices!$A:$P,ROW(Indices!E120),COLUMN(Indices!E120)+1))),VALUE(LEFT(Indices!E120,4))*4+VALUE(RIGHT(Indices!E120,1)),0)</f>
        <v/>
      </c>
    </row>
    <row r="319">
      <c r="A319" t="inlineStr">
        <is>
          <t>ILAT</t>
        </is>
      </c>
      <c r="B319">
        <f>IF(AND(LEN(Indices!E121)=7,MID(Indices!E121,5,2)="-T",ISNUMBER(VALUE(LEFT(Indices!E121,4))),ISNUMBER(INDEX(Indices!$A:$P,ROW(Indices!E121),COLUMN(Indices!E121)+1))),VALUE(LEFT(Indices!E121,4))*4+VALUE(RIGHT(Indices!E121,1)),0)</f>
        <v/>
      </c>
    </row>
    <row r="320">
      <c r="A320" t="inlineStr">
        <is>
          <t>ILAT</t>
        </is>
      </c>
      <c r="B320">
        <f>IF(AND(LEN(Indices!E122)=7,MID(Indices!E122,5,2)="-T",ISNUMBER(VALUE(LEFT(Indices!E122,4))),ISNUMBER(INDEX(Indices!$A:$P,ROW(Indices!E122),COLUMN(Indices!E122)+1))),VALUE(LEFT(Indices!E122,4))*4+VALUE(RIGHT(Indices!E122,1)),0)</f>
        <v/>
      </c>
    </row>
    <row r="321">
      <c r="A321" t="inlineStr">
        <is>
          <t>ILAT</t>
        </is>
      </c>
      <c r="B321">
        <f>IF(AND(LEN(Indices!E123)=7,MID(Indices!E123,5,2)="-T",ISNUMBER(VALUE(LEFT(Indices!E123,4))),ISNUMBER(INDEX(Indices!$A:$P,ROW(Indices!E123),COLUMN(Indices!E123)+1))),VALUE(LEFT(Indices!E123,4))*4+VALUE(RIGHT(Indices!E123,1)),0)</f>
        <v/>
      </c>
    </row>
    <row r="322">
      <c r="A322" t="inlineStr">
        <is>
          <t>ILAT</t>
        </is>
      </c>
      <c r="B322">
        <f>IF(AND(LEN(Indices!E124)=7,MID(Indices!E124,5,2)="-T",ISNUMBER(VALUE(LEFT(Indices!E124,4))),ISNUMBER(INDEX(Indices!$A:$P,ROW(Indices!E124),COLUMN(Indices!E124)+1))),VALUE(LEFT(Indices!E124,4))*4+VALUE(RIGHT(Indices!E124,1)),0)</f>
        <v/>
      </c>
    </row>
    <row r="323">
      <c r="A323" t="inlineStr">
        <is>
          <t>ILAT</t>
        </is>
      </c>
      <c r="B323">
        <f>IF(AND(LEN(Indices!E125)=7,MID(Indices!E125,5,2)="-T",ISNUMBER(VALUE(LEFT(Indices!E125,4))),ISNUMBER(INDEX(Indices!$A:$P,ROW(Indices!E125),COLUMN(Indices!E125)+1))),VALUE(LEFT(Indices!E125,4))*4+VALUE(RIGHT(Indices!E125,1)),0)</f>
        <v/>
      </c>
    </row>
    <row r="324">
      <c r="A324" t="inlineStr">
        <is>
          <t>ILAT</t>
        </is>
      </c>
      <c r="B324">
        <f>IF(AND(LEN(Indices!E126)=7,MID(Indices!E126,5,2)="-T",ISNUMBER(VALUE(LEFT(Indices!E126,4))),ISNUMBER(INDEX(Indices!$A:$P,ROW(Indices!E126),COLUMN(Indices!E126)+1))),VALUE(LEFT(Indices!E126,4))*4+VALUE(RIGHT(Indices!E126,1)),0)</f>
        <v/>
      </c>
    </row>
    <row r="325">
      <c r="A325" t="inlineStr">
        <is>
          <t>ILAT</t>
        </is>
      </c>
      <c r="B325">
        <f>IF(AND(LEN(Indices!E127)=7,MID(Indices!E127,5,2)="-T",ISNUMBER(VALUE(LEFT(Indices!E127,4))),ISNUMBER(INDEX(Indices!$A:$P,ROW(Indices!E127),COLUMN(Indices!E127)+1))),VALUE(LEFT(Indices!E127,4))*4+VALUE(RIGHT(Indices!E127,1)),0)</f>
        <v/>
      </c>
    </row>
    <row r="326">
      <c r="A326" t="inlineStr">
        <is>
          <t>ILAT</t>
        </is>
      </c>
      <c r="B326">
        <f>IF(AND(LEN(Indices!E128)=7,MID(Indices!E128,5,2)="-T",ISNUMBER(VALUE(LEFT(Indices!E128,4))),ISNUMBER(INDEX(Indices!$A:$P,ROW(Indices!E128),COLUMN(Indices!E128)+1))),VALUE(LEFT(Indices!E128,4))*4+VALUE(RIGHT(Indices!E128,1)),0)</f>
        <v/>
      </c>
    </row>
    <row r="327">
      <c r="A327" t="inlineStr">
        <is>
          <t>ILAT</t>
        </is>
      </c>
      <c r="B327">
        <f>IF(AND(LEN(Indices!E129)=7,MID(Indices!E129,5,2)="-T",ISNUMBER(VALUE(LEFT(Indices!E129,4))),ISNUMBER(INDEX(Indices!$A:$P,ROW(Indices!E129),COLUMN(Indices!E129)+1))),VALUE(LEFT(Indices!E129,4))*4+VALUE(RIGHT(Indices!E129,1)),0)</f>
        <v/>
      </c>
    </row>
    <row r="328">
      <c r="A328" t="inlineStr">
        <is>
          <t>ILAT</t>
        </is>
      </c>
      <c r="B328">
        <f>IF(AND(LEN(Indices!E130)=7,MID(Indices!E130,5,2)="-T",ISNUMBER(VALUE(LEFT(Indices!E130,4))),ISNUMBER(INDEX(Indices!$A:$P,ROW(Indices!E130),COLUMN(Indices!E130)+1))),VALUE(LEFT(Indices!E130,4))*4+VALUE(RIGHT(Indices!E130,1)),0)</f>
        <v/>
      </c>
    </row>
    <row r="329">
      <c r="A329" t="inlineStr">
        <is>
          <t>ILAT</t>
        </is>
      </c>
      <c r="B329">
        <f>IF(AND(LEN(Indices!E131)=7,MID(Indices!E131,5,2)="-T",ISNUMBER(VALUE(LEFT(Indices!E131,4))),ISNUMBER(INDEX(Indices!$A:$P,ROW(Indices!E131),COLUMN(Indices!E131)+1))),VALUE(LEFT(Indices!E131,4))*4+VALUE(RIGHT(Indices!E131,1)),0)</f>
        <v/>
      </c>
    </row>
    <row r="330">
      <c r="A330" t="inlineStr">
        <is>
          <t>ILAT</t>
        </is>
      </c>
      <c r="B330">
        <f>IF(AND(LEN(Indices!E132)=7,MID(Indices!E132,5,2)="-T",ISNUMBER(VALUE(LEFT(Indices!E132,4))),ISNUMBER(INDEX(Indices!$A:$P,ROW(Indices!E132),COLUMN(Indices!E132)+1))),VALUE(LEFT(Indices!E132,4))*4+VALUE(RIGHT(Indices!E132,1)),0)</f>
        <v/>
      </c>
    </row>
    <row r="331">
      <c r="A331" t="inlineStr">
        <is>
          <t>ILAT</t>
        </is>
      </c>
      <c r="B331">
        <f>IF(AND(LEN(Indices!E133)=7,MID(Indices!E133,5,2)="-T",ISNUMBER(VALUE(LEFT(Indices!E133,4))),ISNUMBER(INDEX(Indices!$A:$P,ROW(Indices!E133),COLUMN(Indices!E133)+1))),VALUE(LEFT(Indices!E133,4))*4+VALUE(RIGHT(Indices!E133,1)),0)</f>
        <v/>
      </c>
    </row>
    <row r="332">
      <c r="A332" t="inlineStr">
        <is>
          <t>ILAT</t>
        </is>
      </c>
      <c r="B332">
        <f>IF(AND(LEN(Indices!E134)=7,MID(Indices!E134,5,2)="-T",ISNUMBER(VALUE(LEFT(Indices!E134,4))),ISNUMBER(INDEX(Indices!$A:$P,ROW(Indices!E134),COLUMN(Indices!E134)+1))),VALUE(LEFT(Indices!E134,4))*4+VALUE(RIGHT(Indices!E134,1)),0)</f>
        <v/>
      </c>
    </row>
    <row r="333">
      <c r="A333" t="inlineStr">
        <is>
          <t>ILAT</t>
        </is>
      </c>
      <c r="B333">
        <f>IF(AND(LEN(Indices!E135)=7,MID(Indices!E135,5,2)="-T",ISNUMBER(VALUE(LEFT(Indices!E135,4))),ISNUMBER(INDEX(Indices!$A:$P,ROW(Indices!E135),COLUMN(Indices!E135)+1))),VALUE(LEFT(Indices!E135,4))*4+VALUE(RIGHT(Indices!E135,1)),0)</f>
        <v/>
      </c>
    </row>
    <row r="334">
      <c r="A334" t="inlineStr">
        <is>
          <t>ILAT</t>
        </is>
      </c>
      <c r="B334">
        <f>IF(AND(LEN(Indices!E136)=7,MID(Indices!E136,5,2)="-T",ISNUMBER(VALUE(LEFT(Indices!E136,4))),ISNUMBER(INDEX(Indices!$A:$P,ROW(Indices!E136),COLUMN(Indices!E136)+1))),VALUE(LEFT(Indices!E136,4))*4+VALUE(RIGHT(Indices!E136,1)),0)</f>
        <v/>
      </c>
    </row>
    <row r="335">
      <c r="A335" t="inlineStr">
        <is>
          <t>ILAT</t>
        </is>
      </c>
      <c r="B335">
        <f>IF(AND(LEN(Indices!E137)=7,MID(Indices!E137,5,2)="-T",ISNUMBER(VALUE(LEFT(Indices!E137,4))),ISNUMBER(INDEX(Indices!$A:$P,ROW(Indices!E137),COLUMN(Indices!E137)+1))),VALUE(LEFT(Indices!E137,4))*4+VALUE(RIGHT(Indices!E137,1)),0)</f>
        <v/>
      </c>
    </row>
    <row r="336">
      <c r="A336" t="inlineStr">
        <is>
          <t>ILAT</t>
        </is>
      </c>
      <c r="B336">
        <f>IF(AND(LEN(Indices!E138)=7,MID(Indices!E138,5,2)="-T",ISNUMBER(VALUE(LEFT(Indices!E138,4))),ISNUMBER(INDEX(Indices!$A:$P,ROW(Indices!E138),COLUMN(Indices!E138)+1))),VALUE(LEFT(Indices!E138,4))*4+VALUE(RIGHT(Indices!E138,1)),0)</f>
        <v/>
      </c>
    </row>
    <row r="337">
      <c r="A337" t="inlineStr">
        <is>
          <t>ILAT</t>
        </is>
      </c>
      <c r="B337">
        <f>IF(AND(LEN(Indices!E139)=7,MID(Indices!E139,5,2)="-T",ISNUMBER(VALUE(LEFT(Indices!E139,4))),ISNUMBER(INDEX(Indices!$A:$P,ROW(Indices!E139),COLUMN(Indices!E139)+1))),VALUE(LEFT(Indices!E139,4))*4+VALUE(RIGHT(Indices!E139,1)),0)</f>
        <v/>
      </c>
    </row>
    <row r="338">
      <c r="A338" t="inlineStr">
        <is>
          <t>ILAT</t>
        </is>
      </c>
      <c r="B338">
        <f>IF(AND(LEN(Indices!E140)=7,MID(Indices!E140,5,2)="-T",ISNUMBER(VALUE(LEFT(Indices!E140,4))),ISNUMBER(INDEX(Indices!$A:$P,ROW(Indices!E140),COLUMN(Indices!E140)+1))),VALUE(LEFT(Indices!E140,4))*4+VALUE(RIGHT(Indices!E140,1)),0)</f>
        <v/>
      </c>
    </row>
    <row r="339">
      <c r="A339" t="inlineStr">
        <is>
          <t>ILAT</t>
        </is>
      </c>
      <c r="B339">
        <f>IF(AND(LEN(Indices!E141)=7,MID(Indices!E141,5,2)="-T",ISNUMBER(VALUE(LEFT(Indices!E141,4))),ISNUMBER(INDEX(Indices!$A:$P,ROW(Indices!E141),COLUMN(Indices!E141)+1))),VALUE(LEFT(Indices!E141,4))*4+VALUE(RIGHT(Indices!E141,1)),0)</f>
        <v/>
      </c>
    </row>
    <row r="340">
      <c r="A340" t="inlineStr">
        <is>
          <t>ILAT</t>
        </is>
      </c>
      <c r="B340">
        <f>IF(AND(LEN(Indices!E142)=7,MID(Indices!E142,5,2)="-T",ISNUMBER(VALUE(LEFT(Indices!E142,4))),ISNUMBER(INDEX(Indices!$A:$P,ROW(Indices!E142),COLUMN(Indices!E142)+1))),VALUE(LEFT(Indices!E142,4))*4+VALUE(RIGHT(Indices!E142,1)),0)</f>
        <v/>
      </c>
    </row>
    <row r="341">
      <c r="A341" t="inlineStr">
        <is>
          <t>ILAT</t>
        </is>
      </c>
      <c r="B341">
        <f>IF(AND(LEN(Indices!E143)=7,MID(Indices!E143,5,2)="-T",ISNUMBER(VALUE(LEFT(Indices!E143,4))),ISNUMBER(INDEX(Indices!$A:$P,ROW(Indices!E143),COLUMN(Indices!E143)+1))),VALUE(LEFT(Indices!E143,4))*4+VALUE(RIGHT(Indices!E143,1)),0)</f>
        <v/>
      </c>
    </row>
    <row r="342">
      <c r="A342" t="inlineStr">
        <is>
          <t>ILAT</t>
        </is>
      </c>
      <c r="B342">
        <f>IF(AND(LEN(Indices!E144)=7,MID(Indices!E144,5,2)="-T",ISNUMBER(VALUE(LEFT(Indices!E144,4))),ISNUMBER(INDEX(Indices!$A:$P,ROW(Indices!E144),COLUMN(Indices!E144)+1))),VALUE(LEFT(Indices!E144,4))*4+VALUE(RIGHT(Indices!E144,1)),0)</f>
        <v/>
      </c>
    </row>
    <row r="343">
      <c r="A343" t="inlineStr">
        <is>
          <t>ILAT</t>
        </is>
      </c>
      <c r="B343">
        <f>IF(AND(LEN(Indices!E145)=7,MID(Indices!E145,5,2)="-T",ISNUMBER(VALUE(LEFT(Indices!E145,4))),ISNUMBER(INDEX(Indices!$A:$P,ROW(Indices!E145),COLUMN(Indices!E145)+1))),VALUE(LEFT(Indices!E145,4))*4+VALUE(RIGHT(Indices!E145,1)),0)</f>
        <v/>
      </c>
    </row>
    <row r="344">
      <c r="A344" t="inlineStr">
        <is>
          <t>ILAT</t>
        </is>
      </c>
      <c r="B344">
        <f>IF(AND(LEN(Indices!E146)=7,MID(Indices!E146,5,2)="-T",ISNUMBER(VALUE(LEFT(Indices!E146,4))),ISNUMBER(INDEX(Indices!$A:$P,ROW(Indices!E146),COLUMN(Indices!E146)+1))),VALUE(LEFT(Indices!E146,4))*4+VALUE(RIGHT(Indices!E146,1)),0)</f>
        <v/>
      </c>
    </row>
    <row r="345">
      <c r="A345" t="inlineStr">
        <is>
          <t>ILAT</t>
        </is>
      </c>
      <c r="B345">
        <f>IF(AND(LEN(Indices!E147)=7,MID(Indices!E147,5,2)="-T",ISNUMBER(VALUE(LEFT(Indices!E147,4))),ISNUMBER(INDEX(Indices!$A:$P,ROW(Indices!E147),COLUMN(Indices!E147)+1))),VALUE(LEFT(Indices!E147,4))*4+VALUE(RIGHT(Indices!E147,1)),0)</f>
        <v/>
      </c>
    </row>
    <row r="346">
      <c r="A346" t="inlineStr">
        <is>
          <t>ILAT</t>
        </is>
      </c>
      <c r="B346">
        <f>IF(AND(LEN(Indices!E148)=7,MID(Indices!E148,5,2)="-T",ISNUMBER(VALUE(LEFT(Indices!E148,4))),ISNUMBER(INDEX(Indices!$A:$P,ROW(Indices!E148),COLUMN(Indices!E148)+1))),VALUE(LEFT(Indices!E148,4))*4+VALUE(RIGHT(Indices!E148,1)),0)</f>
        <v/>
      </c>
    </row>
    <row r="347">
      <c r="A347" t="inlineStr">
        <is>
          <t>ILAT</t>
        </is>
      </c>
      <c r="B347">
        <f>IF(AND(LEN(Indices!E149)=7,MID(Indices!E149,5,2)="-T",ISNUMBER(VALUE(LEFT(Indices!E149,4))),ISNUMBER(INDEX(Indices!$A:$P,ROW(Indices!E149),COLUMN(Indices!E149)+1))),VALUE(LEFT(Indices!E149,4))*4+VALUE(RIGHT(Indices!E149,1)),0)</f>
        <v/>
      </c>
    </row>
    <row r="348">
      <c r="A348" t="inlineStr">
        <is>
          <t>ILAT</t>
        </is>
      </c>
      <c r="B348">
        <f>IF(AND(LEN(Indices!E150)=7,MID(Indices!E150,5,2)="-T",ISNUMBER(VALUE(LEFT(Indices!E150,4))),ISNUMBER(INDEX(Indices!$A:$P,ROW(Indices!E150),COLUMN(Indices!E150)+1))),VALUE(LEFT(Indices!E150,4))*4+VALUE(RIGHT(Indices!E150,1)),0)</f>
        <v/>
      </c>
    </row>
    <row r="349">
      <c r="A349" t="inlineStr">
        <is>
          <t>ILAT</t>
        </is>
      </c>
      <c r="B349">
        <f>IF(AND(LEN(Indices!E151)=7,MID(Indices!E151,5,2)="-T",ISNUMBER(VALUE(LEFT(Indices!E151,4))),ISNUMBER(INDEX(Indices!$A:$P,ROW(Indices!E151),COLUMN(Indices!E151)+1))),VALUE(LEFT(Indices!E151,4))*4+VALUE(RIGHT(Indices!E151,1)),0)</f>
        <v/>
      </c>
    </row>
    <row r="350">
      <c r="A350" t="inlineStr">
        <is>
          <t>ILAT</t>
        </is>
      </c>
      <c r="B350">
        <f>IF(AND(LEN(Indices!E152)=7,MID(Indices!E152,5,2)="-T",ISNUMBER(VALUE(LEFT(Indices!E152,4))),ISNUMBER(INDEX(Indices!$A:$P,ROW(Indices!E152),COLUMN(Indices!E152)+1))),VALUE(LEFT(Indices!E152,4))*4+VALUE(RIGHT(Indices!E152,1)),0)</f>
        <v/>
      </c>
    </row>
    <row r="351">
      <c r="A351" t="inlineStr">
        <is>
          <t>ILAT</t>
        </is>
      </c>
      <c r="B351">
        <f>IF(AND(LEN(Indices!E153)=7,MID(Indices!E153,5,2)="-T",ISNUMBER(VALUE(LEFT(Indices!E153,4))),ISNUMBER(INDEX(Indices!$A:$P,ROW(Indices!E153),COLUMN(Indices!E153)+1))),VALUE(LEFT(Indices!E153,4))*4+VALUE(RIGHT(Indices!E153,1)),0)</f>
        <v/>
      </c>
    </row>
    <row r="352">
      <c r="A352" t="inlineStr">
        <is>
          <t>ILAT</t>
        </is>
      </c>
      <c r="B352">
        <f>IF(AND(LEN(Indices!E154)=7,MID(Indices!E154,5,2)="-T",ISNUMBER(VALUE(LEFT(Indices!E154,4))),ISNUMBER(INDEX(Indices!$A:$P,ROW(Indices!E154),COLUMN(Indices!E154)+1))),VALUE(LEFT(Indices!E154,4))*4+VALUE(RIGHT(Indices!E154,1)),0)</f>
        <v/>
      </c>
    </row>
    <row r="353">
      <c r="A353" t="inlineStr">
        <is>
          <t>ILAT</t>
        </is>
      </c>
      <c r="B353">
        <f>IF(AND(LEN(Indices!E155)=7,MID(Indices!E155,5,2)="-T",ISNUMBER(VALUE(LEFT(Indices!E155,4))),ISNUMBER(INDEX(Indices!$A:$P,ROW(Indices!E155),COLUMN(Indices!E155)+1))),VALUE(LEFT(Indices!E155,4))*4+VALUE(RIGHT(Indices!E155,1)),0)</f>
        <v/>
      </c>
    </row>
    <row r="354">
      <c r="A354" t="inlineStr">
        <is>
          <t>ILAT</t>
        </is>
      </c>
      <c r="B354">
        <f>IF(AND(LEN(Indices!E156)=7,MID(Indices!E156,5,2)="-T",ISNUMBER(VALUE(LEFT(Indices!E156,4))),ISNUMBER(INDEX(Indices!$A:$P,ROW(Indices!E156),COLUMN(Indices!E156)+1))),VALUE(LEFT(Indices!E156,4))*4+VALUE(RIGHT(Indices!E156,1)),0)</f>
        <v/>
      </c>
    </row>
    <row r="355">
      <c r="A355" t="inlineStr">
        <is>
          <t>ILAT</t>
        </is>
      </c>
      <c r="B355">
        <f>IF(AND(LEN(Indices!E157)=7,MID(Indices!E157,5,2)="-T",ISNUMBER(VALUE(LEFT(Indices!E157,4))),ISNUMBER(INDEX(Indices!$A:$P,ROW(Indices!E157),COLUMN(Indices!E157)+1))),VALUE(LEFT(Indices!E157,4))*4+VALUE(RIGHT(Indices!E157,1)),0)</f>
        <v/>
      </c>
    </row>
    <row r="356">
      <c r="A356" t="inlineStr">
        <is>
          <t>ILAT</t>
        </is>
      </c>
      <c r="B356">
        <f>IF(AND(LEN(Indices!E158)=7,MID(Indices!E158,5,2)="-T",ISNUMBER(VALUE(LEFT(Indices!E158,4))),ISNUMBER(INDEX(Indices!$A:$P,ROW(Indices!E158),COLUMN(Indices!E158)+1))),VALUE(LEFT(Indices!E158,4))*4+VALUE(RIGHT(Indices!E158,1)),0)</f>
        <v/>
      </c>
    </row>
    <row r="357">
      <c r="A357" t="inlineStr">
        <is>
          <t>ILAT</t>
        </is>
      </c>
      <c r="B357">
        <f>IF(AND(LEN(Indices!E159)=7,MID(Indices!E159,5,2)="-T",ISNUMBER(VALUE(LEFT(Indices!E159,4))),ISNUMBER(INDEX(Indices!$A:$P,ROW(Indices!E159),COLUMN(Indices!E159)+1))),VALUE(LEFT(Indices!E159,4))*4+VALUE(RIGHT(Indices!E159,1)),0)</f>
        <v/>
      </c>
    </row>
    <row r="358">
      <c r="A358" t="inlineStr">
        <is>
          <t>ILAT</t>
        </is>
      </c>
      <c r="B358">
        <f>IF(AND(LEN(Indices!E160)=7,MID(Indices!E160,5,2)="-T",ISNUMBER(VALUE(LEFT(Indices!E160,4))),ISNUMBER(INDEX(Indices!$A:$P,ROW(Indices!E160),COLUMN(Indices!E160)+1))),VALUE(LEFT(Indices!E160,4))*4+VALUE(RIGHT(Indices!E160,1)),0)</f>
        <v/>
      </c>
    </row>
    <row r="359">
      <c r="A359" t="inlineStr">
        <is>
          <t>ILAT</t>
        </is>
      </c>
      <c r="B359">
        <f>IF(AND(LEN(Indices!E161)=7,MID(Indices!E161,5,2)="-T",ISNUMBER(VALUE(LEFT(Indices!E161,4))),ISNUMBER(INDEX(Indices!$A:$P,ROW(Indices!E161),COLUMN(Indices!E161)+1))),VALUE(LEFT(Indices!E161,4))*4+VALUE(RIGHT(Indices!E161,1)),0)</f>
        <v/>
      </c>
    </row>
    <row r="360">
      <c r="A360" t="inlineStr">
        <is>
          <t>ILAT</t>
        </is>
      </c>
      <c r="B360">
        <f>IF(AND(LEN(Indices!E162)=7,MID(Indices!E162,5,2)="-T",ISNUMBER(VALUE(LEFT(Indices!E162,4))),ISNUMBER(INDEX(Indices!$A:$P,ROW(Indices!E162),COLUMN(Indices!E162)+1))),VALUE(LEFT(Indices!E162,4))*4+VALUE(RIGHT(Indices!E162,1)),0)</f>
        <v/>
      </c>
    </row>
    <row r="361">
      <c r="A361" t="inlineStr">
        <is>
          <t>ILAT</t>
        </is>
      </c>
      <c r="B361">
        <f>IF(AND(LEN(Indices!E163)=7,MID(Indices!E163,5,2)="-T",ISNUMBER(VALUE(LEFT(Indices!E163,4))),ISNUMBER(INDEX(Indices!$A:$P,ROW(Indices!E163),COLUMN(Indices!E163)+1))),VALUE(LEFT(Indices!E163,4))*4+VALUE(RIGHT(Indices!E163,1)),0)</f>
        <v/>
      </c>
    </row>
    <row r="362">
      <c r="A362" t="inlineStr">
        <is>
          <t>ILAT</t>
        </is>
      </c>
      <c r="B362">
        <f>IF(AND(LEN(Indices!E164)=7,MID(Indices!E164,5,2)="-T",ISNUMBER(VALUE(LEFT(Indices!E164,4))),ISNUMBER(INDEX(Indices!$A:$P,ROW(Indices!E164),COLUMN(Indices!E164)+1))),VALUE(LEFT(Indices!E164,4))*4+VALUE(RIGHT(Indices!E164,1)),0)</f>
        <v/>
      </c>
    </row>
    <row r="363">
      <c r="A363" t="inlineStr">
        <is>
          <t>ILAT</t>
        </is>
      </c>
      <c r="B363">
        <f>IF(AND(LEN(Indices!E165)=7,MID(Indices!E165,5,2)="-T",ISNUMBER(VALUE(LEFT(Indices!E165,4))),ISNUMBER(INDEX(Indices!$A:$P,ROW(Indices!E165),COLUMN(Indices!E165)+1))),VALUE(LEFT(Indices!E165,4))*4+VALUE(RIGHT(Indices!E165,1)),0)</f>
        <v/>
      </c>
    </row>
    <row r="364">
      <c r="A364" t="inlineStr">
        <is>
          <t>ILAT</t>
        </is>
      </c>
      <c r="B364">
        <f>IF(AND(LEN(Indices!E166)=7,MID(Indices!E166,5,2)="-T",ISNUMBER(VALUE(LEFT(Indices!E166,4))),ISNUMBER(INDEX(Indices!$A:$P,ROW(Indices!E166),COLUMN(Indices!E166)+1))),VALUE(LEFT(Indices!E166,4))*4+VALUE(RIGHT(Indices!E166,1)),0)</f>
        <v/>
      </c>
    </row>
    <row r="365">
      <c r="A365" t="inlineStr">
        <is>
          <t>ILAT</t>
        </is>
      </c>
      <c r="B365">
        <f>IF(AND(LEN(Indices!E167)=7,MID(Indices!E167,5,2)="-T",ISNUMBER(VALUE(LEFT(Indices!E167,4))),ISNUMBER(INDEX(Indices!$A:$P,ROW(Indices!E167),COLUMN(Indices!E167)+1))),VALUE(LEFT(Indices!E167,4))*4+VALUE(RIGHT(Indices!E167,1)),0)</f>
        <v/>
      </c>
    </row>
    <row r="366">
      <c r="A366" t="inlineStr">
        <is>
          <t>ILAT</t>
        </is>
      </c>
      <c r="B366">
        <f>IF(AND(LEN(Indices!E168)=7,MID(Indices!E168,5,2)="-T",ISNUMBER(VALUE(LEFT(Indices!E168,4))),ISNUMBER(INDEX(Indices!$A:$P,ROW(Indices!E168),COLUMN(Indices!E168)+1))),VALUE(LEFT(Indices!E168,4))*4+VALUE(RIGHT(Indices!E168,1)),0)</f>
        <v/>
      </c>
    </row>
    <row r="367">
      <c r="A367" t="inlineStr">
        <is>
          <t>ILAT</t>
        </is>
      </c>
      <c r="B367">
        <f>IF(AND(LEN(Indices!E169)=7,MID(Indices!E169,5,2)="-T",ISNUMBER(VALUE(LEFT(Indices!E169,4))),ISNUMBER(INDEX(Indices!$A:$P,ROW(Indices!E169),COLUMN(Indices!E169)+1))),VALUE(LEFT(Indices!E169,4))*4+VALUE(RIGHT(Indices!E169,1)),0)</f>
        <v/>
      </c>
    </row>
    <row r="368">
      <c r="A368" t="inlineStr">
        <is>
          <t>ILAT</t>
        </is>
      </c>
      <c r="B368">
        <f>IF(AND(LEN(Indices!E170)=7,MID(Indices!E170,5,2)="-T",ISNUMBER(VALUE(LEFT(Indices!E170,4))),ISNUMBER(INDEX(Indices!$A:$P,ROW(Indices!E170),COLUMN(Indices!E170)+1))),VALUE(LEFT(Indices!E170,4))*4+VALUE(RIGHT(Indices!E170,1)),0)</f>
        <v/>
      </c>
    </row>
    <row r="369">
      <c r="A369" t="inlineStr">
        <is>
          <t>ILAT</t>
        </is>
      </c>
      <c r="B369">
        <f>IF(AND(LEN(Indices!E171)=7,MID(Indices!E171,5,2)="-T",ISNUMBER(VALUE(LEFT(Indices!E171,4))),ISNUMBER(INDEX(Indices!$A:$P,ROW(Indices!E171),COLUMN(Indices!E171)+1))),VALUE(LEFT(Indices!E171,4))*4+VALUE(RIGHT(Indices!E171,1)),0)</f>
        <v/>
      </c>
    </row>
    <row r="370">
      <c r="A370" t="inlineStr">
        <is>
          <t>ILAT</t>
        </is>
      </c>
      <c r="B370">
        <f>IF(AND(LEN(Indices!E172)=7,MID(Indices!E172,5,2)="-T",ISNUMBER(VALUE(LEFT(Indices!E172,4))),ISNUMBER(INDEX(Indices!$A:$P,ROW(Indices!E172),COLUMN(Indices!E172)+1))),VALUE(LEFT(Indices!E172,4))*4+VALUE(RIGHT(Indices!E172,1)),0)</f>
        <v/>
      </c>
    </row>
    <row r="371">
      <c r="A371" t="inlineStr">
        <is>
          <t>ILAT</t>
        </is>
      </c>
      <c r="B371">
        <f>IF(AND(LEN(Indices!E173)=7,MID(Indices!E173,5,2)="-T",ISNUMBER(VALUE(LEFT(Indices!E173,4))),ISNUMBER(INDEX(Indices!$A:$P,ROW(Indices!E173),COLUMN(Indices!E173)+1))),VALUE(LEFT(Indices!E173,4))*4+VALUE(RIGHT(Indices!E173,1)),0)</f>
        <v/>
      </c>
    </row>
    <row r="372">
      <c r="A372" t="inlineStr">
        <is>
          <t>ILAT</t>
        </is>
      </c>
      <c r="B372">
        <f>IF(AND(LEN(Indices!E174)=7,MID(Indices!E174,5,2)="-T",ISNUMBER(VALUE(LEFT(Indices!E174,4))),ISNUMBER(INDEX(Indices!$A:$P,ROW(Indices!E174),COLUMN(Indices!E174)+1))),VALUE(LEFT(Indices!E174,4))*4+VALUE(RIGHT(Indices!E174,1)),0)</f>
        <v/>
      </c>
    </row>
    <row r="373">
      <c r="A373" t="inlineStr">
        <is>
          <t>ILAT</t>
        </is>
      </c>
      <c r="B373">
        <f>IF(AND(LEN(Indices!E175)=7,MID(Indices!E175,5,2)="-T",ISNUMBER(VALUE(LEFT(Indices!E175,4))),ISNUMBER(INDEX(Indices!$A:$P,ROW(Indices!E175),COLUMN(Indices!E175)+1))),VALUE(LEFT(Indices!E175,4))*4+VALUE(RIGHT(Indices!E175,1)),0)</f>
        <v/>
      </c>
    </row>
    <row r="374">
      <c r="A374" t="inlineStr">
        <is>
          <t>ILAT</t>
        </is>
      </c>
      <c r="B374">
        <f>IF(AND(LEN(Indices!E176)=7,MID(Indices!E176,5,2)="-T",ISNUMBER(VALUE(LEFT(Indices!E176,4))),ISNUMBER(INDEX(Indices!$A:$P,ROW(Indices!E176),COLUMN(Indices!E176)+1))),VALUE(LEFT(Indices!E176,4))*4+VALUE(RIGHT(Indices!E176,1)),0)</f>
        <v/>
      </c>
    </row>
    <row r="375">
      <c r="A375" t="inlineStr">
        <is>
          <t>ILAT</t>
        </is>
      </c>
      <c r="B375">
        <f>IF(AND(LEN(Indices!E177)=7,MID(Indices!E177,5,2)="-T",ISNUMBER(VALUE(LEFT(Indices!E177,4))),ISNUMBER(INDEX(Indices!$A:$P,ROW(Indices!E177),COLUMN(Indices!E177)+1))),VALUE(LEFT(Indices!E177,4))*4+VALUE(RIGHT(Indices!E177,1)),0)</f>
        <v/>
      </c>
    </row>
    <row r="376">
      <c r="A376" t="inlineStr">
        <is>
          <t>ILAT</t>
        </is>
      </c>
      <c r="B376">
        <f>IF(AND(LEN(Indices!E178)=7,MID(Indices!E178,5,2)="-T",ISNUMBER(VALUE(LEFT(Indices!E178,4))),ISNUMBER(INDEX(Indices!$A:$P,ROW(Indices!E178),COLUMN(Indices!E178)+1))),VALUE(LEFT(Indices!E178,4))*4+VALUE(RIGHT(Indices!E178,1)),0)</f>
        <v/>
      </c>
    </row>
    <row r="377">
      <c r="A377" t="inlineStr">
        <is>
          <t>ILAT</t>
        </is>
      </c>
      <c r="B377">
        <f>IF(AND(LEN(Indices!E179)=7,MID(Indices!E179,5,2)="-T",ISNUMBER(VALUE(LEFT(Indices!E179,4))),ISNUMBER(INDEX(Indices!$A:$P,ROW(Indices!E179),COLUMN(Indices!E179)+1))),VALUE(LEFT(Indices!E179,4))*4+VALUE(RIGHT(Indices!E179,1)),0)</f>
        <v/>
      </c>
    </row>
    <row r="378">
      <c r="A378" t="inlineStr">
        <is>
          <t>ILAT</t>
        </is>
      </c>
      <c r="B378">
        <f>IF(AND(LEN(Indices!E180)=7,MID(Indices!E180,5,2)="-T",ISNUMBER(VALUE(LEFT(Indices!E180,4))),ISNUMBER(INDEX(Indices!$A:$P,ROW(Indices!E180),COLUMN(Indices!E180)+1))),VALUE(LEFT(Indices!E180,4))*4+VALUE(RIGHT(Indices!E180,1)),0)</f>
        <v/>
      </c>
    </row>
    <row r="379">
      <c r="A379" t="inlineStr">
        <is>
          <t>ILAT</t>
        </is>
      </c>
      <c r="B379">
        <f>IF(AND(LEN(Indices!E181)=7,MID(Indices!E181,5,2)="-T",ISNUMBER(VALUE(LEFT(Indices!E181,4))),ISNUMBER(INDEX(Indices!$A:$P,ROW(Indices!E181),COLUMN(Indices!E181)+1))),VALUE(LEFT(Indices!E181,4))*4+VALUE(RIGHT(Indices!E181,1)),0)</f>
        <v/>
      </c>
    </row>
    <row r="380">
      <c r="A380" t="inlineStr">
        <is>
          <t>ILAT</t>
        </is>
      </c>
      <c r="B380">
        <f>IF(AND(LEN(Indices!E182)=7,MID(Indices!E182,5,2)="-T",ISNUMBER(VALUE(LEFT(Indices!E182,4))),ISNUMBER(INDEX(Indices!$A:$P,ROW(Indices!E182),COLUMN(Indices!E182)+1))),VALUE(LEFT(Indices!E182,4))*4+VALUE(RIGHT(Indices!E182,1)),0)</f>
        <v/>
      </c>
    </row>
    <row r="381">
      <c r="A381" t="inlineStr">
        <is>
          <t>ILAT</t>
        </is>
      </c>
      <c r="B381">
        <f>IF(AND(LEN(Indices!E183)=7,MID(Indices!E183,5,2)="-T",ISNUMBER(VALUE(LEFT(Indices!E183,4))),ISNUMBER(INDEX(Indices!$A:$P,ROW(Indices!E183),COLUMN(Indices!E183)+1))),VALUE(LEFT(Indices!E183,4))*4+VALUE(RIGHT(Indices!E183,1)),0)</f>
        <v/>
      </c>
    </row>
    <row r="382">
      <c r="A382" t="inlineStr">
        <is>
          <t>ILAT</t>
        </is>
      </c>
      <c r="B382">
        <f>IF(AND(LEN(Indices!E184)=7,MID(Indices!E184,5,2)="-T",ISNUMBER(VALUE(LEFT(Indices!E184,4))),ISNUMBER(INDEX(Indices!$A:$P,ROW(Indices!E184),COLUMN(Indices!E184)+1))),VALUE(LEFT(Indices!E184,4))*4+VALUE(RIGHT(Indices!E184,1)),0)</f>
        <v/>
      </c>
    </row>
    <row r="383">
      <c r="A383" t="inlineStr">
        <is>
          <t>ILAT</t>
        </is>
      </c>
      <c r="B383">
        <f>IF(AND(LEN(Indices!E185)=7,MID(Indices!E185,5,2)="-T",ISNUMBER(VALUE(LEFT(Indices!E185,4))),ISNUMBER(INDEX(Indices!$A:$P,ROW(Indices!E185),COLUMN(Indices!E185)+1))),VALUE(LEFT(Indices!E185,4))*4+VALUE(RIGHT(Indices!E185,1)),0)</f>
        <v/>
      </c>
    </row>
    <row r="384">
      <c r="A384" t="inlineStr">
        <is>
          <t>ILAT</t>
        </is>
      </c>
      <c r="B384">
        <f>IF(AND(LEN(Indices!E186)=7,MID(Indices!E186,5,2)="-T",ISNUMBER(VALUE(LEFT(Indices!E186,4))),ISNUMBER(INDEX(Indices!$A:$P,ROW(Indices!E186),COLUMN(Indices!E186)+1))),VALUE(LEFT(Indices!E186,4))*4+VALUE(RIGHT(Indices!E186,1)),0)</f>
        <v/>
      </c>
    </row>
    <row r="385">
      <c r="A385" t="inlineStr">
        <is>
          <t>ILAT</t>
        </is>
      </c>
      <c r="B385">
        <f>IF(AND(LEN(Indices!E187)=7,MID(Indices!E187,5,2)="-T",ISNUMBER(VALUE(LEFT(Indices!E187,4))),ISNUMBER(INDEX(Indices!$A:$P,ROW(Indices!E187),COLUMN(Indices!E187)+1))),VALUE(LEFT(Indices!E187,4))*4+VALUE(RIGHT(Indices!E187,1)),0)</f>
        <v/>
      </c>
    </row>
    <row r="386">
      <c r="A386" t="inlineStr">
        <is>
          <t>ILAT</t>
        </is>
      </c>
      <c r="B386">
        <f>IF(AND(LEN(Indices!E188)=7,MID(Indices!E188,5,2)="-T",ISNUMBER(VALUE(LEFT(Indices!E188,4))),ISNUMBER(INDEX(Indices!$A:$P,ROW(Indices!E188),COLUMN(Indices!E188)+1))),VALUE(LEFT(Indices!E188,4))*4+VALUE(RIGHT(Indices!E188,1)),0)</f>
        <v/>
      </c>
    </row>
    <row r="387">
      <c r="A387" t="inlineStr">
        <is>
          <t>ILAT</t>
        </is>
      </c>
      <c r="B387">
        <f>IF(AND(LEN(Indices!E189)=7,MID(Indices!E189,5,2)="-T",ISNUMBER(VALUE(LEFT(Indices!E189,4))),ISNUMBER(INDEX(Indices!$A:$P,ROW(Indices!E189),COLUMN(Indices!E189)+1))),VALUE(LEFT(Indices!E189,4))*4+VALUE(RIGHT(Indices!E189,1)),0)</f>
        <v/>
      </c>
    </row>
    <row r="388">
      <c r="A388" t="inlineStr">
        <is>
          <t>ILAT</t>
        </is>
      </c>
      <c r="B388">
        <f>IF(AND(LEN(Indices!E190)=7,MID(Indices!E190,5,2)="-T",ISNUMBER(VALUE(LEFT(Indices!E190,4))),ISNUMBER(INDEX(Indices!$A:$P,ROW(Indices!E190),COLUMN(Indices!E190)+1))),VALUE(LEFT(Indices!E190,4))*4+VALUE(RIGHT(Indices!E190,1)),0)</f>
        <v/>
      </c>
    </row>
    <row r="389">
      <c r="A389" t="inlineStr">
        <is>
          <t>ILAT</t>
        </is>
      </c>
      <c r="B389">
        <f>IF(AND(LEN(Indices!E191)=7,MID(Indices!E191,5,2)="-T",ISNUMBER(VALUE(LEFT(Indices!E191,4))),ISNUMBER(INDEX(Indices!$A:$P,ROW(Indices!E191),COLUMN(Indices!E191)+1))),VALUE(LEFT(Indices!E191,4))*4+VALUE(RIGHT(Indices!E191,1)),0)</f>
        <v/>
      </c>
    </row>
    <row r="390">
      <c r="A390" t="inlineStr">
        <is>
          <t>ILAT</t>
        </is>
      </c>
      <c r="B390">
        <f>IF(AND(LEN(Indices!E192)=7,MID(Indices!E192,5,2)="-T",ISNUMBER(VALUE(LEFT(Indices!E192,4))),ISNUMBER(INDEX(Indices!$A:$P,ROW(Indices!E192),COLUMN(Indices!E192)+1))),VALUE(LEFT(Indices!E192,4))*4+VALUE(RIGHT(Indices!E192,1)),0)</f>
        <v/>
      </c>
    </row>
    <row r="391">
      <c r="A391" t="inlineStr">
        <is>
          <t>ILAT</t>
        </is>
      </c>
      <c r="B391">
        <f>IF(AND(LEN(Indices!E193)=7,MID(Indices!E193,5,2)="-T",ISNUMBER(VALUE(LEFT(Indices!E193,4))),ISNUMBER(INDEX(Indices!$A:$P,ROW(Indices!E193),COLUMN(Indices!E193)+1))),VALUE(LEFT(Indices!E193,4))*4+VALUE(RIGHT(Indices!E193,1)),0)</f>
        <v/>
      </c>
    </row>
    <row r="392">
      <c r="A392" t="inlineStr">
        <is>
          <t>ILAT</t>
        </is>
      </c>
      <c r="B392">
        <f>IF(AND(LEN(Indices!E194)=7,MID(Indices!E194,5,2)="-T",ISNUMBER(VALUE(LEFT(Indices!E194,4))),ISNUMBER(INDEX(Indices!$A:$P,ROW(Indices!E194),COLUMN(Indices!E194)+1))),VALUE(LEFT(Indices!E194,4))*4+VALUE(RIGHT(Indices!E194,1)),0)</f>
        <v/>
      </c>
    </row>
    <row r="393">
      <c r="A393" t="inlineStr">
        <is>
          <t>ILAT</t>
        </is>
      </c>
      <c r="B393">
        <f>IF(AND(LEN(Indices!E195)=7,MID(Indices!E195,5,2)="-T",ISNUMBER(VALUE(LEFT(Indices!E195,4))),ISNUMBER(INDEX(Indices!$A:$P,ROW(Indices!E195),COLUMN(Indices!E195)+1))),VALUE(LEFT(Indices!E195,4))*4+VALUE(RIGHT(Indices!E195,1)),0)</f>
        <v/>
      </c>
    </row>
    <row r="394">
      <c r="A394" t="inlineStr">
        <is>
          <t>ILAT</t>
        </is>
      </c>
      <c r="B394">
        <f>IF(AND(LEN(Indices!E196)=7,MID(Indices!E196,5,2)="-T",ISNUMBER(VALUE(LEFT(Indices!E196,4))),ISNUMBER(INDEX(Indices!$A:$P,ROW(Indices!E196),COLUMN(Indices!E196)+1))),VALUE(LEFT(Indices!E196,4))*4+VALUE(RIGHT(Indices!E196,1)),0)</f>
        <v/>
      </c>
    </row>
    <row r="395">
      <c r="A395" t="inlineStr">
        <is>
          <t>ILAT</t>
        </is>
      </c>
      <c r="B395">
        <f>IF(AND(LEN(Indices!E197)=7,MID(Indices!E197,5,2)="-T",ISNUMBER(VALUE(LEFT(Indices!E197,4))),ISNUMBER(INDEX(Indices!$A:$P,ROW(Indices!E197),COLUMN(Indices!E197)+1))),VALUE(LEFT(Indices!E197,4))*4+VALUE(RIGHT(Indices!E197,1)),0)</f>
        <v/>
      </c>
    </row>
    <row r="396">
      <c r="A396" t="inlineStr">
        <is>
          <t>ILAT</t>
        </is>
      </c>
      <c r="B396">
        <f>IF(AND(LEN(Indices!E198)=7,MID(Indices!E198,5,2)="-T",ISNUMBER(VALUE(LEFT(Indices!E198,4))),ISNUMBER(INDEX(Indices!$A:$P,ROW(Indices!E198),COLUMN(Indices!E198)+1))),VALUE(LEFT(Indices!E198,4))*4+VALUE(RIGHT(Indices!E198,1)),0)</f>
        <v/>
      </c>
    </row>
    <row r="397">
      <c r="A397" t="inlineStr">
        <is>
          <t>ILAT</t>
        </is>
      </c>
      <c r="B397">
        <f>IF(AND(LEN(Indices!E199)=7,MID(Indices!E199,5,2)="-T",ISNUMBER(VALUE(LEFT(Indices!E199,4))),ISNUMBER(INDEX(Indices!$A:$P,ROW(Indices!E199),COLUMN(Indices!E199)+1))),VALUE(LEFT(Indices!E199,4))*4+VALUE(RIGHT(Indices!E199,1)),0)</f>
        <v/>
      </c>
    </row>
    <row r="398">
      <c r="A398" t="inlineStr">
        <is>
          <t>ILAT</t>
        </is>
      </c>
      <c r="B398">
        <f>IF(AND(LEN(Indices!E200)=7,MID(Indices!E200,5,2)="-T",ISNUMBER(VALUE(LEFT(Indices!E200,4))),ISNUMBER(INDEX(Indices!$A:$P,ROW(Indices!E200),COLUMN(Indices!E200)+1))),VALUE(LEFT(Indices!E200,4))*4+VALUE(RIGHT(Indices!E200,1)),0)</f>
        <v/>
      </c>
    </row>
    <row r="399">
      <c r="A399" t="inlineStr">
        <is>
          <t>ILAT</t>
        </is>
      </c>
      <c r="B399">
        <f>IF(AND(LEN(Indices!E201)=7,MID(Indices!E201,5,2)="-T",ISNUMBER(VALUE(LEFT(Indices!E201,4))),ISNUMBER(INDEX(Indices!$A:$P,ROW(Indices!E201),COLUMN(Indices!E201)+1))),VALUE(LEFT(Indices!E201,4))*4+VALUE(RIGHT(Indices!E201,1)),0)</f>
        <v/>
      </c>
    </row>
    <row r="400">
      <c r="A400" t="inlineStr">
        <is>
          <t>ILAT</t>
        </is>
      </c>
      <c r="B400">
        <f>IF(AND(LEN(Indices!E202)=7,MID(Indices!E202,5,2)="-T",ISNUMBER(VALUE(LEFT(Indices!E202,4))),ISNUMBER(INDEX(Indices!$A:$P,ROW(Indices!E202),COLUMN(Indices!E202)+1))),VALUE(LEFT(Indices!E202,4))*4+VALUE(RIGHT(Indices!E202,1)),0)</f>
        <v/>
      </c>
    </row>
    <row r="401">
      <c r="A401" t="inlineStr">
        <is>
          <t>ILAT</t>
        </is>
      </c>
      <c r="B401">
        <f>IF(AND(LEN(Indices!E203)=7,MID(Indices!E203,5,2)="-T",ISNUMBER(VALUE(LEFT(Indices!E203,4))),ISNUMBER(INDEX(Indices!$A:$P,ROW(Indices!E203),COLUMN(Indices!E203)+1))),VALUE(LEFT(Indices!E203,4))*4+VALUE(RIGHT(Indices!E203,1)),0)</f>
        <v/>
      </c>
    </row>
    <row r="402">
      <c r="A402" t="inlineStr">
        <is>
          <t>ICC</t>
        </is>
      </c>
      <c r="B402">
        <f>IF(AND(LEN(Indices!I4)=7,MID(Indices!I4,5,2)="-T",ISNUMBER(VALUE(LEFT(Indices!I4,4))),ISNUMBER(INDEX(Indices!$A:$P,ROW(Indices!I4),COLUMN(Indices!I4)+1))),VALUE(LEFT(Indices!I4,4))*4+VALUE(RIGHT(Indices!I4,1)),0)</f>
        <v/>
      </c>
    </row>
    <row r="403">
      <c r="A403" t="inlineStr">
        <is>
          <t>ICC</t>
        </is>
      </c>
      <c r="B403">
        <f>IF(AND(LEN(Indices!I5)=7,MID(Indices!I5,5,2)="-T",ISNUMBER(VALUE(LEFT(Indices!I5,4))),ISNUMBER(INDEX(Indices!$A:$P,ROW(Indices!I5),COLUMN(Indices!I5)+1))),VALUE(LEFT(Indices!I5,4))*4+VALUE(RIGHT(Indices!I5,1)),0)</f>
        <v/>
      </c>
    </row>
    <row r="404">
      <c r="A404" t="inlineStr">
        <is>
          <t>ICC</t>
        </is>
      </c>
      <c r="B404">
        <f>IF(AND(LEN(Indices!I6)=7,MID(Indices!I6,5,2)="-T",ISNUMBER(VALUE(LEFT(Indices!I6,4))),ISNUMBER(INDEX(Indices!$A:$P,ROW(Indices!I6),COLUMN(Indices!I6)+1))),VALUE(LEFT(Indices!I6,4))*4+VALUE(RIGHT(Indices!I6,1)),0)</f>
        <v/>
      </c>
    </row>
    <row r="405">
      <c r="A405" t="inlineStr">
        <is>
          <t>ICC</t>
        </is>
      </c>
      <c r="B405">
        <f>IF(AND(LEN(Indices!I7)=7,MID(Indices!I7,5,2)="-T",ISNUMBER(VALUE(LEFT(Indices!I7,4))),ISNUMBER(INDEX(Indices!$A:$P,ROW(Indices!I7),COLUMN(Indices!I7)+1))),VALUE(LEFT(Indices!I7,4))*4+VALUE(RIGHT(Indices!I7,1)),0)</f>
        <v/>
      </c>
    </row>
    <row r="406">
      <c r="A406" t="inlineStr">
        <is>
          <t>ICC</t>
        </is>
      </c>
      <c r="B406">
        <f>IF(AND(LEN(Indices!I8)=7,MID(Indices!I8,5,2)="-T",ISNUMBER(VALUE(LEFT(Indices!I8,4))),ISNUMBER(INDEX(Indices!$A:$P,ROW(Indices!I8),COLUMN(Indices!I8)+1))),VALUE(LEFT(Indices!I8,4))*4+VALUE(RIGHT(Indices!I8,1)),0)</f>
        <v/>
      </c>
    </row>
    <row r="407">
      <c r="A407" t="inlineStr">
        <is>
          <t>ICC</t>
        </is>
      </c>
      <c r="B407">
        <f>IF(AND(LEN(Indices!I9)=7,MID(Indices!I9,5,2)="-T",ISNUMBER(VALUE(LEFT(Indices!I9,4))),ISNUMBER(INDEX(Indices!$A:$P,ROW(Indices!I9),COLUMN(Indices!I9)+1))),VALUE(LEFT(Indices!I9,4))*4+VALUE(RIGHT(Indices!I9,1)),0)</f>
        <v/>
      </c>
    </row>
    <row r="408">
      <c r="A408" t="inlineStr">
        <is>
          <t>ICC</t>
        </is>
      </c>
      <c r="B408">
        <f>IF(AND(LEN(Indices!I10)=7,MID(Indices!I10,5,2)="-T",ISNUMBER(VALUE(LEFT(Indices!I10,4))),ISNUMBER(INDEX(Indices!$A:$P,ROW(Indices!I10),COLUMN(Indices!I10)+1))),VALUE(LEFT(Indices!I10,4))*4+VALUE(RIGHT(Indices!I10,1)),0)</f>
        <v/>
      </c>
    </row>
    <row r="409">
      <c r="A409" t="inlineStr">
        <is>
          <t>ICC</t>
        </is>
      </c>
      <c r="B409">
        <f>IF(AND(LEN(Indices!I11)=7,MID(Indices!I11,5,2)="-T",ISNUMBER(VALUE(LEFT(Indices!I11,4))),ISNUMBER(INDEX(Indices!$A:$P,ROW(Indices!I11),COLUMN(Indices!I11)+1))),VALUE(LEFT(Indices!I11,4))*4+VALUE(RIGHT(Indices!I11,1)),0)</f>
        <v/>
      </c>
    </row>
    <row r="410">
      <c r="A410" t="inlineStr">
        <is>
          <t>ICC</t>
        </is>
      </c>
      <c r="B410">
        <f>IF(AND(LEN(Indices!I12)=7,MID(Indices!I12,5,2)="-T",ISNUMBER(VALUE(LEFT(Indices!I12,4))),ISNUMBER(INDEX(Indices!$A:$P,ROW(Indices!I12),COLUMN(Indices!I12)+1))),VALUE(LEFT(Indices!I12,4))*4+VALUE(RIGHT(Indices!I12,1)),0)</f>
        <v/>
      </c>
    </row>
    <row r="411">
      <c r="A411" t="inlineStr">
        <is>
          <t>ICC</t>
        </is>
      </c>
      <c r="B411">
        <f>IF(AND(LEN(Indices!I13)=7,MID(Indices!I13,5,2)="-T",ISNUMBER(VALUE(LEFT(Indices!I13,4))),ISNUMBER(INDEX(Indices!$A:$P,ROW(Indices!I13),COLUMN(Indices!I13)+1))),VALUE(LEFT(Indices!I13,4))*4+VALUE(RIGHT(Indices!I13,1)),0)</f>
        <v/>
      </c>
    </row>
    <row r="412">
      <c r="A412" t="inlineStr">
        <is>
          <t>ICC</t>
        </is>
      </c>
      <c r="B412">
        <f>IF(AND(LEN(Indices!I14)=7,MID(Indices!I14,5,2)="-T",ISNUMBER(VALUE(LEFT(Indices!I14,4))),ISNUMBER(INDEX(Indices!$A:$P,ROW(Indices!I14),COLUMN(Indices!I14)+1))),VALUE(LEFT(Indices!I14,4))*4+VALUE(RIGHT(Indices!I14,1)),0)</f>
        <v/>
      </c>
    </row>
    <row r="413">
      <c r="A413" t="inlineStr">
        <is>
          <t>ICC</t>
        </is>
      </c>
      <c r="B413">
        <f>IF(AND(LEN(Indices!I15)=7,MID(Indices!I15,5,2)="-T",ISNUMBER(VALUE(LEFT(Indices!I15,4))),ISNUMBER(INDEX(Indices!$A:$P,ROW(Indices!I15),COLUMN(Indices!I15)+1))),VALUE(LEFT(Indices!I15,4))*4+VALUE(RIGHT(Indices!I15,1)),0)</f>
        <v/>
      </c>
    </row>
    <row r="414">
      <c r="A414" t="inlineStr">
        <is>
          <t>ICC</t>
        </is>
      </c>
      <c r="B414">
        <f>IF(AND(LEN(Indices!I16)=7,MID(Indices!I16,5,2)="-T",ISNUMBER(VALUE(LEFT(Indices!I16,4))),ISNUMBER(INDEX(Indices!$A:$P,ROW(Indices!I16),COLUMN(Indices!I16)+1))),VALUE(LEFT(Indices!I16,4))*4+VALUE(RIGHT(Indices!I16,1)),0)</f>
        <v/>
      </c>
    </row>
    <row r="415">
      <c r="A415" t="inlineStr">
        <is>
          <t>ICC</t>
        </is>
      </c>
      <c r="B415">
        <f>IF(AND(LEN(Indices!I17)=7,MID(Indices!I17,5,2)="-T",ISNUMBER(VALUE(LEFT(Indices!I17,4))),ISNUMBER(INDEX(Indices!$A:$P,ROW(Indices!I17),COLUMN(Indices!I17)+1))),VALUE(LEFT(Indices!I17,4))*4+VALUE(RIGHT(Indices!I17,1)),0)</f>
        <v/>
      </c>
    </row>
    <row r="416">
      <c r="A416" t="inlineStr">
        <is>
          <t>ICC</t>
        </is>
      </c>
      <c r="B416">
        <f>IF(AND(LEN(Indices!I18)=7,MID(Indices!I18,5,2)="-T",ISNUMBER(VALUE(LEFT(Indices!I18,4))),ISNUMBER(INDEX(Indices!$A:$P,ROW(Indices!I18),COLUMN(Indices!I18)+1))),VALUE(LEFT(Indices!I18,4))*4+VALUE(RIGHT(Indices!I18,1)),0)</f>
        <v/>
      </c>
    </row>
    <row r="417">
      <c r="A417" t="inlineStr">
        <is>
          <t>ICC</t>
        </is>
      </c>
      <c r="B417">
        <f>IF(AND(LEN(Indices!I19)=7,MID(Indices!I19,5,2)="-T",ISNUMBER(VALUE(LEFT(Indices!I19,4))),ISNUMBER(INDEX(Indices!$A:$P,ROW(Indices!I19),COLUMN(Indices!I19)+1))),VALUE(LEFT(Indices!I19,4))*4+VALUE(RIGHT(Indices!I19,1)),0)</f>
        <v/>
      </c>
    </row>
    <row r="418">
      <c r="A418" t="inlineStr">
        <is>
          <t>ICC</t>
        </is>
      </c>
      <c r="B418">
        <f>IF(AND(LEN(Indices!I20)=7,MID(Indices!I20,5,2)="-T",ISNUMBER(VALUE(LEFT(Indices!I20,4))),ISNUMBER(INDEX(Indices!$A:$P,ROW(Indices!I20),COLUMN(Indices!I20)+1))),VALUE(LEFT(Indices!I20,4))*4+VALUE(RIGHT(Indices!I20,1)),0)</f>
        <v/>
      </c>
    </row>
    <row r="419">
      <c r="A419" t="inlineStr">
        <is>
          <t>ICC</t>
        </is>
      </c>
      <c r="B419">
        <f>IF(AND(LEN(Indices!I21)=7,MID(Indices!I21,5,2)="-T",ISNUMBER(VALUE(LEFT(Indices!I21,4))),ISNUMBER(INDEX(Indices!$A:$P,ROW(Indices!I21),COLUMN(Indices!I21)+1))),VALUE(LEFT(Indices!I21,4))*4+VALUE(RIGHT(Indices!I21,1)),0)</f>
        <v/>
      </c>
    </row>
    <row r="420">
      <c r="A420" t="inlineStr">
        <is>
          <t>ICC</t>
        </is>
      </c>
      <c r="B420">
        <f>IF(AND(LEN(Indices!I22)=7,MID(Indices!I22,5,2)="-T",ISNUMBER(VALUE(LEFT(Indices!I22,4))),ISNUMBER(INDEX(Indices!$A:$P,ROW(Indices!I22),COLUMN(Indices!I22)+1))),VALUE(LEFT(Indices!I22,4))*4+VALUE(RIGHT(Indices!I22,1)),0)</f>
        <v/>
      </c>
    </row>
    <row r="421">
      <c r="A421" t="inlineStr">
        <is>
          <t>ICC</t>
        </is>
      </c>
      <c r="B421">
        <f>IF(AND(LEN(Indices!I23)=7,MID(Indices!I23,5,2)="-T",ISNUMBER(VALUE(LEFT(Indices!I23,4))),ISNUMBER(INDEX(Indices!$A:$P,ROW(Indices!I23),COLUMN(Indices!I23)+1))),VALUE(LEFT(Indices!I23,4))*4+VALUE(RIGHT(Indices!I23,1)),0)</f>
        <v/>
      </c>
    </row>
    <row r="422">
      <c r="A422" t="inlineStr">
        <is>
          <t>ICC</t>
        </is>
      </c>
      <c r="B422">
        <f>IF(AND(LEN(Indices!I24)=7,MID(Indices!I24,5,2)="-T",ISNUMBER(VALUE(LEFT(Indices!I24,4))),ISNUMBER(INDEX(Indices!$A:$P,ROW(Indices!I24),COLUMN(Indices!I24)+1))),VALUE(LEFT(Indices!I24,4))*4+VALUE(RIGHT(Indices!I24,1)),0)</f>
        <v/>
      </c>
    </row>
    <row r="423">
      <c r="A423" t="inlineStr">
        <is>
          <t>ICC</t>
        </is>
      </c>
      <c r="B423">
        <f>IF(AND(LEN(Indices!I25)=7,MID(Indices!I25,5,2)="-T",ISNUMBER(VALUE(LEFT(Indices!I25,4))),ISNUMBER(INDEX(Indices!$A:$P,ROW(Indices!I25),COLUMN(Indices!I25)+1))),VALUE(LEFT(Indices!I25,4))*4+VALUE(RIGHT(Indices!I25,1)),0)</f>
        <v/>
      </c>
    </row>
    <row r="424">
      <c r="A424" t="inlineStr">
        <is>
          <t>ICC</t>
        </is>
      </c>
      <c r="B424">
        <f>IF(AND(LEN(Indices!I26)=7,MID(Indices!I26,5,2)="-T",ISNUMBER(VALUE(LEFT(Indices!I26,4))),ISNUMBER(INDEX(Indices!$A:$P,ROW(Indices!I26),COLUMN(Indices!I26)+1))),VALUE(LEFT(Indices!I26,4))*4+VALUE(RIGHT(Indices!I26,1)),0)</f>
        <v/>
      </c>
    </row>
    <row r="425">
      <c r="A425" t="inlineStr">
        <is>
          <t>ICC</t>
        </is>
      </c>
      <c r="B425">
        <f>IF(AND(LEN(Indices!I27)=7,MID(Indices!I27,5,2)="-T",ISNUMBER(VALUE(LEFT(Indices!I27,4))),ISNUMBER(INDEX(Indices!$A:$P,ROW(Indices!I27),COLUMN(Indices!I27)+1))),VALUE(LEFT(Indices!I27,4))*4+VALUE(RIGHT(Indices!I27,1)),0)</f>
        <v/>
      </c>
    </row>
    <row r="426">
      <c r="A426" t="inlineStr">
        <is>
          <t>ICC</t>
        </is>
      </c>
      <c r="B426">
        <f>IF(AND(LEN(Indices!I28)=7,MID(Indices!I28,5,2)="-T",ISNUMBER(VALUE(LEFT(Indices!I28,4))),ISNUMBER(INDEX(Indices!$A:$P,ROW(Indices!I28),COLUMN(Indices!I28)+1))),VALUE(LEFT(Indices!I28,4))*4+VALUE(RIGHT(Indices!I28,1)),0)</f>
        <v/>
      </c>
    </row>
    <row r="427">
      <c r="A427" t="inlineStr">
        <is>
          <t>ICC</t>
        </is>
      </c>
      <c r="B427">
        <f>IF(AND(LEN(Indices!I29)=7,MID(Indices!I29,5,2)="-T",ISNUMBER(VALUE(LEFT(Indices!I29,4))),ISNUMBER(INDEX(Indices!$A:$P,ROW(Indices!I29),COLUMN(Indices!I29)+1))),VALUE(LEFT(Indices!I29,4))*4+VALUE(RIGHT(Indices!I29,1)),0)</f>
        <v/>
      </c>
    </row>
    <row r="428">
      <c r="A428" t="inlineStr">
        <is>
          <t>ICC</t>
        </is>
      </c>
      <c r="B428">
        <f>IF(AND(LEN(Indices!I30)=7,MID(Indices!I30,5,2)="-T",ISNUMBER(VALUE(LEFT(Indices!I30,4))),ISNUMBER(INDEX(Indices!$A:$P,ROW(Indices!I30),COLUMN(Indices!I30)+1))),VALUE(LEFT(Indices!I30,4))*4+VALUE(RIGHT(Indices!I30,1)),0)</f>
        <v/>
      </c>
    </row>
    <row r="429">
      <c r="A429" t="inlineStr">
        <is>
          <t>ICC</t>
        </is>
      </c>
      <c r="B429">
        <f>IF(AND(LEN(Indices!I31)=7,MID(Indices!I31,5,2)="-T",ISNUMBER(VALUE(LEFT(Indices!I31,4))),ISNUMBER(INDEX(Indices!$A:$P,ROW(Indices!I31),COLUMN(Indices!I31)+1))),VALUE(LEFT(Indices!I31,4))*4+VALUE(RIGHT(Indices!I31,1)),0)</f>
        <v/>
      </c>
    </row>
    <row r="430">
      <c r="A430" t="inlineStr">
        <is>
          <t>ICC</t>
        </is>
      </c>
      <c r="B430">
        <f>IF(AND(LEN(Indices!I32)=7,MID(Indices!I32,5,2)="-T",ISNUMBER(VALUE(LEFT(Indices!I32,4))),ISNUMBER(INDEX(Indices!$A:$P,ROW(Indices!I32),COLUMN(Indices!I32)+1))),VALUE(LEFT(Indices!I32,4))*4+VALUE(RIGHT(Indices!I32,1)),0)</f>
        <v/>
      </c>
    </row>
    <row r="431">
      <c r="A431" t="inlineStr">
        <is>
          <t>ICC</t>
        </is>
      </c>
      <c r="B431">
        <f>IF(AND(LEN(Indices!I33)=7,MID(Indices!I33,5,2)="-T",ISNUMBER(VALUE(LEFT(Indices!I33,4))),ISNUMBER(INDEX(Indices!$A:$P,ROW(Indices!I33),COLUMN(Indices!I33)+1))),VALUE(LEFT(Indices!I33,4))*4+VALUE(RIGHT(Indices!I33,1)),0)</f>
        <v/>
      </c>
    </row>
    <row r="432">
      <c r="A432" t="inlineStr">
        <is>
          <t>ICC</t>
        </is>
      </c>
      <c r="B432">
        <f>IF(AND(LEN(Indices!I34)=7,MID(Indices!I34,5,2)="-T",ISNUMBER(VALUE(LEFT(Indices!I34,4))),ISNUMBER(INDEX(Indices!$A:$P,ROW(Indices!I34),COLUMN(Indices!I34)+1))),VALUE(LEFT(Indices!I34,4))*4+VALUE(RIGHT(Indices!I34,1)),0)</f>
        <v/>
      </c>
    </row>
    <row r="433">
      <c r="A433" t="inlineStr">
        <is>
          <t>ICC</t>
        </is>
      </c>
      <c r="B433">
        <f>IF(AND(LEN(Indices!I35)=7,MID(Indices!I35,5,2)="-T",ISNUMBER(VALUE(LEFT(Indices!I35,4))),ISNUMBER(INDEX(Indices!$A:$P,ROW(Indices!I35),COLUMN(Indices!I35)+1))),VALUE(LEFT(Indices!I35,4))*4+VALUE(RIGHT(Indices!I35,1)),0)</f>
        <v/>
      </c>
    </row>
    <row r="434">
      <c r="A434" t="inlineStr">
        <is>
          <t>ICC</t>
        </is>
      </c>
      <c r="B434">
        <f>IF(AND(LEN(Indices!I36)=7,MID(Indices!I36,5,2)="-T",ISNUMBER(VALUE(LEFT(Indices!I36,4))),ISNUMBER(INDEX(Indices!$A:$P,ROW(Indices!I36),COLUMN(Indices!I36)+1))),VALUE(LEFT(Indices!I36,4))*4+VALUE(RIGHT(Indices!I36,1)),0)</f>
        <v/>
      </c>
    </row>
    <row r="435">
      <c r="A435" t="inlineStr">
        <is>
          <t>ICC</t>
        </is>
      </c>
      <c r="B435">
        <f>IF(AND(LEN(Indices!I37)=7,MID(Indices!I37,5,2)="-T",ISNUMBER(VALUE(LEFT(Indices!I37,4))),ISNUMBER(INDEX(Indices!$A:$P,ROW(Indices!I37),COLUMN(Indices!I37)+1))),VALUE(LEFT(Indices!I37,4))*4+VALUE(RIGHT(Indices!I37,1)),0)</f>
        <v/>
      </c>
    </row>
    <row r="436">
      <c r="A436" t="inlineStr">
        <is>
          <t>ICC</t>
        </is>
      </c>
      <c r="B436">
        <f>IF(AND(LEN(Indices!I38)=7,MID(Indices!I38,5,2)="-T",ISNUMBER(VALUE(LEFT(Indices!I38,4))),ISNUMBER(INDEX(Indices!$A:$P,ROW(Indices!I38),COLUMN(Indices!I38)+1))),VALUE(LEFT(Indices!I38,4))*4+VALUE(RIGHT(Indices!I38,1)),0)</f>
        <v/>
      </c>
    </row>
    <row r="437">
      <c r="A437" t="inlineStr">
        <is>
          <t>ICC</t>
        </is>
      </c>
      <c r="B437">
        <f>IF(AND(LEN(Indices!I39)=7,MID(Indices!I39,5,2)="-T",ISNUMBER(VALUE(LEFT(Indices!I39,4))),ISNUMBER(INDEX(Indices!$A:$P,ROW(Indices!I39),COLUMN(Indices!I39)+1))),VALUE(LEFT(Indices!I39,4))*4+VALUE(RIGHT(Indices!I39,1)),0)</f>
        <v/>
      </c>
    </row>
    <row r="438">
      <c r="A438" t="inlineStr">
        <is>
          <t>ICC</t>
        </is>
      </c>
      <c r="B438">
        <f>IF(AND(LEN(Indices!I40)=7,MID(Indices!I40,5,2)="-T",ISNUMBER(VALUE(LEFT(Indices!I40,4))),ISNUMBER(INDEX(Indices!$A:$P,ROW(Indices!I40),COLUMN(Indices!I40)+1))),VALUE(LEFT(Indices!I40,4))*4+VALUE(RIGHT(Indices!I40,1)),0)</f>
        <v/>
      </c>
    </row>
    <row r="439">
      <c r="A439" t="inlineStr">
        <is>
          <t>ICC</t>
        </is>
      </c>
      <c r="B439">
        <f>IF(AND(LEN(Indices!I41)=7,MID(Indices!I41,5,2)="-T",ISNUMBER(VALUE(LEFT(Indices!I41,4))),ISNUMBER(INDEX(Indices!$A:$P,ROW(Indices!I41),COLUMN(Indices!I41)+1))),VALUE(LEFT(Indices!I41,4))*4+VALUE(RIGHT(Indices!I41,1)),0)</f>
        <v/>
      </c>
    </row>
    <row r="440">
      <c r="A440" t="inlineStr">
        <is>
          <t>ICC</t>
        </is>
      </c>
      <c r="B440">
        <f>IF(AND(LEN(Indices!I42)=7,MID(Indices!I42,5,2)="-T",ISNUMBER(VALUE(LEFT(Indices!I42,4))),ISNUMBER(INDEX(Indices!$A:$P,ROW(Indices!I42),COLUMN(Indices!I42)+1))),VALUE(LEFT(Indices!I42,4))*4+VALUE(RIGHT(Indices!I42,1)),0)</f>
        <v/>
      </c>
    </row>
    <row r="441">
      <c r="A441" t="inlineStr">
        <is>
          <t>ICC</t>
        </is>
      </c>
      <c r="B441">
        <f>IF(AND(LEN(Indices!I43)=7,MID(Indices!I43,5,2)="-T",ISNUMBER(VALUE(LEFT(Indices!I43,4))),ISNUMBER(INDEX(Indices!$A:$P,ROW(Indices!I43),COLUMN(Indices!I43)+1))),VALUE(LEFT(Indices!I43,4))*4+VALUE(RIGHT(Indices!I43,1)),0)</f>
        <v/>
      </c>
    </row>
    <row r="442">
      <c r="A442" t="inlineStr">
        <is>
          <t>ICC</t>
        </is>
      </c>
      <c r="B442">
        <f>IF(AND(LEN(Indices!I44)=7,MID(Indices!I44,5,2)="-T",ISNUMBER(VALUE(LEFT(Indices!I44,4))),ISNUMBER(INDEX(Indices!$A:$P,ROW(Indices!I44),COLUMN(Indices!I44)+1))),VALUE(LEFT(Indices!I44,4))*4+VALUE(RIGHT(Indices!I44,1)),0)</f>
        <v/>
      </c>
    </row>
    <row r="443">
      <c r="A443" t="inlineStr">
        <is>
          <t>ICC</t>
        </is>
      </c>
      <c r="B443">
        <f>IF(AND(LEN(Indices!I45)=7,MID(Indices!I45,5,2)="-T",ISNUMBER(VALUE(LEFT(Indices!I45,4))),ISNUMBER(INDEX(Indices!$A:$P,ROW(Indices!I45),COLUMN(Indices!I45)+1))),VALUE(LEFT(Indices!I45,4))*4+VALUE(RIGHT(Indices!I45,1)),0)</f>
        <v/>
      </c>
    </row>
    <row r="444">
      <c r="A444" t="inlineStr">
        <is>
          <t>ICC</t>
        </is>
      </c>
      <c r="B444">
        <f>IF(AND(LEN(Indices!I46)=7,MID(Indices!I46,5,2)="-T",ISNUMBER(VALUE(LEFT(Indices!I46,4))),ISNUMBER(INDEX(Indices!$A:$P,ROW(Indices!I46),COLUMN(Indices!I46)+1))),VALUE(LEFT(Indices!I46,4))*4+VALUE(RIGHT(Indices!I46,1)),0)</f>
        <v/>
      </c>
    </row>
    <row r="445">
      <c r="A445" t="inlineStr">
        <is>
          <t>ICC</t>
        </is>
      </c>
      <c r="B445">
        <f>IF(AND(LEN(Indices!I47)=7,MID(Indices!I47,5,2)="-T",ISNUMBER(VALUE(LEFT(Indices!I47,4))),ISNUMBER(INDEX(Indices!$A:$P,ROW(Indices!I47),COLUMN(Indices!I47)+1))),VALUE(LEFT(Indices!I47,4))*4+VALUE(RIGHT(Indices!I47,1)),0)</f>
        <v/>
      </c>
    </row>
    <row r="446">
      <c r="A446" t="inlineStr">
        <is>
          <t>ICC</t>
        </is>
      </c>
      <c r="B446">
        <f>IF(AND(LEN(Indices!I48)=7,MID(Indices!I48,5,2)="-T",ISNUMBER(VALUE(LEFT(Indices!I48,4))),ISNUMBER(INDEX(Indices!$A:$P,ROW(Indices!I48),COLUMN(Indices!I48)+1))),VALUE(LEFT(Indices!I48,4))*4+VALUE(RIGHT(Indices!I48,1)),0)</f>
        <v/>
      </c>
    </row>
    <row r="447">
      <c r="A447" t="inlineStr">
        <is>
          <t>ICC</t>
        </is>
      </c>
      <c r="B447">
        <f>IF(AND(LEN(Indices!I49)=7,MID(Indices!I49,5,2)="-T",ISNUMBER(VALUE(LEFT(Indices!I49,4))),ISNUMBER(INDEX(Indices!$A:$P,ROW(Indices!I49),COLUMN(Indices!I49)+1))),VALUE(LEFT(Indices!I49,4))*4+VALUE(RIGHT(Indices!I49,1)),0)</f>
        <v/>
      </c>
    </row>
    <row r="448">
      <c r="A448" t="inlineStr">
        <is>
          <t>ICC</t>
        </is>
      </c>
      <c r="B448">
        <f>IF(AND(LEN(Indices!I50)=7,MID(Indices!I50,5,2)="-T",ISNUMBER(VALUE(LEFT(Indices!I50,4))),ISNUMBER(INDEX(Indices!$A:$P,ROW(Indices!I50),COLUMN(Indices!I50)+1))),VALUE(LEFT(Indices!I50,4))*4+VALUE(RIGHT(Indices!I50,1)),0)</f>
        <v/>
      </c>
    </row>
    <row r="449">
      <c r="A449" t="inlineStr">
        <is>
          <t>ICC</t>
        </is>
      </c>
      <c r="B449">
        <f>IF(AND(LEN(Indices!I51)=7,MID(Indices!I51,5,2)="-T",ISNUMBER(VALUE(LEFT(Indices!I51,4))),ISNUMBER(INDEX(Indices!$A:$P,ROW(Indices!I51),COLUMN(Indices!I51)+1))),VALUE(LEFT(Indices!I51,4))*4+VALUE(RIGHT(Indices!I51,1)),0)</f>
        <v/>
      </c>
    </row>
    <row r="450">
      <c r="A450" t="inlineStr">
        <is>
          <t>ICC</t>
        </is>
      </c>
      <c r="B450">
        <f>IF(AND(LEN(Indices!I52)=7,MID(Indices!I52,5,2)="-T",ISNUMBER(VALUE(LEFT(Indices!I52,4))),ISNUMBER(INDEX(Indices!$A:$P,ROW(Indices!I52),COLUMN(Indices!I52)+1))),VALUE(LEFT(Indices!I52,4))*4+VALUE(RIGHT(Indices!I52,1)),0)</f>
        <v/>
      </c>
    </row>
    <row r="451">
      <c r="A451" t="inlineStr">
        <is>
          <t>ICC</t>
        </is>
      </c>
      <c r="B451">
        <f>IF(AND(LEN(Indices!I53)=7,MID(Indices!I53,5,2)="-T",ISNUMBER(VALUE(LEFT(Indices!I53,4))),ISNUMBER(INDEX(Indices!$A:$P,ROW(Indices!I53),COLUMN(Indices!I53)+1))),VALUE(LEFT(Indices!I53,4))*4+VALUE(RIGHT(Indices!I53,1)),0)</f>
        <v/>
      </c>
    </row>
    <row r="452">
      <c r="A452" t="inlineStr">
        <is>
          <t>ICC</t>
        </is>
      </c>
      <c r="B452">
        <f>IF(AND(LEN(Indices!I54)=7,MID(Indices!I54,5,2)="-T",ISNUMBER(VALUE(LEFT(Indices!I54,4))),ISNUMBER(INDEX(Indices!$A:$P,ROW(Indices!I54),COLUMN(Indices!I54)+1))),VALUE(LEFT(Indices!I54,4))*4+VALUE(RIGHT(Indices!I54,1)),0)</f>
        <v/>
      </c>
    </row>
    <row r="453">
      <c r="A453" t="inlineStr">
        <is>
          <t>ICC</t>
        </is>
      </c>
      <c r="B453">
        <f>IF(AND(LEN(Indices!I55)=7,MID(Indices!I55,5,2)="-T",ISNUMBER(VALUE(LEFT(Indices!I55,4))),ISNUMBER(INDEX(Indices!$A:$P,ROW(Indices!I55),COLUMN(Indices!I55)+1))),VALUE(LEFT(Indices!I55,4))*4+VALUE(RIGHT(Indices!I55,1)),0)</f>
        <v/>
      </c>
    </row>
    <row r="454">
      <c r="A454" t="inlineStr">
        <is>
          <t>ICC</t>
        </is>
      </c>
      <c r="B454">
        <f>IF(AND(LEN(Indices!I56)=7,MID(Indices!I56,5,2)="-T",ISNUMBER(VALUE(LEFT(Indices!I56,4))),ISNUMBER(INDEX(Indices!$A:$P,ROW(Indices!I56),COLUMN(Indices!I56)+1))),VALUE(LEFT(Indices!I56,4))*4+VALUE(RIGHT(Indices!I56,1)),0)</f>
        <v/>
      </c>
    </row>
    <row r="455">
      <c r="A455" t="inlineStr">
        <is>
          <t>ICC</t>
        </is>
      </c>
      <c r="B455">
        <f>IF(AND(LEN(Indices!I57)=7,MID(Indices!I57,5,2)="-T",ISNUMBER(VALUE(LEFT(Indices!I57,4))),ISNUMBER(INDEX(Indices!$A:$P,ROW(Indices!I57),COLUMN(Indices!I57)+1))),VALUE(LEFT(Indices!I57,4))*4+VALUE(RIGHT(Indices!I57,1)),0)</f>
        <v/>
      </c>
    </row>
    <row r="456">
      <c r="A456" t="inlineStr">
        <is>
          <t>ICC</t>
        </is>
      </c>
      <c r="B456">
        <f>IF(AND(LEN(Indices!I58)=7,MID(Indices!I58,5,2)="-T",ISNUMBER(VALUE(LEFT(Indices!I58,4))),ISNUMBER(INDEX(Indices!$A:$P,ROW(Indices!I58),COLUMN(Indices!I58)+1))),VALUE(LEFT(Indices!I58,4))*4+VALUE(RIGHT(Indices!I58,1)),0)</f>
        <v/>
      </c>
    </row>
    <row r="457">
      <c r="A457" t="inlineStr">
        <is>
          <t>ICC</t>
        </is>
      </c>
      <c r="B457">
        <f>IF(AND(LEN(Indices!I59)=7,MID(Indices!I59,5,2)="-T",ISNUMBER(VALUE(LEFT(Indices!I59,4))),ISNUMBER(INDEX(Indices!$A:$P,ROW(Indices!I59),COLUMN(Indices!I59)+1))),VALUE(LEFT(Indices!I59,4))*4+VALUE(RIGHT(Indices!I59,1)),0)</f>
        <v/>
      </c>
    </row>
    <row r="458">
      <c r="A458" t="inlineStr">
        <is>
          <t>ICC</t>
        </is>
      </c>
      <c r="B458">
        <f>IF(AND(LEN(Indices!I60)=7,MID(Indices!I60,5,2)="-T",ISNUMBER(VALUE(LEFT(Indices!I60,4))),ISNUMBER(INDEX(Indices!$A:$P,ROW(Indices!I60),COLUMN(Indices!I60)+1))),VALUE(LEFT(Indices!I60,4))*4+VALUE(RIGHT(Indices!I60,1)),0)</f>
        <v/>
      </c>
    </row>
    <row r="459">
      <c r="A459" t="inlineStr">
        <is>
          <t>ICC</t>
        </is>
      </c>
      <c r="B459">
        <f>IF(AND(LEN(Indices!I61)=7,MID(Indices!I61,5,2)="-T",ISNUMBER(VALUE(LEFT(Indices!I61,4))),ISNUMBER(INDEX(Indices!$A:$P,ROW(Indices!I61),COLUMN(Indices!I61)+1))),VALUE(LEFT(Indices!I61,4))*4+VALUE(RIGHT(Indices!I61,1)),0)</f>
        <v/>
      </c>
    </row>
    <row r="460">
      <c r="A460" t="inlineStr">
        <is>
          <t>ICC</t>
        </is>
      </c>
      <c r="B460">
        <f>IF(AND(LEN(Indices!I62)=7,MID(Indices!I62,5,2)="-T",ISNUMBER(VALUE(LEFT(Indices!I62,4))),ISNUMBER(INDEX(Indices!$A:$P,ROW(Indices!I62),COLUMN(Indices!I62)+1))),VALUE(LEFT(Indices!I62,4))*4+VALUE(RIGHT(Indices!I62,1)),0)</f>
        <v/>
      </c>
    </row>
    <row r="461">
      <c r="A461" t="inlineStr">
        <is>
          <t>ICC</t>
        </is>
      </c>
      <c r="B461">
        <f>IF(AND(LEN(Indices!I63)=7,MID(Indices!I63,5,2)="-T",ISNUMBER(VALUE(LEFT(Indices!I63,4))),ISNUMBER(INDEX(Indices!$A:$P,ROW(Indices!I63),COLUMN(Indices!I63)+1))),VALUE(LEFT(Indices!I63,4))*4+VALUE(RIGHT(Indices!I63,1)),0)</f>
        <v/>
      </c>
    </row>
    <row r="462">
      <c r="A462" t="inlineStr">
        <is>
          <t>ICC</t>
        </is>
      </c>
      <c r="B462">
        <f>IF(AND(LEN(Indices!I64)=7,MID(Indices!I64,5,2)="-T",ISNUMBER(VALUE(LEFT(Indices!I64,4))),ISNUMBER(INDEX(Indices!$A:$P,ROW(Indices!I64),COLUMN(Indices!I64)+1))),VALUE(LEFT(Indices!I64,4))*4+VALUE(RIGHT(Indices!I64,1)),0)</f>
        <v/>
      </c>
    </row>
    <row r="463">
      <c r="A463" t="inlineStr">
        <is>
          <t>ICC</t>
        </is>
      </c>
      <c r="B463">
        <f>IF(AND(LEN(Indices!I65)=7,MID(Indices!I65,5,2)="-T",ISNUMBER(VALUE(LEFT(Indices!I65,4))),ISNUMBER(INDEX(Indices!$A:$P,ROW(Indices!I65),COLUMN(Indices!I65)+1))),VALUE(LEFT(Indices!I65,4))*4+VALUE(RIGHT(Indices!I65,1)),0)</f>
        <v/>
      </c>
    </row>
    <row r="464">
      <c r="A464" t="inlineStr">
        <is>
          <t>ICC</t>
        </is>
      </c>
      <c r="B464">
        <f>IF(AND(LEN(Indices!I66)=7,MID(Indices!I66,5,2)="-T",ISNUMBER(VALUE(LEFT(Indices!I66,4))),ISNUMBER(INDEX(Indices!$A:$P,ROW(Indices!I66),COLUMN(Indices!I66)+1))),VALUE(LEFT(Indices!I66,4))*4+VALUE(RIGHT(Indices!I66,1)),0)</f>
        <v/>
      </c>
    </row>
    <row r="465">
      <c r="A465" t="inlineStr">
        <is>
          <t>ICC</t>
        </is>
      </c>
      <c r="B465">
        <f>IF(AND(LEN(Indices!I67)=7,MID(Indices!I67,5,2)="-T",ISNUMBER(VALUE(LEFT(Indices!I67,4))),ISNUMBER(INDEX(Indices!$A:$P,ROW(Indices!I67),COLUMN(Indices!I67)+1))),VALUE(LEFT(Indices!I67,4))*4+VALUE(RIGHT(Indices!I67,1)),0)</f>
        <v/>
      </c>
    </row>
    <row r="466">
      <c r="A466" t="inlineStr">
        <is>
          <t>ICC</t>
        </is>
      </c>
      <c r="B466">
        <f>IF(AND(LEN(Indices!I68)=7,MID(Indices!I68,5,2)="-T",ISNUMBER(VALUE(LEFT(Indices!I68,4))),ISNUMBER(INDEX(Indices!$A:$P,ROW(Indices!I68),COLUMN(Indices!I68)+1))),VALUE(LEFT(Indices!I68,4))*4+VALUE(RIGHT(Indices!I68,1)),0)</f>
        <v/>
      </c>
    </row>
    <row r="467">
      <c r="A467" t="inlineStr">
        <is>
          <t>ICC</t>
        </is>
      </c>
      <c r="B467">
        <f>IF(AND(LEN(Indices!I69)=7,MID(Indices!I69,5,2)="-T",ISNUMBER(VALUE(LEFT(Indices!I69,4))),ISNUMBER(INDEX(Indices!$A:$P,ROW(Indices!I69),COLUMN(Indices!I69)+1))),VALUE(LEFT(Indices!I69,4))*4+VALUE(RIGHT(Indices!I69,1)),0)</f>
        <v/>
      </c>
    </row>
    <row r="468">
      <c r="A468" t="inlineStr">
        <is>
          <t>ICC</t>
        </is>
      </c>
      <c r="B468">
        <f>IF(AND(LEN(Indices!I70)=7,MID(Indices!I70,5,2)="-T",ISNUMBER(VALUE(LEFT(Indices!I70,4))),ISNUMBER(INDEX(Indices!$A:$P,ROW(Indices!I70),COLUMN(Indices!I70)+1))),VALUE(LEFT(Indices!I70,4))*4+VALUE(RIGHT(Indices!I70,1)),0)</f>
        <v/>
      </c>
    </row>
    <row r="469">
      <c r="A469" t="inlineStr">
        <is>
          <t>ICC</t>
        </is>
      </c>
      <c r="B469">
        <f>IF(AND(LEN(Indices!I71)=7,MID(Indices!I71,5,2)="-T",ISNUMBER(VALUE(LEFT(Indices!I71,4))),ISNUMBER(INDEX(Indices!$A:$P,ROW(Indices!I71),COLUMN(Indices!I71)+1))),VALUE(LEFT(Indices!I71,4))*4+VALUE(RIGHT(Indices!I71,1)),0)</f>
        <v/>
      </c>
    </row>
    <row r="470">
      <c r="A470" t="inlineStr">
        <is>
          <t>ICC</t>
        </is>
      </c>
      <c r="B470">
        <f>IF(AND(LEN(Indices!I72)=7,MID(Indices!I72,5,2)="-T",ISNUMBER(VALUE(LEFT(Indices!I72,4))),ISNUMBER(INDEX(Indices!$A:$P,ROW(Indices!I72),COLUMN(Indices!I72)+1))),VALUE(LEFT(Indices!I72,4))*4+VALUE(RIGHT(Indices!I72,1)),0)</f>
        <v/>
      </c>
    </row>
    <row r="471">
      <c r="A471" t="inlineStr">
        <is>
          <t>ICC</t>
        </is>
      </c>
      <c r="B471">
        <f>IF(AND(LEN(Indices!I73)=7,MID(Indices!I73,5,2)="-T",ISNUMBER(VALUE(LEFT(Indices!I73,4))),ISNUMBER(INDEX(Indices!$A:$P,ROW(Indices!I73),COLUMN(Indices!I73)+1))),VALUE(LEFT(Indices!I73,4))*4+VALUE(RIGHT(Indices!I73,1)),0)</f>
        <v/>
      </c>
    </row>
    <row r="472">
      <c r="A472" t="inlineStr">
        <is>
          <t>ICC</t>
        </is>
      </c>
      <c r="B472">
        <f>IF(AND(LEN(Indices!I74)=7,MID(Indices!I74,5,2)="-T",ISNUMBER(VALUE(LEFT(Indices!I74,4))),ISNUMBER(INDEX(Indices!$A:$P,ROW(Indices!I74),COLUMN(Indices!I74)+1))),VALUE(LEFT(Indices!I74,4))*4+VALUE(RIGHT(Indices!I74,1)),0)</f>
        <v/>
      </c>
    </row>
    <row r="473">
      <c r="A473" t="inlineStr">
        <is>
          <t>ICC</t>
        </is>
      </c>
      <c r="B473">
        <f>IF(AND(LEN(Indices!I75)=7,MID(Indices!I75,5,2)="-T",ISNUMBER(VALUE(LEFT(Indices!I75,4))),ISNUMBER(INDEX(Indices!$A:$P,ROW(Indices!I75),COLUMN(Indices!I75)+1))),VALUE(LEFT(Indices!I75,4))*4+VALUE(RIGHT(Indices!I75,1)),0)</f>
        <v/>
      </c>
    </row>
    <row r="474">
      <c r="A474" t="inlineStr">
        <is>
          <t>ICC</t>
        </is>
      </c>
      <c r="B474">
        <f>IF(AND(LEN(Indices!I76)=7,MID(Indices!I76,5,2)="-T",ISNUMBER(VALUE(LEFT(Indices!I76,4))),ISNUMBER(INDEX(Indices!$A:$P,ROW(Indices!I76),COLUMN(Indices!I76)+1))),VALUE(LEFT(Indices!I76,4))*4+VALUE(RIGHT(Indices!I76,1)),0)</f>
        <v/>
      </c>
    </row>
    <row r="475">
      <c r="A475" t="inlineStr">
        <is>
          <t>ICC</t>
        </is>
      </c>
      <c r="B475">
        <f>IF(AND(LEN(Indices!I77)=7,MID(Indices!I77,5,2)="-T",ISNUMBER(VALUE(LEFT(Indices!I77,4))),ISNUMBER(INDEX(Indices!$A:$P,ROW(Indices!I77),COLUMN(Indices!I77)+1))),VALUE(LEFT(Indices!I77,4))*4+VALUE(RIGHT(Indices!I77,1)),0)</f>
        <v/>
      </c>
    </row>
    <row r="476">
      <c r="A476" t="inlineStr">
        <is>
          <t>ICC</t>
        </is>
      </c>
      <c r="B476">
        <f>IF(AND(LEN(Indices!I78)=7,MID(Indices!I78,5,2)="-T",ISNUMBER(VALUE(LEFT(Indices!I78,4))),ISNUMBER(INDEX(Indices!$A:$P,ROW(Indices!I78),COLUMN(Indices!I78)+1))),VALUE(LEFT(Indices!I78,4))*4+VALUE(RIGHT(Indices!I78,1)),0)</f>
        <v/>
      </c>
    </row>
    <row r="477">
      <c r="A477" t="inlineStr">
        <is>
          <t>ICC</t>
        </is>
      </c>
      <c r="B477">
        <f>IF(AND(LEN(Indices!I79)=7,MID(Indices!I79,5,2)="-T",ISNUMBER(VALUE(LEFT(Indices!I79,4))),ISNUMBER(INDEX(Indices!$A:$P,ROW(Indices!I79),COLUMN(Indices!I79)+1))),VALUE(LEFT(Indices!I79,4))*4+VALUE(RIGHT(Indices!I79,1)),0)</f>
        <v/>
      </c>
    </row>
    <row r="478">
      <c r="A478" t="inlineStr">
        <is>
          <t>ICC</t>
        </is>
      </c>
      <c r="B478">
        <f>IF(AND(LEN(Indices!I80)=7,MID(Indices!I80,5,2)="-T",ISNUMBER(VALUE(LEFT(Indices!I80,4))),ISNUMBER(INDEX(Indices!$A:$P,ROW(Indices!I80),COLUMN(Indices!I80)+1))),VALUE(LEFT(Indices!I80,4))*4+VALUE(RIGHT(Indices!I80,1)),0)</f>
        <v/>
      </c>
    </row>
    <row r="479">
      <c r="A479" t="inlineStr">
        <is>
          <t>ICC</t>
        </is>
      </c>
      <c r="B479">
        <f>IF(AND(LEN(Indices!I81)=7,MID(Indices!I81,5,2)="-T",ISNUMBER(VALUE(LEFT(Indices!I81,4))),ISNUMBER(INDEX(Indices!$A:$P,ROW(Indices!I81),COLUMN(Indices!I81)+1))),VALUE(LEFT(Indices!I81,4))*4+VALUE(RIGHT(Indices!I81,1)),0)</f>
        <v/>
      </c>
    </row>
    <row r="480">
      <c r="A480" t="inlineStr">
        <is>
          <t>ICC</t>
        </is>
      </c>
      <c r="B480">
        <f>IF(AND(LEN(Indices!I82)=7,MID(Indices!I82,5,2)="-T",ISNUMBER(VALUE(LEFT(Indices!I82,4))),ISNUMBER(INDEX(Indices!$A:$P,ROW(Indices!I82),COLUMN(Indices!I82)+1))),VALUE(LEFT(Indices!I82,4))*4+VALUE(RIGHT(Indices!I82,1)),0)</f>
        <v/>
      </c>
    </row>
    <row r="481">
      <c r="A481" t="inlineStr">
        <is>
          <t>ICC</t>
        </is>
      </c>
      <c r="B481">
        <f>IF(AND(LEN(Indices!I83)=7,MID(Indices!I83,5,2)="-T",ISNUMBER(VALUE(LEFT(Indices!I83,4))),ISNUMBER(INDEX(Indices!$A:$P,ROW(Indices!I83),COLUMN(Indices!I83)+1))),VALUE(LEFT(Indices!I83,4))*4+VALUE(RIGHT(Indices!I83,1)),0)</f>
        <v/>
      </c>
    </row>
    <row r="482">
      <c r="A482" t="inlineStr">
        <is>
          <t>ICC</t>
        </is>
      </c>
      <c r="B482">
        <f>IF(AND(LEN(Indices!I84)=7,MID(Indices!I84,5,2)="-T",ISNUMBER(VALUE(LEFT(Indices!I84,4))),ISNUMBER(INDEX(Indices!$A:$P,ROW(Indices!I84),COLUMN(Indices!I84)+1))),VALUE(LEFT(Indices!I84,4))*4+VALUE(RIGHT(Indices!I84,1)),0)</f>
        <v/>
      </c>
    </row>
    <row r="483">
      <c r="A483" t="inlineStr">
        <is>
          <t>ICC</t>
        </is>
      </c>
      <c r="B483">
        <f>IF(AND(LEN(Indices!I85)=7,MID(Indices!I85,5,2)="-T",ISNUMBER(VALUE(LEFT(Indices!I85,4))),ISNUMBER(INDEX(Indices!$A:$P,ROW(Indices!I85),COLUMN(Indices!I85)+1))),VALUE(LEFT(Indices!I85,4))*4+VALUE(RIGHT(Indices!I85,1)),0)</f>
        <v/>
      </c>
    </row>
    <row r="484">
      <c r="A484" t="inlineStr">
        <is>
          <t>ICC</t>
        </is>
      </c>
      <c r="B484">
        <f>IF(AND(LEN(Indices!I86)=7,MID(Indices!I86,5,2)="-T",ISNUMBER(VALUE(LEFT(Indices!I86,4))),ISNUMBER(INDEX(Indices!$A:$P,ROW(Indices!I86),COLUMN(Indices!I86)+1))),VALUE(LEFT(Indices!I86,4))*4+VALUE(RIGHT(Indices!I86,1)),0)</f>
        <v/>
      </c>
    </row>
    <row r="485">
      <c r="A485" t="inlineStr">
        <is>
          <t>ICC</t>
        </is>
      </c>
      <c r="B485">
        <f>IF(AND(LEN(Indices!I87)=7,MID(Indices!I87,5,2)="-T",ISNUMBER(VALUE(LEFT(Indices!I87,4))),ISNUMBER(INDEX(Indices!$A:$P,ROW(Indices!I87),COLUMN(Indices!I87)+1))),VALUE(LEFT(Indices!I87,4))*4+VALUE(RIGHT(Indices!I87,1)),0)</f>
        <v/>
      </c>
    </row>
    <row r="486">
      <c r="A486" t="inlineStr">
        <is>
          <t>ICC</t>
        </is>
      </c>
      <c r="B486">
        <f>IF(AND(LEN(Indices!I88)=7,MID(Indices!I88,5,2)="-T",ISNUMBER(VALUE(LEFT(Indices!I88,4))),ISNUMBER(INDEX(Indices!$A:$P,ROW(Indices!I88),COLUMN(Indices!I88)+1))),VALUE(LEFT(Indices!I88,4))*4+VALUE(RIGHT(Indices!I88,1)),0)</f>
        <v/>
      </c>
    </row>
    <row r="487">
      <c r="A487" t="inlineStr">
        <is>
          <t>ICC</t>
        </is>
      </c>
      <c r="B487">
        <f>IF(AND(LEN(Indices!I89)=7,MID(Indices!I89,5,2)="-T",ISNUMBER(VALUE(LEFT(Indices!I89,4))),ISNUMBER(INDEX(Indices!$A:$P,ROW(Indices!I89),COLUMN(Indices!I89)+1))),VALUE(LEFT(Indices!I89,4))*4+VALUE(RIGHT(Indices!I89,1)),0)</f>
        <v/>
      </c>
    </row>
    <row r="488">
      <c r="A488" t="inlineStr">
        <is>
          <t>ICC</t>
        </is>
      </c>
      <c r="B488">
        <f>IF(AND(LEN(Indices!I90)=7,MID(Indices!I90,5,2)="-T",ISNUMBER(VALUE(LEFT(Indices!I90,4))),ISNUMBER(INDEX(Indices!$A:$P,ROW(Indices!I90),COLUMN(Indices!I90)+1))),VALUE(LEFT(Indices!I90,4))*4+VALUE(RIGHT(Indices!I90,1)),0)</f>
        <v/>
      </c>
    </row>
    <row r="489">
      <c r="A489" t="inlineStr">
        <is>
          <t>ICC</t>
        </is>
      </c>
      <c r="B489">
        <f>IF(AND(LEN(Indices!I91)=7,MID(Indices!I91,5,2)="-T",ISNUMBER(VALUE(LEFT(Indices!I91,4))),ISNUMBER(INDEX(Indices!$A:$P,ROW(Indices!I91),COLUMN(Indices!I91)+1))),VALUE(LEFT(Indices!I91,4))*4+VALUE(RIGHT(Indices!I91,1)),0)</f>
        <v/>
      </c>
    </row>
    <row r="490">
      <c r="A490" t="inlineStr">
        <is>
          <t>ICC</t>
        </is>
      </c>
      <c r="B490">
        <f>IF(AND(LEN(Indices!I92)=7,MID(Indices!I92,5,2)="-T",ISNUMBER(VALUE(LEFT(Indices!I92,4))),ISNUMBER(INDEX(Indices!$A:$P,ROW(Indices!I92),COLUMN(Indices!I92)+1))),VALUE(LEFT(Indices!I92,4))*4+VALUE(RIGHT(Indices!I92,1)),0)</f>
        <v/>
      </c>
    </row>
    <row r="491">
      <c r="A491" t="inlineStr">
        <is>
          <t>ICC</t>
        </is>
      </c>
      <c r="B491">
        <f>IF(AND(LEN(Indices!I93)=7,MID(Indices!I93,5,2)="-T",ISNUMBER(VALUE(LEFT(Indices!I93,4))),ISNUMBER(INDEX(Indices!$A:$P,ROW(Indices!I93),COLUMN(Indices!I93)+1))),VALUE(LEFT(Indices!I93,4))*4+VALUE(RIGHT(Indices!I93,1)),0)</f>
        <v/>
      </c>
    </row>
    <row r="492">
      <c r="A492" t="inlineStr">
        <is>
          <t>ICC</t>
        </is>
      </c>
      <c r="B492">
        <f>IF(AND(LEN(Indices!I94)=7,MID(Indices!I94,5,2)="-T",ISNUMBER(VALUE(LEFT(Indices!I94,4))),ISNUMBER(INDEX(Indices!$A:$P,ROW(Indices!I94),COLUMN(Indices!I94)+1))),VALUE(LEFT(Indices!I94,4))*4+VALUE(RIGHT(Indices!I94,1)),0)</f>
        <v/>
      </c>
    </row>
    <row r="493">
      <c r="A493" t="inlineStr">
        <is>
          <t>ICC</t>
        </is>
      </c>
      <c r="B493">
        <f>IF(AND(LEN(Indices!I95)=7,MID(Indices!I95,5,2)="-T",ISNUMBER(VALUE(LEFT(Indices!I95,4))),ISNUMBER(INDEX(Indices!$A:$P,ROW(Indices!I95),COLUMN(Indices!I95)+1))),VALUE(LEFT(Indices!I95,4))*4+VALUE(RIGHT(Indices!I95,1)),0)</f>
        <v/>
      </c>
    </row>
    <row r="494">
      <c r="A494" t="inlineStr">
        <is>
          <t>ICC</t>
        </is>
      </c>
      <c r="B494">
        <f>IF(AND(LEN(Indices!I96)=7,MID(Indices!I96,5,2)="-T",ISNUMBER(VALUE(LEFT(Indices!I96,4))),ISNUMBER(INDEX(Indices!$A:$P,ROW(Indices!I96),COLUMN(Indices!I96)+1))),VALUE(LEFT(Indices!I96,4))*4+VALUE(RIGHT(Indices!I96,1)),0)</f>
        <v/>
      </c>
    </row>
    <row r="495">
      <c r="A495" t="inlineStr">
        <is>
          <t>ICC</t>
        </is>
      </c>
      <c r="B495">
        <f>IF(AND(LEN(Indices!I97)=7,MID(Indices!I97,5,2)="-T",ISNUMBER(VALUE(LEFT(Indices!I97,4))),ISNUMBER(INDEX(Indices!$A:$P,ROW(Indices!I97),COLUMN(Indices!I97)+1))),VALUE(LEFT(Indices!I97,4))*4+VALUE(RIGHT(Indices!I97,1)),0)</f>
        <v/>
      </c>
    </row>
    <row r="496">
      <c r="A496" t="inlineStr">
        <is>
          <t>ICC</t>
        </is>
      </c>
      <c r="B496">
        <f>IF(AND(LEN(Indices!I98)=7,MID(Indices!I98,5,2)="-T",ISNUMBER(VALUE(LEFT(Indices!I98,4))),ISNUMBER(INDEX(Indices!$A:$P,ROW(Indices!I98),COLUMN(Indices!I98)+1))),VALUE(LEFT(Indices!I98,4))*4+VALUE(RIGHT(Indices!I98,1)),0)</f>
        <v/>
      </c>
    </row>
    <row r="497">
      <c r="A497" t="inlineStr">
        <is>
          <t>ICC</t>
        </is>
      </c>
      <c r="B497">
        <f>IF(AND(LEN(Indices!I99)=7,MID(Indices!I99,5,2)="-T",ISNUMBER(VALUE(LEFT(Indices!I99,4))),ISNUMBER(INDEX(Indices!$A:$P,ROW(Indices!I99),COLUMN(Indices!I99)+1))),VALUE(LEFT(Indices!I99,4))*4+VALUE(RIGHT(Indices!I99,1)),0)</f>
        <v/>
      </c>
    </row>
    <row r="498">
      <c r="A498" t="inlineStr">
        <is>
          <t>ICC</t>
        </is>
      </c>
      <c r="B498">
        <f>IF(AND(LEN(Indices!I100)=7,MID(Indices!I100,5,2)="-T",ISNUMBER(VALUE(LEFT(Indices!I100,4))),ISNUMBER(INDEX(Indices!$A:$P,ROW(Indices!I100),COLUMN(Indices!I100)+1))),VALUE(LEFT(Indices!I100,4))*4+VALUE(RIGHT(Indices!I100,1)),0)</f>
        <v/>
      </c>
    </row>
    <row r="499">
      <c r="A499" t="inlineStr">
        <is>
          <t>ICC</t>
        </is>
      </c>
      <c r="B499">
        <f>IF(AND(LEN(Indices!I101)=7,MID(Indices!I101,5,2)="-T",ISNUMBER(VALUE(LEFT(Indices!I101,4))),ISNUMBER(INDEX(Indices!$A:$P,ROW(Indices!I101),COLUMN(Indices!I101)+1))),VALUE(LEFT(Indices!I101,4))*4+VALUE(RIGHT(Indices!I101,1)),0)</f>
        <v/>
      </c>
    </row>
    <row r="500">
      <c r="A500" t="inlineStr">
        <is>
          <t>ICC</t>
        </is>
      </c>
      <c r="B500">
        <f>IF(AND(LEN(Indices!I102)=7,MID(Indices!I102,5,2)="-T",ISNUMBER(VALUE(LEFT(Indices!I102,4))),ISNUMBER(INDEX(Indices!$A:$P,ROW(Indices!I102),COLUMN(Indices!I102)+1))),VALUE(LEFT(Indices!I102,4))*4+VALUE(RIGHT(Indices!I102,1)),0)</f>
        <v/>
      </c>
    </row>
    <row r="501">
      <c r="A501" t="inlineStr">
        <is>
          <t>ICC</t>
        </is>
      </c>
      <c r="B501">
        <f>IF(AND(LEN(Indices!I103)=7,MID(Indices!I103,5,2)="-T",ISNUMBER(VALUE(LEFT(Indices!I103,4))),ISNUMBER(INDEX(Indices!$A:$P,ROW(Indices!I103),COLUMN(Indices!I103)+1))),VALUE(LEFT(Indices!I103,4))*4+VALUE(RIGHT(Indices!I103,1)),0)</f>
        <v/>
      </c>
    </row>
    <row r="502">
      <c r="A502" t="inlineStr">
        <is>
          <t>ICC</t>
        </is>
      </c>
      <c r="B502">
        <f>IF(AND(LEN(Indices!I104)=7,MID(Indices!I104,5,2)="-T",ISNUMBER(VALUE(LEFT(Indices!I104,4))),ISNUMBER(INDEX(Indices!$A:$P,ROW(Indices!I104),COLUMN(Indices!I104)+1))),VALUE(LEFT(Indices!I104,4))*4+VALUE(RIGHT(Indices!I104,1)),0)</f>
        <v/>
      </c>
    </row>
    <row r="503">
      <c r="A503" t="inlineStr">
        <is>
          <t>ICC</t>
        </is>
      </c>
      <c r="B503">
        <f>IF(AND(LEN(Indices!I105)=7,MID(Indices!I105,5,2)="-T",ISNUMBER(VALUE(LEFT(Indices!I105,4))),ISNUMBER(INDEX(Indices!$A:$P,ROW(Indices!I105),COLUMN(Indices!I105)+1))),VALUE(LEFT(Indices!I105,4))*4+VALUE(RIGHT(Indices!I105,1)),0)</f>
        <v/>
      </c>
    </row>
    <row r="504">
      <c r="A504" t="inlineStr">
        <is>
          <t>ICC</t>
        </is>
      </c>
      <c r="B504">
        <f>IF(AND(LEN(Indices!I106)=7,MID(Indices!I106,5,2)="-T",ISNUMBER(VALUE(LEFT(Indices!I106,4))),ISNUMBER(INDEX(Indices!$A:$P,ROW(Indices!I106),COLUMN(Indices!I106)+1))),VALUE(LEFT(Indices!I106,4))*4+VALUE(RIGHT(Indices!I106,1)),0)</f>
        <v/>
      </c>
    </row>
    <row r="505">
      <c r="A505" t="inlineStr">
        <is>
          <t>ICC</t>
        </is>
      </c>
      <c r="B505">
        <f>IF(AND(LEN(Indices!I107)=7,MID(Indices!I107,5,2)="-T",ISNUMBER(VALUE(LEFT(Indices!I107,4))),ISNUMBER(INDEX(Indices!$A:$P,ROW(Indices!I107),COLUMN(Indices!I107)+1))),VALUE(LEFT(Indices!I107,4))*4+VALUE(RIGHT(Indices!I107,1)),0)</f>
        <v/>
      </c>
    </row>
    <row r="506">
      <c r="A506" t="inlineStr">
        <is>
          <t>ICC</t>
        </is>
      </c>
      <c r="B506">
        <f>IF(AND(LEN(Indices!I108)=7,MID(Indices!I108,5,2)="-T",ISNUMBER(VALUE(LEFT(Indices!I108,4))),ISNUMBER(INDEX(Indices!$A:$P,ROW(Indices!I108),COLUMN(Indices!I108)+1))),VALUE(LEFT(Indices!I108,4))*4+VALUE(RIGHT(Indices!I108,1)),0)</f>
        <v/>
      </c>
    </row>
    <row r="507">
      <c r="A507" t="inlineStr">
        <is>
          <t>ICC</t>
        </is>
      </c>
      <c r="B507">
        <f>IF(AND(LEN(Indices!I109)=7,MID(Indices!I109,5,2)="-T",ISNUMBER(VALUE(LEFT(Indices!I109,4))),ISNUMBER(INDEX(Indices!$A:$P,ROW(Indices!I109),COLUMN(Indices!I109)+1))),VALUE(LEFT(Indices!I109,4))*4+VALUE(RIGHT(Indices!I109,1)),0)</f>
        <v/>
      </c>
    </row>
    <row r="508">
      <c r="A508" t="inlineStr">
        <is>
          <t>ICC</t>
        </is>
      </c>
      <c r="B508">
        <f>IF(AND(LEN(Indices!I110)=7,MID(Indices!I110,5,2)="-T",ISNUMBER(VALUE(LEFT(Indices!I110,4))),ISNUMBER(INDEX(Indices!$A:$P,ROW(Indices!I110),COLUMN(Indices!I110)+1))),VALUE(LEFT(Indices!I110,4))*4+VALUE(RIGHT(Indices!I110,1)),0)</f>
        <v/>
      </c>
    </row>
    <row r="509">
      <c r="A509" t="inlineStr">
        <is>
          <t>ICC</t>
        </is>
      </c>
      <c r="B509">
        <f>IF(AND(LEN(Indices!I111)=7,MID(Indices!I111,5,2)="-T",ISNUMBER(VALUE(LEFT(Indices!I111,4))),ISNUMBER(INDEX(Indices!$A:$P,ROW(Indices!I111),COLUMN(Indices!I111)+1))),VALUE(LEFT(Indices!I111,4))*4+VALUE(RIGHT(Indices!I111,1)),0)</f>
        <v/>
      </c>
    </row>
    <row r="510">
      <c r="A510" t="inlineStr">
        <is>
          <t>ICC</t>
        </is>
      </c>
      <c r="B510">
        <f>IF(AND(LEN(Indices!I112)=7,MID(Indices!I112,5,2)="-T",ISNUMBER(VALUE(LEFT(Indices!I112,4))),ISNUMBER(INDEX(Indices!$A:$P,ROW(Indices!I112),COLUMN(Indices!I112)+1))),VALUE(LEFT(Indices!I112,4))*4+VALUE(RIGHT(Indices!I112,1)),0)</f>
        <v/>
      </c>
    </row>
    <row r="511">
      <c r="A511" t="inlineStr">
        <is>
          <t>ICC</t>
        </is>
      </c>
      <c r="B511">
        <f>IF(AND(LEN(Indices!I113)=7,MID(Indices!I113,5,2)="-T",ISNUMBER(VALUE(LEFT(Indices!I113,4))),ISNUMBER(INDEX(Indices!$A:$P,ROW(Indices!I113),COLUMN(Indices!I113)+1))),VALUE(LEFT(Indices!I113,4))*4+VALUE(RIGHT(Indices!I113,1)),0)</f>
        <v/>
      </c>
    </row>
    <row r="512">
      <c r="A512" t="inlineStr">
        <is>
          <t>ICC</t>
        </is>
      </c>
      <c r="B512">
        <f>IF(AND(LEN(Indices!I114)=7,MID(Indices!I114,5,2)="-T",ISNUMBER(VALUE(LEFT(Indices!I114,4))),ISNUMBER(INDEX(Indices!$A:$P,ROW(Indices!I114),COLUMN(Indices!I114)+1))),VALUE(LEFT(Indices!I114,4))*4+VALUE(RIGHT(Indices!I114,1)),0)</f>
        <v/>
      </c>
    </row>
    <row r="513">
      <c r="A513" t="inlineStr">
        <is>
          <t>ICC</t>
        </is>
      </c>
      <c r="B513">
        <f>IF(AND(LEN(Indices!I115)=7,MID(Indices!I115,5,2)="-T",ISNUMBER(VALUE(LEFT(Indices!I115,4))),ISNUMBER(INDEX(Indices!$A:$P,ROW(Indices!I115),COLUMN(Indices!I115)+1))),VALUE(LEFT(Indices!I115,4))*4+VALUE(RIGHT(Indices!I115,1)),0)</f>
        <v/>
      </c>
    </row>
    <row r="514">
      <c r="A514" t="inlineStr">
        <is>
          <t>ICC</t>
        </is>
      </c>
      <c r="B514">
        <f>IF(AND(LEN(Indices!I116)=7,MID(Indices!I116,5,2)="-T",ISNUMBER(VALUE(LEFT(Indices!I116,4))),ISNUMBER(INDEX(Indices!$A:$P,ROW(Indices!I116),COLUMN(Indices!I116)+1))),VALUE(LEFT(Indices!I116,4))*4+VALUE(RIGHT(Indices!I116,1)),0)</f>
        <v/>
      </c>
    </row>
    <row r="515">
      <c r="A515" t="inlineStr">
        <is>
          <t>ICC</t>
        </is>
      </c>
      <c r="B515">
        <f>IF(AND(LEN(Indices!I117)=7,MID(Indices!I117,5,2)="-T",ISNUMBER(VALUE(LEFT(Indices!I117,4))),ISNUMBER(INDEX(Indices!$A:$P,ROW(Indices!I117),COLUMN(Indices!I117)+1))),VALUE(LEFT(Indices!I117,4))*4+VALUE(RIGHT(Indices!I117,1)),0)</f>
        <v/>
      </c>
    </row>
    <row r="516">
      <c r="A516" t="inlineStr">
        <is>
          <t>ICC</t>
        </is>
      </c>
      <c r="B516">
        <f>IF(AND(LEN(Indices!I118)=7,MID(Indices!I118,5,2)="-T",ISNUMBER(VALUE(LEFT(Indices!I118,4))),ISNUMBER(INDEX(Indices!$A:$P,ROW(Indices!I118),COLUMN(Indices!I118)+1))),VALUE(LEFT(Indices!I118,4))*4+VALUE(RIGHT(Indices!I118,1)),0)</f>
        <v/>
      </c>
    </row>
    <row r="517">
      <c r="A517" t="inlineStr">
        <is>
          <t>ICC</t>
        </is>
      </c>
      <c r="B517">
        <f>IF(AND(LEN(Indices!I119)=7,MID(Indices!I119,5,2)="-T",ISNUMBER(VALUE(LEFT(Indices!I119,4))),ISNUMBER(INDEX(Indices!$A:$P,ROW(Indices!I119),COLUMN(Indices!I119)+1))),VALUE(LEFT(Indices!I119,4))*4+VALUE(RIGHT(Indices!I119,1)),0)</f>
        <v/>
      </c>
    </row>
    <row r="518">
      <c r="A518" t="inlineStr">
        <is>
          <t>ICC</t>
        </is>
      </c>
      <c r="B518">
        <f>IF(AND(LEN(Indices!I120)=7,MID(Indices!I120,5,2)="-T",ISNUMBER(VALUE(LEFT(Indices!I120,4))),ISNUMBER(INDEX(Indices!$A:$P,ROW(Indices!I120),COLUMN(Indices!I120)+1))),VALUE(LEFT(Indices!I120,4))*4+VALUE(RIGHT(Indices!I120,1)),0)</f>
        <v/>
      </c>
    </row>
    <row r="519">
      <c r="A519" t="inlineStr">
        <is>
          <t>ICC</t>
        </is>
      </c>
      <c r="B519">
        <f>IF(AND(LEN(Indices!I121)=7,MID(Indices!I121,5,2)="-T",ISNUMBER(VALUE(LEFT(Indices!I121,4))),ISNUMBER(INDEX(Indices!$A:$P,ROW(Indices!I121),COLUMN(Indices!I121)+1))),VALUE(LEFT(Indices!I121,4))*4+VALUE(RIGHT(Indices!I121,1)),0)</f>
        <v/>
      </c>
    </row>
    <row r="520">
      <c r="A520" t="inlineStr">
        <is>
          <t>ICC</t>
        </is>
      </c>
      <c r="B520">
        <f>IF(AND(LEN(Indices!I122)=7,MID(Indices!I122,5,2)="-T",ISNUMBER(VALUE(LEFT(Indices!I122,4))),ISNUMBER(INDEX(Indices!$A:$P,ROW(Indices!I122),COLUMN(Indices!I122)+1))),VALUE(LEFT(Indices!I122,4))*4+VALUE(RIGHT(Indices!I122,1)),0)</f>
        <v/>
      </c>
    </row>
    <row r="521">
      <c r="A521" t="inlineStr">
        <is>
          <t>ICC</t>
        </is>
      </c>
      <c r="B521">
        <f>IF(AND(LEN(Indices!I123)=7,MID(Indices!I123,5,2)="-T",ISNUMBER(VALUE(LEFT(Indices!I123,4))),ISNUMBER(INDEX(Indices!$A:$P,ROW(Indices!I123),COLUMN(Indices!I123)+1))),VALUE(LEFT(Indices!I123,4))*4+VALUE(RIGHT(Indices!I123,1)),0)</f>
        <v/>
      </c>
    </row>
    <row r="522">
      <c r="A522" t="inlineStr">
        <is>
          <t>ICC</t>
        </is>
      </c>
      <c r="B522">
        <f>IF(AND(LEN(Indices!I124)=7,MID(Indices!I124,5,2)="-T",ISNUMBER(VALUE(LEFT(Indices!I124,4))),ISNUMBER(INDEX(Indices!$A:$P,ROW(Indices!I124),COLUMN(Indices!I124)+1))),VALUE(LEFT(Indices!I124,4))*4+VALUE(RIGHT(Indices!I124,1)),0)</f>
        <v/>
      </c>
    </row>
    <row r="523">
      <c r="A523" t="inlineStr">
        <is>
          <t>ICC</t>
        </is>
      </c>
      <c r="B523">
        <f>IF(AND(LEN(Indices!I125)=7,MID(Indices!I125,5,2)="-T",ISNUMBER(VALUE(LEFT(Indices!I125,4))),ISNUMBER(INDEX(Indices!$A:$P,ROW(Indices!I125),COLUMN(Indices!I125)+1))),VALUE(LEFT(Indices!I125,4))*4+VALUE(RIGHT(Indices!I125,1)),0)</f>
        <v/>
      </c>
    </row>
    <row r="524">
      <c r="A524" t="inlineStr">
        <is>
          <t>ICC</t>
        </is>
      </c>
      <c r="B524">
        <f>IF(AND(LEN(Indices!I126)=7,MID(Indices!I126,5,2)="-T",ISNUMBER(VALUE(LEFT(Indices!I126,4))),ISNUMBER(INDEX(Indices!$A:$P,ROW(Indices!I126),COLUMN(Indices!I126)+1))),VALUE(LEFT(Indices!I126,4))*4+VALUE(RIGHT(Indices!I126,1)),0)</f>
        <v/>
      </c>
    </row>
    <row r="525">
      <c r="A525" t="inlineStr">
        <is>
          <t>ICC</t>
        </is>
      </c>
      <c r="B525">
        <f>IF(AND(LEN(Indices!I127)=7,MID(Indices!I127,5,2)="-T",ISNUMBER(VALUE(LEFT(Indices!I127,4))),ISNUMBER(INDEX(Indices!$A:$P,ROW(Indices!I127),COLUMN(Indices!I127)+1))),VALUE(LEFT(Indices!I127,4))*4+VALUE(RIGHT(Indices!I127,1)),0)</f>
        <v/>
      </c>
    </row>
    <row r="526">
      <c r="A526" t="inlineStr">
        <is>
          <t>ICC</t>
        </is>
      </c>
      <c r="B526">
        <f>IF(AND(LEN(Indices!I128)=7,MID(Indices!I128,5,2)="-T",ISNUMBER(VALUE(LEFT(Indices!I128,4))),ISNUMBER(INDEX(Indices!$A:$P,ROW(Indices!I128),COLUMN(Indices!I128)+1))),VALUE(LEFT(Indices!I128,4))*4+VALUE(RIGHT(Indices!I128,1)),0)</f>
        <v/>
      </c>
    </row>
    <row r="527">
      <c r="A527" t="inlineStr">
        <is>
          <t>ICC</t>
        </is>
      </c>
      <c r="B527">
        <f>IF(AND(LEN(Indices!I129)=7,MID(Indices!I129,5,2)="-T",ISNUMBER(VALUE(LEFT(Indices!I129,4))),ISNUMBER(INDEX(Indices!$A:$P,ROW(Indices!I129),COLUMN(Indices!I129)+1))),VALUE(LEFT(Indices!I129,4))*4+VALUE(RIGHT(Indices!I129,1)),0)</f>
        <v/>
      </c>
    </row>
    <row r="528">
      <c r="A528" t="inlineStr">
        <is>
          <t>ICC</t>
        </is>
      </c>
      <c r="B528">
        <f>IF(AND(LEN(Indices!I130)=7,MID(Indices!I130,5,2)="-T",ISNUMBER(VALUE(LEFT(Indices!I130,4))),ISNUMBER(INDEX(Indices!$A:$P,ROW(Indices!I130),COLUMN(Indices!I130)+1))),VALUE(LEFT(Indices!I130,4))*4+VALUE(RIGHT(Indices!I130,1)),0)</f>
        <v/>
      </c>
    </row>
    <row r="529">
      <c r="A529" t="inlineStr">
        <is>
          <t>ICC</t>
        </is>
      </c>
      <c r="B529">
        <f>IF(AND(LEN(Indices!I131)=7,MID(Indices!I131,5,2)="-T",ISNUMBER(VALUE(LEFT(Indices!I131,4))),ISNUMBER(INDEX(Indices!$A:$P,ROW(Indices!I131),COLUMN(Indices!I131)+1))),VALUE(LEFT(Indices!I131,4))*4+VALUE(RIGHT(Indices!I131,1)),0)</f>
        <v/>
      </c>
    </row>
    <row r="530">
      <c r="A530" t="inlineStr">
        <is>
          <t>ICC</t>
        </is>
      </c>
      <c r="B530">
        <f>IF(AND(LEN(Indices!I132)=7,MID(Indices!I132,5,2)="-T",ISNUMBER(VALUE(LEFT(Indices!I132,4))),ISNUMBER(INDEX(Indices!$A:$P,ROW(Indices!I132),COLUMN(Indices!I132)+1))),VALUE(LEFT(Indices!I132,4))*4+VALUE(RIGHT(Indices!I132,1)),0)</f>
        <v/>
      </c>
    </row>
    <row r="531">
      <c r="A531" t="inlineStr">
        <is>
          <t>ICC</t>
        </is>
      </c>
      <c r="B531">
        <f>IF(AND(LEN(Indices!I133)=7,MID(Indices!I133,5,2)="-T",ISNUMBER(VALUE(LEFT(Indices!I133,4))),ISNUMBER(INDEX(Indices!$A:$P,ROW(Indices!I133),COLUMN(Indices!I133)+1))),VALUE(LEFT(Indices!I133,4))*4+VALUE(RIGHT(Indices!I133,1)),0)</f>
        <v/>
      </c>
    </row>
    <row r="532">
      <c r="A532" t="inlineStr">
        <is>
          <t>ICC</t>
        </is>
      </c>
      <c r="B532">
        <f>IF(AND(LEN(Indices!I134)=7,MID(Indices!I134,5,2)="-T",ISNUMBER(VALUE(LEFT(Indices!I134,4))),ISNUMBER(INDEX(Indices!$A:$P,ROW(Indices!I134),COLUMN(Indices!I134)+1))),VALUE(LEFT(Indices!I134,4))*4+VALUE(RIGHT(Indices!I134,1)),0)</f>
        <v/>
      </c>
    </row>
    <row r="533">
      <c r="A533" t="inlineStr">
        <is>
          <t>ICC</t>
        </is>
      </c>
      <c r="B533">
        <f>IF(AND(LEN(Indices!I135)=7,MID(Indices!I135,5,2)="-T",ISNUMBER(VALUE(LEFT(Indices!I135,4))),ISNUMBER(INDEX(Indices!$A:$P,ROW(Indices!I135),COLUMN(Indices!I135)+1))),VALUE(LEFT(Indices!I135,4))*4+VALUE(RIGHT(Indices!I135,1)),0)</f>
        <v/>
      </c>
    </row>
    <row r="534">
      <c r="A534" t="inlineStr">
        <is>
          <t>ICC</t>
        </is>
      </c>
      <c r="B534">
        <f>IF(AND(LEN(Indices!I136)=7,MID(Indices!I136,5,2)="-T",ISNUMBER(VALUE(LEFT(Indices!I136,4))),ISNUMBER(INDEX(Indices!$A:$P,ROW(Indices!I136),COLUMN(Indices!I136)+1))),VALUE(LEFT(Indices!I136,4))*4+VALUE(RIGHT(Indices!I136,1)),0)</f>
        <v/>
      </c>
    </row>
    <row r="535">
      <c r="A535" t="inlineStr">
        <is>
          <t>ICC</t>
        </is>
      </c>
      <c r="B535">
        <f>IF(AND(LEN(Indices!I137)=7,MID(Indices!I137,5,2)="-T",ISNUMBER(VALUE(LEFT(Indices!I137,4))),ISNUMBER(INDEX(Indices!$A:$P,ROW(Indices!I137),COLUMN(Indices!I137)+1))),VALUE(LEFT(Indices!I137,4))*4+VALUE(RIGHT(Indices!I137,1)),0)</f>
        <v/>
      </c>
    </row>
    <row r="536">
      <c r="A536" t="inlineStr">
        <is>
          <t>ICC</t>
        </is>
      </c>
      <c r="B536">
        <f>IF(AND(LEN(Indices!I138)=7,MID(Indices!I138,5,2)="-T",ISNUMBER(VALUE(LEFT(Indices!I138,4))),ISNUMBER(INDEX(Indices!$A:$P,ROW(Indices!I138),COLUMN(Indices!I138)+1))),VALUE(LEFT(Indices!I138,4))*4+VALUE(RIGHT(Indices!I138,1)),0)</f>
        <v/>
      </c>
    </row>
    <row r="537">
      <c r="A537" t="inlineStr">
        <is>
          <t>ICC</t>
        </is>
      </c>
      <c r="B537">
        <f>IF(AND(LEN(Indices!I139)=7,MID(Indices!I139,5,2)="-T",ISNUMBER(VALUE(LEFT(Indices!I139,4))),ISNUMBER(INDEX(Indices!$A:$P,ROW(Indices!I139),COLUMN(Indices!I139)+1))),VALUE(LEFT(Indices!I139,4))*4+VALUE(RIGHT(Indices!I139,1)),0)</f>
        <v/>
      </c>
    </row>
    <row r="538">
      <c r="A538" t="inlineStr">
        <is>
          <t>ICC</t>
        </is>
      </c>
      <c r="B538">
        <f>IF(AND(LEN(Indices!I140)=7,MID(Indices!I140,5,2)="-T",ISNUMBER(VALUE(LEFT(Indices!I140,4))),ISNUMBER(INDEX(Indices!$A:$P,ROW(Indices!I140),COLUMN(Indices!I140)+1))),VALUE(LEFT(Indices!I140,4))*4+VALUE(RIGHT(Indices!I140,1)),0)</f>
        <v/>
      </c>
    </row>
    <row r="539">
      <c r="A539" t="inlineStr">
        <is>
          <t>ICC</t>
        </is>
      </c>
      <c r="B539">
        <f>IF(AND(LEN(Indices!I141)=7,MID(Indices!I141,5,2)="-T",ISNUMBER(VALUE(LEFT(Indices!I141,4))),ISNUMBER(INDEX(Indices!$A:$P,ROW(Indices!I141),COLUMN(Indices!I141)+1))),VALUE(LEFT(Indices!I141,4))*4+VALUE(RIGHT(Indices!I141,1)),0)</f>
        <v/>
      </c>
    </row>
    <row r="540">
      <c r="A540" t="inlineStr">
        <is>
          <t>ICC</t>
        </is>
      </c>
      <c r="B540">
        <f>IF(AND(LEN(Indices!I142)=7,MID(Indices!I142,5,2)="-T",ISNUMBER(VALUE(LEFT(Indices!I142,4))),ISNUMBER(INDEX(Indices!$A:$P,ROW(Indices!I142),COLUMN(Indices!I142)+1))),VALUE(LEFT(Indices!I142,4))*4+VALUE(RIGHT(Indices!I142,1)),0)</f>
        <v/>
      </c>
    </row>
    <row r="541">
      <c r="A541" t="inlineStr">
        <is>
          <t>ICC</t>
        </is>
      </c>
      <c r="B541">
        <f>IF(AND(LEN(Indices!I143)=7,MID(Indices!I143,5,2)="-T",ISNUMBER(VALUE(LEFT(Indices!I143,4))),ISNUMBER(INDEX(Indices!$A:$P,ROW(Indices!I143),COLUMN(Indices!I143)+1))),VALUE(LEFT(Indices!I143,4))*4+VALUE(RIGHT(Indices!I143,1)),0)</f>
        <v/>
      </c>
    </row>
    <row r="542">
      <c r="A542" t="inlineStr">
        <is>
          <t>ICC</t>
        </is>
      </c>
      <c r="B542">
        <f>IF(AND(LEN(Indices!I144)=7,MID(Indices!I144,5,2)="-T",ISNUMBER(VALUE(LEFT(Indices!I144,4))),ISNUMBER(INDEX(Indices!$A:$P,ROW(Indices!I144),COLUMN(Indices!I144)+1))),VALUE(LEFT(Indices!I144,4))*4+VALUE(RIGHT(Indices!I144,1)),0)</f>
        <v/>
      </c>
    </row>
    <row r="543">
      <c r="A543" t="inlineStr">
        <is>
          <t>ICC</t>
        </is>
      </c>
      <c r="B543">
        <f>IF(AND(LEN(Indices!I145)=7,MID(Indices!I145,5,2)="-T",ISNUMBER(VALUE(LEFT(Indices!I145,4))),ISNUMBER(INDEX(Indices!$A:$P,ROW(Indices!I145),COLUMN(Indices!I145)+1))),VALUE(LEFT(Indices!I145,4))*4+VALUE(RIGHT(Indices!I145,1)),0)</f>
        <v/>
      </c>
    </row>
    <row r="544">
      <c r="A544" t="inlineStr">
        <is>
          <t>ICC</t>
        </is>
      </c>
      <c r="B544">
        <f>IF(AND(LEN(Indices!I146)=7,MID(Indices!I146,5,2)="-T",ISNUMBER(VALUE(LEFT(Indices!I146,4))),ISNUMBER(INDEX(Indices!$A:$P,ROW(Indices!I146),COLUMN(Indices!I146)+1))),VALUE(LEFT(Indices!I146,4))*4+VALUE(RIGHT(Indices!I146,1)),0)</f>
        <v/>
      </c>
    </row>
    <row r="545">
      <c r="A545" t="inlineStr">
        <is>
          <t>ICC</t>
        </is>
      </c>
      <c r="B545">
        <f>IF(AND(LEN(Indices!I147)=7,MID(Indices!I147,5,2)="-T",ISNUMBER(VALUE(LEFT(Indices!I147,4))),ISNUMBER(INDEX(Indices!$A:$P,ROW(Indices!I147),COLUMN(Indices!I147)+1))),VALUE(LEFT(Indices!I147,4))*4+VALUE(RIGHT(Indices!I147,1)),0)</f>
        <v/>
      </c>
    </row>
    <row r="546">
      <c r="A546" t="inlineStr">
        <is>
          <t>ICC</t>
        </is>
      </c>
      <c r="B546">
        <f>IF(AND(LEN(Indices!I148)=7,MID(Indices!I148,5,2)="-T",ISNUMBER(VALUE(LEFT(Indices!I148,4))),ISNUMBER(INDEX(Indices!$A:$P,ROW(Indices!I148),COLUMN(Indices!I148)+1))),VALUE(LEFT(Indices!I148,4))*4+VALUE(RIGHT(Indices!I148,1)),0)</f>
        <v/>
      </c>
    </row>
    <row r="547">
      <c r="A547" t="inlineStr">
        <is>
          <t>ICC</t>
        </is>
      </c>
      <c r="B547">
        <f>IF(AND(LEN(Indices!I149)=7,MID(Indices!I149,5,2)="-T",ISNUMBER(VALUE(LEFT(Indices!I149,4))),ISNUMBER(INDEX(Indices!$A:$P,ROW(Indices!I149),COLUMN(Indices!I149)+1))),VALUE(LEFT(Indices!I149,4))*4+VALUE(RIGHT(Indices!I149,1)),0)</f>
        <v/>
      </c>
    </row>
    <row r="548">
      <c r="A548" t="inlineStr">
        <is>
          <t>ICC</t>
        </is>
      </c>
      <c r="B548">
        <f>IF(AND(LEN(Indices!I150)=7,MID(Indices!I150,5,2)="-T",ISNUMBER(VALUE(LEFT(Indices!I150,4))),ISNUMBER(INDEX(Indices!$A:$P,ROW(Indices!I150),COLUMN(Indices!I150)+1))),VALUE(LEFT(Indices!I150,4))*4+VALUE(RIGHT(Indices!I150,1)),0)</f>
        <v/>
      </c>
    </row>
    <row r="549">
      <c r="A549" t="inlineStr">
        <is>
          <t>ICC</t>
        </is>
      </c>
      <c r="B549">
        <f>IF(AND(LEN(Indices!I151)=7,MID(Indices!I151,5,2)="-T",ISNUMBER(VALUE(LEFT(Indices!I151,4))),ISNUMBER(INDEX(Indices!$A:$P,ROW(Indices!I151),COLUMN(Indices!I151)+1))),VALUE(LEFT(Indices!I151,4))*4+VALUE(RIGHT(Indices!I151,1)),0)</f>
        <v/>
      </c>
    </row>
    <row r="550">
      <c r="A550" t="inlineStr">
        <is>
          <t>ICC</t>
        </is>
      </c>
      <c r="B550">
        <f>IF(AND(LEN(Indices!I152)=7,MID(Indices!I152,5,2)="-T",ISNUMBER(VALUE(LEFT(Indices!I152,4))),ISNUMBER(INDEX(Indices!$A:$P,ROW(Indices!I152),COLUMN(Indices!I152)+1))),VALUE(LEFT(Indices!I152,4))*4+VALUE(RIGHT(Indices!I152,1)),0)</f>
        <v/>
      </c>
    </row>
    <row r="551">
      <c r="A551" t="inlineStr">
        <is>
          <t>ICC</t>
        </is>
      </c>
      <c r="B551">
        <f>IF(AND(LEN(Indices!I153)=7,MID(Indices!I153,5,2)="-T",ISNUMBER(VALUE(LEFT(Indices!I153,4))),ISNUMBER(INDEX(Indices!$A:$P,ROW(Indices!I153),COLUMN(Indices!I153)+1))),VALUE(LEFT(Indices!I153,4))*4+VALUE(RIGHT(Indices!I153,1)),0)</f>
        <v/>
      </c>
    </row>
    <row r="552">
      <c r="A552" t="inlineStr">
        <is>
          <t>ICC</t>
        </is>
      </c>
      <c r="B552">
        <f>IF(AND(LEN(Indices!I154)=7,MID(Indices!I154,5,2)="-T",ISNUMBER(VALUE(LEFT(Indices!I154,4))),ISNUMBER(INDEX(Indices!$A:$P,ROW(Indices!I154),COLUMN(Indices!I154)+1))),VALUE(LEFT(Indices!I154,4))*4+VALUE(RIGHT(Indices!I154,1)),0)</f>
        <v/>
      </c>
    </row>
    <row r="553">
      <c r="A553" t="inlineStr">
        <is>
          <t>ICC</t>
        </is>
      </c>
      <c r="B553">
        <f>IF(AND(LEN(Indices!I155)=7,MID(Indices!I155,5,2)="-T",ISNUMBER(VALUE(LEFT(Indices!I155,4))),ISNUMBER(INDEX(Indices!$A:$P,ROW(Indices!I155),COLUMN(Indices!I155)+1))),VALUE(LEFT(Indices!I155,4))*4+VALUE(RIGHT(Indices!I155,1)),0)</f>
        <v/>
      </c>
    </row>
    <row r="554">
      <c r="A554" t="inlineStr">
        <is>
          <t>ICC</t>
        </is>
      </c>
      <c r="B554">
        <f>IF(AND(LEN(Indices!I156)=7,MID(Indices!I156,5,2)="-T",ISNUMBER(VALUE(LEFT(Indices!I156,4))),ISNUMBER(INDEX(Indices!$A:$P,ROW(Indices!I156),COLUMN(Indices!I156)+1))),VALUE(LEFT(Indices!I156,4))*4+VALUE(RIGHT(Indices!I156,1)),0)</f>
        <v/>
      </c>
    </row>
    <row r="555">
      <c r="A555" t="inlineStr">
        <is>
          <t>ICC</t>
        </is>
      </c>
      <c r="B555">
        <f>IF(AND(LEN(Indices!I157)=7,MID(Indices!I157,5,2)="-T",ISNUMBER(VALUE(LEFT(Indices!I157,4))),ISNUMBER(INDEX(Indices!$A:$P,ROW(Indices!I157),COLUMN(Indices!I157)+1))),VALUE(LEFT(Indices!I157,4))*4+VALUE(RIGHT(Indices!I157,1)),0)</f>
        <v/>
      </c>
    </row>
    <row r="556">
      <c r="A556" t="inlineStr">
        <is>
          <t>ICC</t>
        </is>
      </c>
      <c r="B556">
        <f>IF(AND(LEN(Indices!I158)=7,MID(Indices!I158,5,2)="-T",ISNUMBER(VALUE(LEFT(Indices!I158,4))),ISNUMBER(INDEX(Indices!$A:$P,ROW(Indices!I158),COLUMN(Indices!I158)+1))),VALUE(LEFT(Indices!I158,4))*4+VALUE(RIGHT(Indices!I158,1)),0)</f>
        <v/>
      </c>
    </row>
    <row r="557">
      <c r="A557" t="inlineStr">
        <is>
          <t>ICC</t>
        </is>
      </c>
      <c r="B557">
        <f>IF(AND(LEN(Indices!I159)=7,MID(Indices!I159,5,2)="-T",ISNUMBER(VALUE(LEFT(Indices!I159,4))),ISNUMBER(INDEX(Indices!$A:$P,ROW(Indices!I159),COLUMN(Indices!I159)+1))),VALUE(LEFT(Indices!I159,4))*4+VALUE(RIGHT(Indices!I159,1)),0)</f>
        <v/>
      </c>
    </row>
    <row r="558">
      <c r="A558" t="inlineStr">
        <is>
          <t>ICC</t>
        </is>
      </c>
      <c r="B558">
        <f>IF(AND(LEN(Indices!I160)=7,MID(Indices!I160,5,2)="-T",ISNUMBER(VALUE(LEFT(Indices!I160,4))),ISNUMBER(INDEX(Indices!$A:$P,ROW(Indices!I160),COLUMN(Indices!I160)+1))),VALUE(LEFT(Indices!I160,4))*4+VALUE(RIGHT(Indices!I160,1)),0)</f>
        <v/>
      </c>
    </row>
    <row r="559">
      <c r="A559" t="inlineStr">
        <is>
          <t>ICC</t>
        </is>
      </c>
      <c r="B559">
        <f>IF(AND(LEN(Indices!I161)=7,MID(Indices!I161,5,2)="-T",ISNUMBER(VALUE(LEFT(Indices!I161,4))),ISNUMBER(INDEX(Indices!$A:$P,ROW(Indices!I161),COLUMN(Indices!I161)+1))),VALUE(LEFT(Indices!I161,4))*4+VALUE(RIGHT(Indices!I161,1)),0)</f>
        <v/>
      </c>
    </row>
    <row r="560">
      <c r="A560" t="inlineStr">
        <is>
          <t>ICC</t>
        </is>
      </c>
      <c r="B560">
        <f>IF(AND(LEN(Indices!I162)=7,MID(Indices!I162,5,2)="-T",ISNUMBER(VALUE(LEFT(Indices!I162,4))),ISNUMBER(INDEX(Indices!$A:$P,ROW(Indices!I162),COLUMN(Indices!I162)+1))),VALUE(LEFT(Indices!I162,4))*4+VALUE(RIGHT(Indices!I162,1)),0)</f>
        <v/>
      </c>
    </row>
    <row r="561">
      <c r="A561" t="inlineStr">
        <is>
          <t>ICC</t>
        </is>
      </c>
      <c r="B561">
        <f>IF(AND(LEN(Indices!I163)=7,MID(Indices!I163,5,2)="-T",ISNUMBER(VALUE(LEFT(Indices!I163,4))),ISNUMBER(INDEX(Indices!$A:$P,ROW(Indices!I163),COLUMN(Indices!I163)+1))),VALUE(LEFT(Indices!I163,4))*4+VALUE(RIGHT(Indices!I163,1)),0)</f>
        <v/>
      </c>
    </row>
    <row r="562">
      <c r="A562" t="inlineStr">
        <is>
          <t>ICC</t>
        </is>
      </c>
      <c r="B562">
        <f>IF(AND(LEN(Indices!I164)=7,MID(Indices!I164,5,2)="-T",ISNUMBER(VALUE(LEFT(Indices!I164,4))),ISNUMBER(INDEX(Indices!$A:$P,ROW(Indices!I164),COLUMN(Indices!I164)+1))),VALUE(LEFT(Indices!I164,4))*4+VALUE(RIGHT(Indices!I164,1)),0)</f>
        <v/>
      </c>
    </row>
    <row r="563">
      <c r="A563" t="inlineStr">
        <is>
          <t>ICC</t>
        </is>
      </c>
      <c r="B563">
        <f>IF(AND(LEN(Indices!I165)=7,MID(Indices!I165,5,2)="-T",ISNUMBER(VALUE(LEFT(Indices!I165,4))),ISNUMBER(INDEX(Indices!$A:$P,ROW(Indices!I165),COLUMN(Indices!I165)+1))),VALUE(LEFT(Indices!I165,4))*4+VALUE(RIGHT(Indices!I165,1)),0)</f>
        <v/>
      </c>
    </row>
    <row r="564">
      <c r="A564" t="inlineStr">
        <is>
          <t>ICC</t>
        </is>
      </c>
      <c r="B564">
        <f>IF(AND(LEN(Indices!I166)=7,MID(Indices!I166,5,2)="-T",ISNUMBER(VALUE(LEFT(Indices!I166,4))),ISNUMBER(INDEX(Indices!$A:$P,ROW(Indices!I166),COLUMN(Indices!I166)+1))),VALUE(LEFT(Indices!I166,4))*4+VALUE(RIGHT(Indices!I166,1)),0)</f>
        <v/>
      </c>
    </row>
    <row r="565">
      <c r="A565" t="inlineStr">
        <is>
          <t>ICC</t>
        </is>
      </c>
      <c r="B565">
        <f>IF(AND(LEN(Indices!I167)=7,MID(Indices!I167,5,2)="-T",ISNUMBER(VALUE(LEFT(Indices!I167,4))),ISNUMBER(INDEX(Indices!$A:$P,ROW(Indices!I167),COLUMN(Indices!I167)+1))),VALUE(LEFT(Indices!I167,4))*4+VALUE(RIGHT(Indices!I167,1)),0)</f>
        <v/>
      </c>
    </row>
    <row r="566">
      <c r="A566" t="inlineStr">
        <is>
          <t>ICC</t>
        </is>
      </c>
      <c r="B566">
        <f>IF(AND(LEN(Indices!I168)=7,MID(Indices!I168,5,2)="-T",ISNUMBER(VALUE(LEFT(Indices!I168,4))),ISNUMBER(INDEX(Indices!$A:$P,ROW(Indices!I168),COLUMN(Indices!I168)+1))),VALUE(LEFT(Indices!I168,4))*4+VALUE(RIGHT(Indices!I168,1)),0)</f>
        <v/>
      </c>
    </row>
    <row r="567">
      <c r="A567" t="inlineStr">
        <is>
          <t>ICC</t>
        </is>
      </c>
      <c r="B567">
        <f>IF(AND(LEN(Indices!I169)=7,MID(Indices!I169,5,2)="-T",ISNUMBER(VALUE(LEFT(Indices!I169,4))),ISNUMBER(INDEX(Indices!$A:$P,ROW(Indices!I169),COLUMN(Indices!I169)+1))),VALUE(LEFT(Indices!I169,4))*4+VALUE(RIGHT(Indices!I169,1)),0)</f>
        <v/>
      </c>
    </row>
    <row r="568">
      <c r="A568" t="inlineStr">
        <is>
          <t>ICC</t>
        </is>
      </c>
      <c r="B568">
        <f>IF(AND(LEN(Indices!I170)=7,MID(Indices!I170,5,2)="-T",ISNUMBER(VALUE(LEFT(Indices!I170,4))),ISNUMBER(INDEX(Indices!$A:$P,ROW(Indices!I170),COLUMN(Indices!I170)+1))),VALUE(LEFT(Indices!I170,4))*4+VALUE(RIGHT(Indices!I170,1)),0)</f>
        <v/>
      </c>
    </row>
    <row r="569">
      <c r="A569" t="inlineStr">
        <is>
          <t>ICC</t>
        </is>
      </c>
      <c r="B569">
        <f>IF(AND(LEN(Indices!I171)=7,MID(Indices!I171,5,2)="-T",ISNUMBER(VALUE(LEFT(Indices!I171,4))),ISNUMBER(INDEX(Indices!$A:$P,ROW(Indices!I171),COLUMN(Indices!I171)+1))),VALUE(LEFT(Indices!I171,4))*4+VALUE(RIGHT(Indices!I171,1)),0)</f>
        <v/>
      </c>
    </row>
    <row r="570">
      <c r="A570" t="inlineStr">
        <is>
          <t>ICC</t>
        </is>
      </c>
      <c r="B570">
        <f>IF(AND(LEN(Indices!I172)=7,MID(Indices!I172,5,2)="-T",ISNUMBER(VALUE(LEFT(Indices!I172,4))),ISNUMBER(INDEX(Indices!$A:$P,ROW(Indices!I172),COLUMN(Indices!I172)+1))),VALUE(LEFT(Indices!I172,4))*4+VALUE(RIGHT(Indices!I172,1)),0)</f>
        <v/>
      </c>
    </row>
    <row r="571">
      <c r="A571" t="inlineStr">
        <is>
          <t>ICC</t>
        </is>
      </c>
      <c r="B571">
        <f>IF(AND(LEN(Indices!I173)=7,MID(Indices!I173,5,2)="-T",ISNUMBER(VALUE(LEFT(Indices!I173,4))),ISNUMBER(INDEX(Indices!$A:$P,ROW(Indices!I173),COLUMN(Indices!I173)+1))),VALUE(LEFT(Indices!I173,4))*4+VALUE(RIGHT(Indices!I173,1)),0)</f>
        <v/>
      </c>
    </row>
    <row r="572">
      <c r="A572" t="inlineStr">
        <is>
          <t>ICC</t>
        </is>
      </c>
      <c r="B572">
        <f>IF(AND(LEN(Indices!I174)=7,MID(Indices!I174,5,2)="-T",ISNUMBER(VALUE(LEFT(Indices!I174,4))),ISNUMBER(INDEX(Indices!$A:$P,ROW(Indices!I174),COLUMN(Indices!I174)+1))),VALUE(LEFT(Indices!I174,4))*4+VALUE(RIGHT(Indices!I174,1)),0)</f>
        <v/>
      </c>
    </row>
    <row r="573">
      <c r="A573" t="inlineStr">
        <is>
          <t>ICC</t>
        </is>
      </c>
      <c r="B573">
        <f>IF(AND(LEN(Indices!I175)=7,MID(Indices!I175,5,2)="-T",ISNUMBER(VALUE(LEFT(Indices!I175,4))),ISNUMBER(INDEX(Indices!$A:$P,ROW(Indices!I175),COLUMN(Indices!I175)+1))),VALUE(LEFT(Indices!I175,4))*4+VALUE(RIGHT(Indices!I175,1)),0)</f>
        <v/>
      </c>
    </row>
    <row r="574">
      <c r="A574" t="inlineStr">
        <is>
          <t>ICC</t>
        </is>
      </c>
      <c r="B574">
        <f>IF(AND(LEN(Indices!I176)=7,MID(Indices!I176,5,2)="-T",ISNUMBER(VALUE(LEFT(Indices!I176,4))),ISNUMBER(INDEX(Indices!$A:$P,ROW(Indices!I176),COLUMN(Indices!I176)+1))),VALUE(LEFT(Indices!I176,4))*4+VALUE(RIGHT(Indices!I176,1)),0)</f>
        <v/>
      </c>
    </row>
    <row r="575">
      <c r="A575" t="inlineStr">
        <is>
          <t>ICC</t>
        </is>
      </c>
      <c r="B575">
        <f>IF(AND(LEN(Indices!I177)=7,MID(Indices!I177,5,2)="-T",ISNUMBER(VALUE(LEFT(Indices!I177,4))),ISNUMBER(INDEX(Indices!$A:$P,ROW(Indices!I177),COLUMN(Indices!I177)+1))),VALUE(LEFT(Indices!I177,4))*4+VALUE(RIGHT(Indices!I177,1)),0)</f>
        <v/>
      </c>
    </row>
    <row r="576">
      <c r="A576" t="inlineStr">
        <is>
          <t>ICC</t>
        </is>
      </c>
      <c r="B576">
        <f>IF(AND(LEN(Indices!I178)=7,MID(Indices!I178,5,2)="-T",ISNUMBER(VALUE(LEFT(Indices!I178,4))),ISNUMBER(INDEX(Indices!$A:$P,ROW(Indices!I178),COLUMN(Indices!I178)+1))),VALUE(LEFT(Indices!I178,4))*4+VALUE(RIGHT(Indices!I178,1)),0)</f>
        <v/>
      </c>
    </row>
    <row r="577">
      <c r="A577" t="inlineStr">
        <is>
          <t>ICC</t>
        </is>
      </c>
      <c r="B577">
        <f>IF(AND(LEN(Indices!I179)=7,MID(Indices!I179,5,2)="-T",ISNUMBER(VALUE(LEFT(Indices!I179,4))),ISNUMBER(INDEX(Indices!$A:$P,ROW(Indices!I179),COLUMN(Indices!I179)+1))),VALUE(LEFT(Indices!I179,4))*4+VALUE(RIGHT(Indices!I179,1)),0)</f>
        <v/>
      </c>
    </row>
    <row r="578">
      <c r="A578" t="inlineStr">
        <is>
          <t>ICC</t>
        </is>
      </c>
      <c r="B578">
        <f>IF(AND(LEN(Indices!I180)=7,MID(Indices!I180,5,2)="-T",ISNUMBER(VALUE(LEFT(Indices!I180,4))),ISNUMBER(INDEX(Indices!$A:$P,ROW(Indices!I180),COLUMN(Indices!I180)+1))),VALUE(LEFT(Indices!I180,4))*4+VALUE(RIGHT(Indices!I180,1)),0)</f>
        <v/>
      </c>
    </row>
    <row r="579">
      <c r="A579" t="inlineStr">
        <is>
          <t>ICC</t>
        </is>
      </c>
      <c r="B579">
        <f>IF(AND(LEN(Indices!I181)=7,MID(Indices!I181,5,2)="-T",ISNUMBER(VALUE(LEFT(Indices!I181,4))),ISNUMBER(INDEX(Indices!$A:$P,ROW(Indices!I181),COLUMN(Indices!I181)+1))),VALUE(LEFT(Indices!I181,4))*4+VALUE(RIGHT(Indices!I181,1)),0)</f>
        <v/>
      </c>
    </row>
    <row r="580">
      <c r="A580" t="inlineStr">
        <is>
          <t>ICC</t>
        </is>
      </c>
      <c r="B580">
        <f>IF(AND(LEN(Indices!I182)=7,MID(Indices!I182,5,2)="-T",ISNUMBER(VALUE(LEFT(Indices!I182,4))),ISNUMBER(INDEX(Indices!$A:$P,ROW(Indices!I182),COLUMN(Indices!I182)+1))),VALUE(LEFT(Indices!I182,4))*4+VALUE(RIGHT(Indices!I182,1)),0)</f>
        <v/>
      </c>
    </row>
    <row r="581">
      <c r="A581" t="inlineStr">
        <is>
          <t>ICC</t>
        </is>
      </c>
      <c r="B581">
        <f>IF(AND(LEN(Indices!I183)=7,MID(Indices!I183,5,2)="-T",ISNUMBER(VALUE(LEFT(Indices!I183,4))),ISNUMBER(INDEX(Indices!$A:$P,ROW(Indices!I183),COLUMN(Indices!I183)+1))),VALUE(LEFT(Indices!I183,4))*4+VALUE(RIGHT(Indices!I183,1)),0)</f>
        <v/>
      </c>
    </row>
    <row r="582">
      <c r="A582" t="inlineStr">
        <is>
          <t>ICC</t>
        </is>
      </c>
      <c r="B582">
        <f>IF(AND(LEN(Indices!I184)=7,MID(Indices!I184,5,2)="-T",ISNUMBER(VALUE(LEFT(Indices!I184,4))),ISNUMBER(INDEX(Indices!$A:$P,ROW(Indices!I184),COLUMN(Indices!I184)+1))),VALUE(LEFT(Indices!I184,4))*4+VALUE(RIGHT(Indices!I184,1)),0)</f>
        <v/>
      </c>
    </row>
    <row r="583">
      <c r="A583" t="inlineStr">
        <is>
          <t>ICC</t>
        </is>
      </c>
      <c r="B583">
        <f>IF(AND(LEN(Indices!I185)=7,MID(Indices!I185,5,2)="-T",ISNUMBER(VALUE(LEFT(Indices!I185,4))),ISNUMBER(INDEX(Indices!$A:$P,ROW(Indices!I185),COLUMN(Indices!I185)+1))),VALUE(LEFT(Indices!I185,4))*4+VALUE(RIGHT(Indices!I185,1)),0)</f>
        <v/>
      </c>
    </row>
    <row r="584">
      <c r="A584" t="inlineStr">
        <is>
          <t>ICC</t>
        </is>
      </c>
      <c r="B584">
        <f>IF(AND(LEN(Indices!I186)=7,MID(Indices!I186,5,2)="-T",ISNUMBER(VALUE(LEFT(Indices!I186,4))),ISNUMBER(INDEX(Indices!$A:$P,ROW(Indices!I186),COLUMN(Indices!I186)+1))),VALUE(LEFT(Indices!I186,4))*4+VALUE(RIGHT(Indices!I186,1)),0)</f>
        <v/>
      </c>
    </row>
    <row r="585">
      <c r="A585" t="inlineStr">
        <is>
          <t>ICC</t>
        </is>
      </c>
      <c r="B585">
        <f>IF(AND(LEN(Indices!I187)=7,MID(Indices!I187,5,2)="-T",ISNUMBER(VALUE(LEFT(Indices!I187,4))),ISNUMBER(INDEX(Indices!$A:$P,ROW(Indices!I187),COLUMN(Indices!I187)+1))),VALUE(LEFT(Indices!I187,4))*4+VALUE(RIGHT(Indices!I187,1)),0)</f>
        <v/>
      </c>
    </row>
    <row r="586">
      <c r="A586" t="inlineStr">
        <is>
          <t>ICC</t>
        </is>
      </c>
      <c r="B586">
        <f>IF(AND(LEN(Indices!I188)=7,MID(Indices!I188,5,2)="-T",ISNUMBER(VALUE(LEFT(Indices!I188,4))),ISNUMBER(INDEX(Indices!$A:$P,ROW(Indices!I188),COLUMN(Indices!I188)+1))),VALUE(LEFT(Indices!I188,4))*4+VALUE(RIGHT(Indices!I188,1)),0)</f>
        <v/>
      </c>
    </row>
    <row r="587">
      <c r="A587" t="inlineStr">
        <is>
          <t>ICC</t>
        </is>
      </c>
      <c r="B587">
        <f>IF(AND(LEN(Indices!I189)=7,MID(Indices!I189,5,2)="-T",ISNUMBER(VALUE(LEFT(Indices!I189,4))),ISNUMBER(INDEX(Indices!$A:$P,ROW(Indices!I189),COLUMN(Indices!I189)+1))),VALUE(LEFT(Indices!I189,4))*4+VALUE(RIGHT(Indices!I189,1)),0)</f>
        <v/>
      </c>
    </row>
    <row r="588">
      <c r="A588" t="inlineStr">
        <is>
          <t>ICC</t>
        </is>
      </c>
      <c r="B588">
        <f>IF(AND(LEN(Indices!I190)=7,MID(Indices!I190,5,2)="-T",ISNUMBER(VALUE(LEFT(Indices!I190,4))),ISNUMBER(INDEX(Indices!$A:$P,ROW(Indices!I190),COLUMN(Indices!I190)+1))),VALUE(LEFT(Indices!I190,4))*4+VALUE(RIGHT(Indices!I190,1)),0)</f>
        <v/>
      </c>
    </row>
    <row r="589">
      <c r="A589" t="inlineStr">
        <is>
          <t>ICC</t>
        </is>
      </c>
      <c r="B589">
        <f>IF(AND(LEN(Indices!I191)=7,MID(Indices!I191,5,2)="-T",ISNUMBER(VALUE(LEFT(Indices!I191,4))),ISNUMBER(INDEX(Indices!$A:$P,ROW(Indices!I191),COLUMN(Indices!I191)+1))),VALUE(LEFT(Indices!I191,4))*4+VALUE(RIGHT(Indices!I191,1)),0)</f>
        <v/>
      </c>
    </row>
    <row r="590">
      <c r="A590" t="inlineStr">
        <is>
          <t>ICC</t>
        </is>
      </c>
      <c r="B590">
        <f>IF(AND(LEN(Indices!I192)=7,MID(Indices!I192,5,2)="-T",ISNUMBER(VALUE(LEFT(Indices!I192,4))),ISNUMBER(INDEX(Indices!$A:$P,ROW(Indices!I192),COLUMN(Indices!I192)+1))),VALUE(LEFT(Indices!I192,4))*4+VALUE(RIGHT(Indices!I192,1)),0)</f>
        <v/>
      </c>
    </row>
    <row r="591">
      <c r="A591" t="inlineStr">
        <is>
          <t>ICC</t>
        </is>
      </c>
      <c r="B591">
        <f>IF(AND(LEN(Indices!I193)=7,MID(Indices!I193,5,2)="-T",ISNUMBER(VALUE(LEFT(Indices!I193,4))),ISNUMBER(INDEX(Indices!$A:$P,ROW(Indices!I193),COLUMN(Indices!I193)+1))),VALUE(LEFT(Indices!I193,4))*4+VALUE(RIGHT(Indices!I193,1)),0)</f>
        <v/>
      </c>
    </row>
    <row r="592">
      <c r="A592" t="inlineStr">
        <is>
          <t>ICC</t>
        </is>
      </c>
      <c r="B592">
        <f>IF(AND(LEN(Indices!I194)=7,MID(Indices!I194,5,2)="-T",ISNUMBER(VALUE(LEFT(Indices!I194,4))),ISNUMBER(INDEX(Indices!$A:$P,ROW(Indices!I194),COLUMN(Indices!I194)+1))),VALUE(LEFT(Indices!I194,4))*4+VALUE(RIGHT(Indices!I194,1)),0)</f>
        <v/>
      </c>
    </row>
    <row r="593">
      <c r="A593" t="inlineStr">
        <is>
          <t>ICC</t>
        </is>
      </c>
      <c r="B593">
        <f>IF(AND(LEN(Indices!I195)=7,MID(Indices!I195,5,2)="-T",ISNUMBER(VALUE(LEFT(Indices!I195,4))),ISNUMBER(INDEX(Indices!$A:$P,ROW(Indices!I195),COLUMN(Indices!I195)+1))),VALUE(LEFT(Indices!I195,4))*4+VALUE(RIGHT(Indices!I195,1)),0)</f>
        <v/>
      </c>
    </row>
    <row r="594">
      <c r="A594" t="inlineStr">
        <is>
          <t>ICC</t>
        </is>
      </c>
      <c r="B594">
        <f>IF(AND(LEN(Indices!I196)=7,MID(Indices!I196,5,2)="-T",ISNUMBER(VALUE(LEFT(Indices!I196,4))),ISNUMBER(INDEX(Indices!$A:$P,ROW(Indices!I196),COLUMN(Indices!I196)+1))),VALUE(LEFT(Indices!I196,4))*4+VALUE(RIGHT(Indices!I196,1)),0)</f>
        <v/>
      </c>
    </row>
    <row r="595">
      <c r="A595" t="inlineStr">
        <is>
          <t>ICC</t>
        </is>
      </c>
      <c r="B595">
        <f>IF(AND(LEN(Indices!I197)=7,MID(Indices!I197,5,2)="-T",ISNUMBER(VALUE(LEFT(Indices!I197,4))),ISNUMBER(INDEX(Indices!$A:$P,ROW(Indices!I197),COLUMN(Indices!I197)+1))),VALUE(LEFT(Indices!I197,4))*4+VALUE(RIGHT(Indices!I197,1)),0)</f>
        <v/>
      </c>
    </row>
    <row r="596">
      <c r="A596" t="inlineStr">
        <is>
          <t>ICC</t>
        </is>
      </c>
      <c r="B596">
        <f>IF(AND(LEN(Indices!I198)=7,MID(Indices!I198,5,2)="-T",ISNUMBER(VALUE(LEFT(Indices!I198,4))),ISNUMBER(INDEX(Indices!$A:$P,ROW(Indices!I198),COLUMN(Indices!I198)+1))),VALUE(LEFT(Indices!I198,4))*4+VALUE(RIGHT(Indices!I198,1)),0)</f>
        <v/>
      </c>
    </row>
    <row r="597">
      <c r="A597" t="inlineStr">
        <is>
          <t>ICC</t>
        </is>
      </c>
      <c r="B597">
        <f>IF(AND(LEN(Indices!I199)=7,MID(Indices!I199,5,2)="-T",ISNUMBER(VALUE(LEFT(Indices!I199,4))),ISNUMBER(INDEX(Indices!$A:$P,ROW(Indices!I199),COLUMN(Indices!I199)+1))),VALUE(LEFT(Indices!I199,4))*4+VALUE(RIGHT(Indices!I199,1)),0)</f>
        <v/>
      </c>
    </row>
    <row r="598">
      <c r="A598" t="inlineStr">
        <is>
          <t>ICC</t>
        </is>
      </c>
      <c r="B598">
        <f>IF(AND(LEN(Indices!I200)=7,MID(Indices!I200,5,2)="-T",ISNUMBER(VALUE(LEFT(Indices!I200,4))),ISNUMBER(INDEX(Indices!$A:$P,ROW(Indices!I200),COLUMN(Indices!I200)+1))),VALUE(LEFT(Indices!I200,4))*4+VALUE(RIGHT(Indices!I200,1)),0)</f>
        <v/>
      </c>
    </row>
    <row r="599">
      <c r="A599" t="inlineStr">
        <is>
          <t>ICC</t>
        </is>
      </c>
      <c r="B599">
        <f>IF(AND(LEN(Indices!I201)=7,MID(Indices!I201,5,2)="-T",ISNUMBER(VALUE(LEFT(Indices!I201,4))),ISNUMBER(INDEX(Indices!$A:$P,ROW(Indices!I201),COLUMN(Indices!I201)+1))),VALUE(LEFT(Indices!I201,4))*4+VALUE(RIGHT(Indices!I201,1)),0)</f>
        <v/>
      </c>
    </row>
    <row r="600">
      <c r="A600" t="inlineStr">
        <is>
          <t>ICC</t>
        </is>
      </c>
      <c r="B600">
        <f>IF(AND(LEN(Indices!I202)=7,MID(Indices!I202,5,2)="-T",ISNUMBER(VALUE(LEFT(Indices!I202,4))),ISNUMBER(INDEX(Indices!$A:$P,ROW(Indices!I202),COLUMN(Indices!I202)+1))),VALUE(LEFT(Indices!I202,4))*4+VALUE(RIGHT(Indices!I202,1)),0)</f>
        <v/>
      </c>
    </row>
    <row r="601">
      <c r="A601" t="inlineStr">
        <is>
          <t>ICC</t>
        </is>
      </c>
      <c r="B601">
        <f>IF(AND(LEN(Indices!I203)=7,MID(Indices!I203,5,2)="-T",ISNUMBER(VALUE(LEFT(Indices!I203,4))),ISNUMBER(INDEX(Indices!$A:$P,ROW(Indices!I203),COLUMN(Indices!I203)+1))),VALUE(LEFT(Indices!I203,4))*4+VALUE(RIGHT(Indices!I203,1)),0)</f>
        <v/>
      </c>
    </row>
    <row r="602">
      <c r="A602" t="inlineStr">
        <is>
          <t>IRL</t>
        </is>
      </c>
      <c r="B602">
        <f>IF(AND(LEN(Indices!M4)=7,MID(Indices!M4,5,2)="-T",ISNUMBER(VALUE(LEFT(Indices!M4,4))),ISNUMBER(INDEX(Indices!$A:$P,ROW(Indices!M4),COLUMN(Indices!M4)+1))),VALUE(LEFT(Indices!M4,4))*4+VALUE(RIGHT(Indices!M4,1)),0)</f>
        <v/>
      </c>
    </row>
    <row r="603">
      <c r="A603" t="inlineStr">
        <is>
          <t>IRL</t>
        </is>
      </c>
      <c r="B603">
        <f>IF(AND(LEN(Indices!M5)=7,MID(Indices!M5,5,2)="-T",ISNUMBER(VALUE(LEFT(Indices!M5,4))),ISNUMBER(INDEX(Indices!$A:$P,ROW(Indices!M5),COLUMN(Indices!M5)+1))),VALUE(LEFT(Indices!M5,4))*4+VALUE(RIGHT(Indices!M5,1)),0)</f>
        <v/>
      </c>
    </row>
    <row r="604">
      <c r="A604" t="inlineStr">
        <is>
          <t>IRL</t>
        </is>
      </c>
      <c r="B604">
        <f>IF(AND(LEN(Indices!M6)=7,MID(Indices!M6,5,2)="-T",ISNUMBER(VALUE(LEFT(Indices!M6,4))),ISNUMBER(INDEX(Indices!$A:$P,ROW(Indices!M6),COLUMN(Indices!M6)+1))),VALUE(LEFT(Indices!M6,4))*4+VALUE(RIGHT(Indices!M6,1)),0)</f>
        <v/>
      </c>
    </row>
    <row r="605">
      <c r="A605" t="inlineStr">
        <is>
          <t>IRL</t>
        </is>
      </c>
      <c r="B605">
        <f>IF(AND(LEN(Indices!M7)=7,MID(Indices!M7,5,2)="-T",ISNUMBER(VALUE(LEFT(Indices!M7,4))),ISNUMBER(INDEX(Indices!$A:$P,ROW(Indices!M7),COLUMN(Indices!M7)+1))),VALUE(LEFT(Indices!M7,4))*4+VALUE(RIGHT(Indices!M7,1)),0)</f>
        <v/>
      </c>
    </row>
    <row r="606">
      <c r="A606" t="inlineStr">
        <is>
          <t>IRL</t>
        </is>
      </c>
      <c r="B606">
        <f>IF(AND(LEN(Indices!M8)=7,MID(Indices!M8,5,2)="-T",ISNUMBER(VALUE(LEFT(Indices!M8,4))),ISNUMBER(INDEX(Indices!$A:$P,ROW(Indices!M8),COLUMN(Indices!M8)+1))),VALUE(LEFT(Indices!M8,4))*4+VALUE(RIGHT(Indices!M8,1)),0)</f>
        <v/>
      </c>
    </row>
    <row r="607">
      <c r="A607" t="inlineStr">
        <is>
          <t>IRL</t>
        </is>
      </c>
      <c r="B607">
        <f>IF(AND(LEN(Indices!M9)=7,MID(Indices!M9,5,2)="-T",ISNUMBER(VALUE(LEFT(Indices!M9,4))),ISNUMBER(INDEX(Indices!$A:$P,ROW(Indices!M9),COLUMN(Indices!M9)+1))),VALUE(LEFT(Indices!M9,4))*4+VALUE(RIGHT(Indices!M9,1)),0)</f>
        <v/>
      </c>
    </row>
    <row r="608">
      <c r="A608" t="inlineStr">
        <is>
          <t>IRL</t>
        </is>
      </c>
      <c r="B608">
        <f>IF(AND(LEN(Indices!M10)=7,MID(Indices!M10,5,2)="-T",ISNUMBER(VALUE(LEFT(Indices!M10,4))),ISNUMBER(INDEX(Indices!$A:$P,ROW(Indices!M10),COLUMN(Indices!M10)+1))),VALUE(LEFT(Indices!M10,4))*4+VALUE(RIGHT(Indices!M10,1)),0)</f>
        <v/>
      </c>
    </row>
    <row r="609">
      <c r="A609" t="inlineStr">
        <is>
          <t>IRL</t>
        </is>
      </c>
      <c r="B609">
        <f>IF(AND(LEN(Indices!M11)=7,MID(Indices!M11,5,2)="-T",ISNUMBER(VALUE(LEFT(Indices!M11,4))),ISNUMBER(INDEX(Indices!$A:$P,ROW(Indices!M11),COLUMN(Indices!M11)+1))),VALUE(LEFT(Indices!M11,4))*4+VALUE(RIGHT(Indices!M11,1)),0)</f>
        <v/>
      </c>
    </row>
    <row r="610">
      <c r="A610" t="inlineStr">
        <is>
          <t>IRL</t>
        </is>
      </c>
      <c r="B610">
        <f>IF(AND(LEN(Indices!M12)=7,MID(Indices!M12,5,2)="-T",ISNUMBER(VALUE(LEFT(Indices!M12,4))),ISNUMBER(INDEX(Indices!$A:$P,ROW(Indices!M12),COLUMN(Indices!M12)+1))),VALUE(LEFT(Indices!M12,4))*4+VALUE(RIGHT(Indices!M12,1)),0)</f>
        <v/>
      </c>
    </row>
    <row r="611">
      <c r="A611" t="inlineStr">
        <is>
          <t>IRL</t>
        </is>
      </c>
      <c r="B611">
        <f>IF(AND(LEN(Indices!M13)=7,MID(Indices!M13,5,2)="-T",ISNUMBER(VALUE(LEFT(Indices!M13,4))),ISNUMBER(INDEX(Indices!$A:$P,ROW(Indices!M13),COLUMN(Indices!M13)+1))),VALUE(LEFT(Indices!M13,4))*4+VALUE(RIGHT(Indices!M13,1)),0)</f>
        <v/>
      </c>
    </row>
    <row r="612">
      <c r="A612" t="inlineStr">
        <is>
          <t>IRL</t>
        </is>
      </c>
      <c r="B612">
        <f>IF(AND(LEN(Indices!M14)=7,MID(Indices!M14,5,2)="-T",ISNUMBER(VALUE(LEFT(Indices!M14,4))),ISNUMBER(INDEX(Indices!$A:$P,ROW(Indices!M14),COLUMN(Indices!M14)+1))),VALUE(LEFT(Indices!M14,4))*4+VALUE(RIGHT(Indices!M14,1)),0)</f>
        <v/>
      </c>
    </row>
    <row r="613">
      <c r="A613" t="inlineStr">
        <is>
          <t>IRL</t>
        </is>
      </c>
      <c r="B613">
        <f>IF(AND(LEN(Indices!M15)=7,MID(Indices!M15,5,2)="-T",ISNUMBER(VALUE(LEFT(Indices!M15,4))),ISNUMBER(INDEX(Indices!$A:$P,ROW(Indices!M15),COLUMN(Indices!M15)+1))),VALUE(LEFT(Indices!M15,4))*4+VALUE(RIGHT(Indices!M15,1)),0)</f>
        <v/>
      </c>
    </row>
    <row r="614">
      <c r="A614" t="inlineStr">
        <is>
          <t>IRL</t>
        </is>
      </c>
      <c r="B614">
        <f>IF(AND(LEN(Indices!M16)=7,MID(Indices!M16,5,2)="-T",ISNUMBER(VALUE(LEFT(Indices!M16,4))),ISNUMBER(INDEX(Indices!$A:$P,ROW(Indices!M16),COLUMN(Indices!M16)+1))),VALUE(LEFT(Indices!M16,4))*4+VALUE(RIGHT(Indices!M16,1)),0)</f>
        <v/>
      </c>
    </row>
    <row r="615">
      <c r="A615" t="inlineStr">
        <is>
          <t>IRL</t>
        </is>
      </c>
      <c r="B615">
        <f>IF(AND(LEN(Indices!M17)=7,MID(Indices!M17,5,2)="-T",ISNUMBER(VALUE(LEFT(Indices!M17,4))),ISNUMBER(INDEX(Indices!$A:$P,ROW(Indices!M17),COLUMN(Indices!M17)+1))),VALUE(LEFT(Indices!M17,4))*4+VALUE(RIGHT(Indices!M17,1)),0)</f>
        <v/>
      </c>
    </row>
    <row r="616">
      <c r="A616" t="inlineStr">
        <is>
          <t>IRL</t>
        </is>
      </c>
      <c r="B616">
        <f>IF(AND(LEN(Indices!M18)=7,MID(Indices!M18,5,2)="-T",ISNUMBER(VALUE(LEFT(Indices!M18,4))),ISNUMBER(INDEX(Indices!$A:$P,ROW(Indices!M18),COLUMN(Indices!M18)+1))),VALUE(LEFT(Indices!M18,4))*4+VALUE(RIGHT(Indices!M18,1)),0)</f>
        <v/>
      </c>
    </row>
    <row r="617">
      <c r="A617" t="inlineStr">
        <is>
          <t>IRL</t>
        </is>
      </c>
      <c r="B617">
        <f>IF(AND(LEN(Indices!M19)=7,MID(Indices!M19,5,2)="-T",ISNUMBER(VALUE(LEFT(Indices!M19,4))),ISNUMBER(INDEX(Indices!$A:$P,ROW(Indices!M19),COLUMN(Indices!M19)+1))),VALUE(LEFT(Indices!M19,4))*4+VALUE(RIGHT(Indices!M19,1)),0)</f>
        <v/>
      </c>
    </row>
    <row r="618">
      <c r="A618" t="inlineStr">
        <is>
          <t>IRL</t>
        </is>
      </c>
      <c r="B618">
        <f>IF(AND(LEN(Indices!M20)=7,MID(Indices!M20,5,2)="-T",ISNUMBER(VALUE(LEFT(Indices!M20,4))),ISNUMBER(INDEX(Indices!$A:$P,ROW(Indices!M20),COLUMN(Indices!M20)+1))),VALUE(LEFT(Indices!M20,4))*4+VALUE(RIGHT(Indices!M20,1)),0)</f>
        <v/>
      </c>
    </row>
    <row r="619">
      <c r="A619" t="inlineStr">
        <is>
          <t>IRL</t>
        </is>
      </c>
      <c r="B619">
        <f>IF(AND(LEN(Indices!M21)=7,MID(Indices!M21,5,2)="-T",ISNUMBER(VALUE(LEFT(Indices!M21,4))),ISNUMBER(INDEX(Indices!$A:$P,ROW(Indices!M21),COLUMN(Indices!M21)+1))),VALUE(LEFT(Indices!M21,4))*4+VALUE(RIGHT(Indices!M21,1)),0)</f>
        <v/>
      </c>
    </row>
    <row r="620">
      <c r="A620" t="inlineStr">
        <is>
          <t>IRL</t>
        </is>
      </c>
      <c r="B620">
        <f>IF(AND(LEN(Indices!M22)=7,MID(Indices!M22,5,2)="-T",ISNUMBER(VALUE(LEFT(Indices!M22,4))),ISNUMBER(INDEX(Indices!$A:$P,ROW(Indices!M22),COLUMN(Indices!M22)+1))),VALUE(LEFT(Indices!M22,4))*4+VALUE(RIGHT(Indices!M22,1)),0)</f>
        <v/>
      </c>
    </row>
    <row r="621">
      <c r="A621" t="inlineStr">
        <is>
          <t>IRL</t>
        </is>
      </c>
      <c r="B621">
        <f>IF(AND(LEN(Indices!M23)=7,MID(Indices!M23,5,2)="-T",ISNUMBER(VALUE(LEFT(Indices!M23,4))),ISNUMBER(INDEX(Indices!$A:$P,ROW(Indices!M23),COLUMN(Indices!M23)+1))),VALUE(LEFT(Indices!M23,4))*4+VALUE(RIGHT(Indices!M23,1)),0)</f>
        <v/>
      </c>
    </row>
    <row r="622">
      <c r="A622" t="inlineStr">
        <is>
          <t>IRL</t>
        </is>
      </c>
      <c r="B622">
        <f>IF(AND(LEN(Indices!M24)=7,MID(Indices!M24,5,2)="-T",ISNUMBER(VALUE(LEFT(Indices!M24,4))),ISNUMBER(INDEX(Indices!$A:$P,ROW(Indices!M24),COLUMN(Indices!M24)+1))),VALUE(LEFT(Indices!M24,4))*4+VALUE(RIGHT(Indices!M24,1)),0)</f>
        <v/>
      </c>
    </row>
    <row r="623">
      <c r="A623" t="inlineStr">
        <is>
          <t>IRL</t>
        </is>
      </c>
      <c r="B623">
        <f>IF(AND(LEN(Indices!M25)=7,MID(Indices!M25,5,2)="-T",ISNUMBER(VALUE(LEFT(Indices!M25,4))),ISNUMBER(INDEX(Indices!$A:$P,ROW(Indices!M25),COLUMN(Indices!M25)+1))),VALUE(LEFT(Indices!M25,4))*4+VALUE(RIGHT(Indices!M25,1)),0)</f>
        <v/>
      </c>
    </row>
    <row r="624">
      <c r="A624" t="inlineStr">
        <is>
          <t>IRL</t>
        </is>
      </c>
      <c r="B624">
        <f>IF(AND(LEN(Indices!M26)=7,MID(Indices!M26,5,2)="-T",ISNUMBER(VALUE(LEFT(Indices!M26,4))),ISNUMBER(INDEX(Indices!$A:$P,ROW(Indices!M26),COLUMN(Indices!M26)+1))),VALUE(LEFT(Indices!M26,4))*4+VALUE(RIGHT(Indices!M26,1)),0)</f>
        <v/>
      </c>
    </row>
    <row r="625">
      <c r="A625" t="inlineStr">
        <is>
          <t>IRL</t>
        </is>
      </c>
      <c r="B625">
        <f>IF(AND(LEN(Indices!M27)=7,MID(Indices!M27,5,2)="-T",ISNUMBER(VALUE(LEFT(Indices!M27,4))),ISNUMBER(INDEX(Indices!$A:$P,ROW(Indices!M27),COLUMN(Indices!M27)+1))),VALUE(LEFT(Indices!M27,4))*4+VALUE(RIGHT(Indices!M27,1)),0)</f>
        <v/>
      </c>
    </row>
    <row r="626">
      <c r="A626" t="inlineStr">
        <is>
          <t>IRL</t>
        </is>
      </c>
      <c r="B626">
        <f>IF(AND(LEN(Indices!M28)=7,MID(Indices!M28,5,2)="-T",ISNUMBER(VALUE(LEFT(Indices!M28,4))),ISNUMBER(INDEX(Indices!$A:$P,ROW(Indices!M28),COLUMN(Indices!M28)+1))),VALUE(LEFT(Indices!M28,4))*4+VALUE(RIGHT(Indices!M28,1)),0)</f>
        <v/>
      </c>
    </row>
    <row r="627">
      <c r="A627" t="inlineStr">
        <is>
          <t>IRL</t>
        </is>
      </c>
      <c r="B627">
        <f>IF(AND(LEN(Indices!M29)=7,MID(Indices!M29,5,2)="-T",ISNUMBER(VALUE(LEFT(Indices!M29,4))),ISNUMBER(INDEX(Indices!$A:$P,ROW(Indices!M29),COLUMN(Indices!M29)+1))),VALUE(LEFT(Indices!M29,4))*4+VALUE(RIGHT(Indices!M29,1)),0)</f>
        <v/>
      </c>
    </row>
    <row r="628">
      <c r="A628" t="inlineStr">
        <is>
          <t>IRL</t>
        </is>
      </c>
      <c r="B628">
        <f>IF(AND(LEN(Indices!M30)=7,MID(Indices!M30,5,2)="-T",ISNUMBER(VALUE(LEFT(Indices!M30,4))),ISNUMBER(INDEX(Indices!$A:$P,ROW(Indices!M30),COLUMN(Indices!M30)+1))),VALUE(LEFT(Indices!M30,4))*4+VALUE(RIGHT(Indices!M30,1)),0)</f>
        <v/>
      </c>
    </row>
    <row r="629">
      <c r="A629" t="inlineStr">
        <is>
          <t>IRL</t>
        </is>
      </c>
      <c r="B629">
        <f>IF(AND(LEN(Indices!M31)=7,MID(Indices!M31,5,2)="-T",ISNUMBER(VALUE(LEFT(Indices!M31,4))),ISNUMBER(INDEX(Indices!$A:$P,ROW(Indices!M31),COLUMN(Indices!M31)+1))),VALUE(LEFT(Indices!M31,4))*4+VALUE(RIGHT(Indices!M31,1)),0)</f>
        <v/>
      </c>
    </row>
    <row r="630">
      <c r="A630" t="inlineStr">
        <is>
          <t>IRL</t>
        </is>
      </c>
      <c r="B630">
        <f>IF(AND(LEN(Indices!M32)=7,MID(Indices!M32,5,2)="-T",ISNUMBER(VALUE(LEFT(Indices!M32,4))),ISNUMBER(INDEX(Indices!$A:$P,ROW(Indices!M32),COLUMN(Indices!M32)+1))),VALUE(LEFT(Indices!M32,4))*4+VALUE(RIGHT(Indices!M32,1)),0)</f>
        <v/>
      </c>
    </row>
    <row r="631">
      <c r="A631" t="inlineStr">
        <is>
          <t>IRL</t>
        </is>
      </c>
      <c r="B631">
        <f>IF(AND(LEN(Indices!M33)=7,MID(Indices!M33,5,2)="-T",ISNUMBER(VALUE(LEFT(Indices!M33,4))),ISNUMBER(INDEX(Indices!$A:$P,ROW(Indices!M33),COLUMN(Indices!M33)+1))),VALUE(LEFT(Indices!M33,4))*4+VALUE(RIGHT(Indices!M33,1)),0)</f>
        <v/>
      </c>
    </row>
    <row r="632">
      <c r="A632" t="inlineStr">
        <is>
          <t>IRL</t>
        </is>
      </c>
      <c r="B632">
        <f>IF(AND(LEN(Indices!M34)=7,MID(Indices!M34,5,2)="-T",ISNUMBER(VALUE(LEFT(Indices!M34,4))),ISNUMBER(INDEX(Indices!$A:$P,ROW(Indices!M34),COLUMN(Indices!M34)+1))),VALUE(LEFT(Indices!M34,4))*4+VALUE(RIGHT(Indices!M34,1)),0)</f>
        <v/>
      </c>
    </row>
    <row r="633">
      <c r="A633" t="inlineStr">
        <is>
          <t>IRL</t>
        </is>
      </c>
      <c r="B633">
        <f>IF(AND(LEN(Indices!M35)=7,MID(Indices!M35,5,2)="-T",ISNUMBER(VALUE(LEFT(Indices!M35,4))),ISNUMBER(INDEX(Indices!$A:$P,ROW(Indices!M35),COLUMN(Indices!M35)+1))),VALUE(LEFT(Indices!M35,4))*4+VALUE(RIGHT(Indices!M35,1)),0)</f>
        <v/>
      </c>
    </row>
    <row r="634">
      <c r="A634" t="inlineStr">
        <is>
          <t>IRL</t>
        </is>
      </c>
      <c r="B634">
        <f>IF(AND(LEN(Indices!M36)=7,MID(Indices!M36,5,2)="-T",ISNUMBER(VALUE(LEFT(Indices!M36,4))),ISNUMBER(INDEX(Indices!$A:$P,ROW(Indices!M36),COLUMN(Indices!M36)+1))),VALUE(LEFT(Indices!M36,4))*4+VALUE(RIGHT(Indices!M36,1)),0)</f>
        <v/>
      </c>
    </row>
    <row r="635">
      <c r="A635" t="inlineStr">
        <is>
          <t>IRL</t>
        </is>
      </c>
      <c r="B635">
        <f>IF(AND(LEN(Indices!M37)=7,MID(Indices!M37,5,2)="-T",ISNUMBER(VALUE(LEFT(Indices!M37,4))),ISNUMBER(INDEX(Indices!$A:$P,ROW(Indices!M37),COLUMN(Indices!M37)+1))),VALUE(LEFT(Indices!M37,4))*4+VALUE(RIGHT(Indices!M37,1)),0)</f>
        <v/>
      </c>
    </row>
    <row r="636">
      <c r="A636" t="inlineStr">
        <is>
          <t>IRL</t>
        </is>
      </c>
      <c r="B636">
        <f>IF(AND(LEN(Indices!M38)=7,MID(Indices!M38,5,2)="-T",ISNUMBER(VALUE(LEFT(Indices!M38,4))),ISNUMBER(INDEX(Indices!$A:$P,ROW(Indices!M38),COLUMN(Indices!M38)+1))),VALUE(LEFT(Indices!M38,4))*4+VALUE(RIGHT(Indices!M38,1)),0)</f>
        <v/>
      </c>
    </row>
    <row r="637">
      <c r="A637" t="inlineStr">
        <is>
          <t>IRL</t>
        </is>
      </c>
      <c r="B637">
        <f>IF(AND(LEN(Indices!M39)=7,MID(Indices!M39,5,2)="-T",ISNUMBER(VALUE(LEFT(Indices!M39,4))),ISNUMBER(INDEX(Indices!$A:$P,ROW(Indices!M39),COLUMN(Indices!M39)+1))),VALUE(LEFT(Indices!M39,4))*4+VALUE(RIGHT(Indices!M39,1)),0)</f>
        <v/>
      </c>
    </row>
    <row r="638">
      <c r="A638" t="inlineStr">
        <is>
          <t>IRL</t>
        </is>
      </c>
      <c r="B638">
        <f>IF(AND(LEN(Indices!M40)=7,MID(Indices!M40,5,2)="-T",ISNUMBER(VALUE(LEFT(Indices!M40,4))),ISNUMBER(INDEX(Indices!$A:$P,ROW(Indices!M40),COLUMN(Indices!M40)+1))),VALUE(LEFT(Indices!M40,4))*4+VALUE(RIGHT(Indices!M40,1)),0)</f>
        <v/>
      </c>
    </row>
    <row r="639">
      <c r="A639" t="inlineStr">
        <is>
          <t>IRL</t>
        </is>
      </c>
      <c r="B639">
        <f>IF(AND(LEN(Indices!M41)=7,MID(Indices!M41,5,2)="-T",ISNUMBER(VALUE(LEFT(Indices!M41,4))),ISNUMBER(INDEX(Indices!$A:$P,ROW(Indices!M41),COLUMN(Indices!M41)+1))),VALUE(LEFT(Indices!M41,4))*4+VALUE(RIGHT(Indices!M41,1)),0)</f>
        <v/>
      </c>
    </row>
    <row r="640">
      <c r="A640" t="inlineStr">
        <is>
          <t>IRL</t>
        </is>
      </c>
      <c r="B640">
        <f>IF(AND(LEN(Indices!M42)=7,MID(Indices!M42,5,2)="-T",ISNUMBER(VALUE(LEFT(Indices!M42,4))),ISNUMBER(INDEX(Indices!$A:$P,ROW(Indices!M42),COLUMN(Indices!M42)+1))),VALUE(LEFT(Indices!M42,4))*4+VALUE(RIGHT(Indices!M42,1)),0)</f>
        <v/>
      </c>
    </row>
    <row r="641">
      <c r="A641" t="inlineStr">
        <is>
          <t>IRL</t>
        </is>
      </c>
      <c r="B641">
        <f>IF(AND(LEN(Indices!M43)=7,MID(Indices!M43,5,2)="-T",ISNUMBER(VALUE(LEFT(Indices!M43,4))),ISNUMBER(INDEX(Indices!$A:$P,ROW(Indices!M43),COLUMN(Indices!M43)+1))),VALUE(LEFT(Indices!M43,4))*4+VALUE(RIGHT(Indices!M43,1)),0)</f>
        <v/>
      </c>
    </row>
    <row r="642">
      <c r="A642" t="inlineStr">
        <is>
          <t>IRL</t>
        </is>
      </c>
      <c r="B642">
        <f>IF(AND(LEN(Indices!M44)=7,MID(Indices!M44,5,2)="-T",ISNUMBER(VALUE(LEFT(Indices!M44,4))),ISNUMBER(INDEX(Indices!$A:$P,ROW(Indices!M44),COLUMN(Indices!M44)+1))),VALUE(LEFT(Indices!M44,4))*4+VALUE(RIGHT(Indices!M44,1)),0)</f>
        <v/>
      </c>
    </row>
    <row r="643">
      <c r="A643" t="inlineStr">
        <is>
          <t>IRL</t>
        </is>
      </c>
      <c r="B643">
        <f>IF(AND(LEN(Indices!M45)=7,MID(Indices!M45,5,2)="-T",ISNUMBER(VALUE(LEFT(Indices!M45,4))),ISNUMBER(INDEX(Indices!$A:$P,ROW(Indices!M45),COLUMN(Indices!M45)+1))),VALUE(LEFT(Indices!M45,4))*4+VALUE(RIGHT(Indices!M45,1)),0)</f>
        <v/>
      </c>
    </row>
    <row r="644">
      <c r="A644" t="inlineStr">
        <is>
          <t>IRL</t>
        </is>
      </c>
      <c r="B644">
        <f>IF(AND(LEN(Indices!M46)=7,MID(Indices!M46,5,2)="-T",ISNUMBER(VALUE(LEFT(Indices!M46,4))),ISNUMBER(INDEX(Indices!$A:$P,ROW(Indices!M46),COLUMN(Indices!M46)+1))),VALUE(LEFT(Indices!M46,4))*4+VALUE(RIGHT(Indices!M46,1)),0)</f>
        <v/>
      </c>
    </row>
    <row r="645">
      <c r="A645" t="inlineStr">
        <is>
          <t>IRL</t>
        </is>
      </c>
      <c r="B645">
        <f>IF(AND(LEN(Indices!M47)=7,MID(Indices!M47,5,2)="-T",ISNUMBER(VALUE(LEFT(Indices!M47,4))),ISNUMBER(INDEX(Indices!$A:$P,ROW(Indices!M47),COLUMN(Indices!M47)+1))),VALUE(LEFT(Indices!M47,4))*4+VALUE(RIGHT(Indices!M47,1)),0)</f>
        <v/>
      </c>
    </row>
    <row r="646">
      <c r="A646" t="inlineStr">
        <is>
          <t>IRL</t>
        </is>
      </c>
      <c r="B646">
        <f>IF(AND(LEN(Indices!M48)=7,MID(Indices!M48,5,2)="-T",ISNUMBER(VALUE(LEFT(Indices!M48,4))),ISNUMBER(INDEX(Indices!$A:$P,ROW(Indices!M48),COLUMN(Indices!M48)+1))),VALUE(LEFT(Indices!M48,4))*4+VALUE(RIGHT(Indices!M48,1)),0)</f>
        <v/>
      </c>
    </row>
    <row r="647">
      <c r="A647" t="inlineStr">
        <is>
          <t>IRL</t>
        </is>
      </c>
      <c r="B647">
        <f>IF(AND(LEN(Indices!M49)=7,MID(Indices!M49,5,2)="-T",ISNUMBER(VALUE(LEFT(Indices!M49,4))),ISNUMBER(INDEX(Indices!$A:$P,ROW(Indices!M49),COLUMN(Indices!M49)+1))),VALUE(LEFT(Indices!M49,4))*4+VALUE(RIGHT(Indices!M49,1)),0)</f>
        <v/>
      </c>
    </row>
    <row r="648">
      <c r="A648" t="inlineStr">
        <is>
          <t>IRL</t>
        </is>
      </c>
      <c r="B648">
        <f>IF(AND(LEN(Indices!M50)=7,MID(Indices!M50,5,2)="-T",ISNUMBER(VALUE(LEFT(Indices!M50,4))),ISNUMBER(INDEX(Indices!$A:$P,ROW(Indices!M50),COLUMN(Indices!M50)+1))),VALUE(LEFT(Indices!M50,4))*4+VALUE(RIGHT(Indices!M50,1)),0)</f>
        <v/>
      </c>
    </row>
    <row r="649">
      <c r="A649" t="inlineStr">
        <is>
          <t>IRL</t>
        </is>
      </c>
      <c r="B649">
        <f>IF(AND(LEN(Indices!M51)=7,MID(Indices!M51,5,2)="-T",ISNUMBER(VALUE(LEFT(Indices!M51,4))),ISNUMBER(INDEX(Indices!$A:$P,ROW(Indices!M51),COLUMN(Indices!M51)+1))),VALUE(LEFT(Indices!M51,4))*4+VALUE(RIGHT(Indices!M51,1)),0)</f>
        <v/>
      </c>
    </row>
    <row r="650">
      <c r="A650" t="inlineStr">
        <is>
          <t>IRL</t>
        </is>
      </c>
      <c r="B650">
        <f>IF(AND(LEN(Indices!M52)=7,MID(Indices!M52,5,2)="-T",ISNUMBER(VALUE(LEFT(Indices!M52,4))),ISNUMBER(INDEX(Indices!$A:$P,ROW(Indices!M52),COLUMN(Indices!M52)+1))),VALUE(LEFT(Indices!M52,4))*4+VALUE(RIGHT(Indices!M52,1)),0)</f>
        <v/>
      </c>
    </row>
    <row r="651">
      <c r="A651" t="inlineStr">
        <is>
          <t>IRL</t>
        </is>
      </c>
      <c r="B651">
        <f>IF(AND(LEN(Indices!M53)=7,MID(Indices!M53,5,2)="-T",ISNUMBER(VALUE(LEFT(Indices!M53,4))),ISNUMBER(INDEX(Indices!$A:$P,ROW(Indices!M53),COLUMN(Indices!M53)+1))),VALUE(LEFT(Indices!M53,4))*4+VALUE(RIGHT(Indices!M53,1)),0)</f>
        <v/>
      </c>
    </row>
    <row r="652">
      <c r="A652" t="inlineStr">
        <is>
          <t>IRL</t>
        </is>
      </c>
      <c r="B652">
        <f>IF(AND(LEN(Indices!M54)=7,MID(Indices!M54,5,2)="-T",ISNUMBER(VALUE(LEFT(Indices!M54,4))),ISNUMBER(INDEX(Indices!$A:$P,ROW(Indices!M54),COLUMN(Indices!M54)+1))),VALUE(LEFT(Indices!M54,4))*4+VALUE(RIGHT(Indices!M54,1)),0)</f>
        <v/>
      </c>
    </row>
    <row r="653">
      <c r="A653" t="inlineStr">
        <is>
          <t>IRL</t>
        </is>
      </c>
      <c r="B653">
        <f>IF(AND(LEN(Indices!M55)=7,MID(Indices!M55,5,2)="-T",ISNUMBER(VALUE(LEFT(Indices!M55,4))),ISNUMBER(INDEX(Indices!$A:$P,ROW(Indices!M55),COLUMN(Indices!M55)+1))),VALUE(LEFT(Indices!M55,4))*4+VALUE(RIGHT(Indices!M55,1)),0)</f>
        <v/>
      </c>
    </row>
    <row r="654">
      <c r="A654" t="inlineStr">
        <is>
          <t>IRL</t>
        </is>
      </c>
      <c r="B654">
        <f>IF(AND(LEN(Indices!M56)=7,MID(Indices!M56,5,2)="-T",ISNUMBER(VALUE(LEFT(Indices!M56,4))),ISNUMBER(INDEX(Indices!$A:$P,ROW(Indices!M56),COLUMN(Indices!M56)+1))),VALUE(LEFT(Indices!M56,4))*4+VALUE(RIGHT(Indices!M56,1)),0)</f>
        <v/>
      </c>
    </row>
    <row r="655">
      <c r="A655" t="inlineStr">
        <is>
          <t>IRL</t>
        </is>
      </c>
      <c r="B655">
        <f>IF(AND(LEN(Indices!M57)=7,MID(Indices!M57,5,2)="-T",ISNUMBER(VALUE(LEFT(Indices!M57,4))),ISNUMBER(INDEX(Indices!$A:$P,ROW(Indices!M57),COLUMN(Indices!M57)+1))),VALUE(LEFT(Indices!M57,4))*4+VALUE(RIGHT(Indices!M57,1)),0)</f>
        <v/>
      </c>
    </row>
    <row r="656">
      <c r="A656" t="inlineStr">
        <is>
          <t>IRL</t>
        </is>
      </c>
      <c r="B656">
        <f>IF(AND(LEN(Indices!M58)=7,MID(Indices!M58,5,2)="-T",ISNUMBER(VALUE(LEFT(Indices!M58,4))),ISNUMBER(INDEX(Indices!$A:$P,ROW(Indices!M58),COLUMN(Indices!M58)+1))),VALUE(LEFT(Indices!M58,4))*4+VALUE(RIGHT(Indices!M58,1)),0)</f>
        <v/>
      </c>
    </row>
    <row r="657">
      <c r="A657" t="inlineStr">
        <is>
          <t>IRL</t>
        </is>
      </c>
      <c r="B657">
        <f>IF(AND(LEN(Indices!M59)=7,MID(Indices!M59,5,2)="-T",ISNUMBER(VALUE(LEFT(Indices!M59,4))),ISNUMBER(INDEX(Indices!$A:$P,ROW(Indices!M59),COLUMN(Indices!M59)+1))),VALUE(LEFT(Indices!M59,4))*4+VALUE(RIGHT(Indices!M59,1)),0)</f>
        <v/>
      </c>
    </row>
    <row r="658">
      <c r="A658" t="inlineStr">
        <is>
          <t>IRL</t>
        </is>
      </c>
      <c r="B658">
        <f>IF(AND(LEN(Indices!M60)=7,MID(Indices!M60,5,2)="-T",ISNUMBER(VALUE(LEFT(Indices!M60,4))),ISNUMBER(INDEX(Indices!$A:$P,ROW(Indices!M60),COLUMN(Indices!M60)+1))),VALUE(LEFT(Indices!M60,4))*4+VALUE(RIGHT(Indices!M60,1)),0)</f>
        <v/>
      </c>
    </row>
    <row r="659">
      <c r="A659" t="inlineStr">
        <is>
          <t>IRL</t>
        </is>
      </c>
      <c r="B659">
        <f>IF(AND(LEN(Indices!M61)=7,MID(Indices!M61,5,2)="-T",ISNUMBER(VALUE(LEFT(Indices!M61,4))),ISNUMBER(INDEX(Indices!$A:$P,ROW(Indices!M61),COLUMN(Indices!M61)+1))),VALUE(LEFT(Indices!M61,4))*4+VALUE(RIGHT(Indices!M61,1)),0)</f>
        <v/>
      </c>
    </row>
    <row r="660">
      <c r="A660" t="inlineStr">
        <is>
          <t>IRL</t>
        </is>
      </c>
      <c r="B660">
        <f>IF(AND(LEN(Indices!M62)=7,MID(Indices!M62,5,2)="-T",ISNUMBER(VALUE(LEFT(Indices!M62,4))),ISNUMBER(INDEX(Indices!$A:$P,ROW(Indices!M62),COLUMN(Indices!M62)+1))),VALUE(LEFT(Indices!M62,4))*4+VALUE(RIGHT(Indices!M62,1)),0)</f>
        <v/>
      </c>
    </row>
    <row r="661">
      <c r="A661" t="inlineStr">
        <is>
          <t>IRL</t>
        </is>
      </c>
      <c r="B661">
        <f>IF(AND(LEN(Indices!M63)=7,MID(Indices!M63,5,2)="-T",ISNUMBER(VALUE(LEFT(Indices!M63,4))),ISNUMBER(INDEX(Indices!$A:$P,ROW(Indices!M63),COLUMN(Indices!M63)+1))),VALUE(LEFT(Indices!M63,4))*4+VALUE(RIGHT(Indices!M63,1)),0)</f>
        <v/>
      </c>
    </row>
    <row r="662">
      <c r="A662" t="inlineStr">
        <is>
          <t>IRL</t>
        </is>
      </c>
      <c r="B662">
        <f>IF(AND(LEN(Indices!M64)=7,MID(Indices!M64,5,2)="-T",ISNUMBER(VALUE(LEFT(Indices!M64,4))),ISNUMBER(INDEX(Indices!$A:$P,ROW(Indices!M64),COLUMN(Indices!M64)+1))),VALUE(LEFT(Indices!M64,4))*4+VALUE(RIGHT(Indices!M64,1)),0)</f>
        <v/>
      </c>
    </row>
    <row r="663">
      <c r="A663" t="inlineStr">
        <is>
          <t>IRL</t>
        </is>
      </c>
      <c r="B663">
        <f>IF(AND(LEN(Indices!M65)=7,MID(Indices!M65,5,2)="-T",ISNUMBER(VALUE(LEFT(Indices!M65,4))),ISNUMBER(INDEX(Indices!$A:$P,ROW(Indices!M65),COLUMN(Indices!M65)+1))),VALUE(LEFT(Indices!M65,4))*4+VALUE(RIGHT(Indices!M65,1)),0)</f>
        <v/>
      </c>
    </row>
    <row r="664">
      <c r="A664" t="inlineStr">
        <is>
          <t>IRL</t>
        </is>
      </c>
      <c r="B664">
        <f>IF(AND(LEN(Indices!M66)=7,MID(Indices!M66,5,2)="-T",ISNUMBER(VALUE(LEFT(Indices!M66,4))),ISNUMBER(INDEX(Indices!$A:$P,ROW(Indices!M66),COLUMN(Indices!M66)+1))),VALUE(LEFT(Indices!M66,4))*4+VALUE(RIGHT(Indices!M66,1)),0)</f>
        <v/>
      </c>
    </row>
    <row r="665">
      <c r="A665" t="inlineStr">
        <is>
          <t>IRL</t>
        </is>
      </c>
      <c r="B665">
        <f>IF(AND(LEN(Indices!M67)=7,MID(Indices!M67,5,2)="-T",ISNUMBER(VALUE(LEFT(Indices!M67,4))),ISNUMBER(INDEX(Indices!$A:$P,ROW(Indices!M67),COLUMN(Indices!M67)+1))),VALUE(LEFT(Indices!M67,4))*4+VALUE(RIGHT(Indices!M67,1)),0)</f>
        <v/>
      </c>
    </row>
    <row r="666">
      <c r="A666" t="inlineStr">
        <is>
          <t>IRL</t>
        </is>
      </c>
      <c r="B666">
        <f>IF(AND(LEN(Indices!M68)=7,MID(Indices!M68,5,2)="-T",ISNUMBER(VALUE(LEFT(Indices!M68,4))),ISNUMBER(INDEX(Indices!$A:$P,ROW(Indices!M68),COLUMN(Indices!M68)+1))),VALUE(LEFT(Indices!M68,4))*4+VALUE(RIGHT(Indices!M68,1)),0)</f>
        <v/>
      </c>
    </row>
    <row r="667">
      <c r="A667" t="inlineStr">
        <is>
          <t>IRL</t>
        </is>
      </c>
      <c r="B667">
        <f>IF(AND(LEN(Indices!M69)=7,MID(Indices!M69,5,2)="-T",ISNUMBER(VALUE(LEFT(Indices!M69,4))),ISNUMBER(INDEX(Indices!$A:$P,ROW(Indices!M69),COLUMN(Indices!M69)+1))),VALUE(LEFT(Indices!M69,4))*4+VALUE(RIGHT(Indices!M69,1)),0)</f>
        <v/>
      </c>
    </row>
    <row r="668">
      <c r="A668" t="inlineStr">
        <is>
          <t>IRL</t>
        </is>
      </c>
      <c r="B668">
        <f>IF(AND(LEN(Indices!M70)=7,MID(Indices!M70,5,2)="-T",ISNUMBER(VALUE(LEFT(Indices!M70,4))),ISNUMBER(INDEX(Indices!$A:$P,ROW(Indices!M70),COLUMN(Indices!M70)+1))),VALUE(LEFT(Indices!M70,4))*4+VALUE(RIGHT(Indices!M70,1)),0)</f>
        <v/>
      </c>
    </row>
    <row r="669">
      <c r="A669" t="inlineStr">
        <is>
          <t>IRL</t>
        </is>
      </c>
      <c r="B669">
        <f>IF(AND(LEN(Indices!M71)=7,MID(Indices!M71,5,2)="-T",ISNUMBER(VALUE(LEFT(Indices!M71,4))),ISNUMBER(INDEX(Indices!$A:$P,ROW(Indices!M71),COLUMN(Indices!M71)+1))),VALUE(LEFT(Indices!M71,4))*4+VALUE(RIGHT(Indices!M71,1)),0)</f>
        <v/>
      </c>
    </row>
    <row r="670">
      <c r="A670" t="inlineStr">
        <is>
          <t>IRL</t>
        </is>
      </c>
      <c r="B670">
        <f>IF(AND(LEN(Indices!M72)=7,MID(Indices!M72,5,2)="-T",ISNUMBER(VALUE(LEFT(Indices!M72,4))),ISNUMBER(INDEX(Indices!$A:$P,ROW(Indices!M72),COLUMN(Indices!M72)+1))),VALUE(LEFT(Indices!M72,4))*4+VALUE(RIGHT(Indices!M72,1)),0)</f>
        <v/>
      </c>
    </row>
    <row r="671">
      <c r="A671" t="inlineStr">
        <is>
          <t>IRL</t>
        </is>
      </c>
      <c r="B671">
        <f>IF(AND(LEN(Indices!M73)=7,MID(Indices!M73,5,2)="-T",ISNUMBER(VALUE(LEFT(Indices!M73,4))),ISNUMBER(INDEX(Indices!$A:$P,ROW(Indices!M73),COLUMN(Indices!M73)+1))),VALUE(LEFT(Indices!M73,4))*4+VALUE(RIGHT(Indices!M73,1)),0)</f>
        <v/>
      </c>
    </row>
    <row r="672">
      <c r="A672" t="inlineStr">
        <is>
          <t>IRL</t>
        </is>
      </c>
      <c r="B672">
        <f>IF(AND(LEN(Indices!M74)=7,MID(Indices!M74,5,2)="-T",ISNUMBER(VALUE(LEFT(Indices!M74,4))),ISNUMBER(INDEX(Indices!$A:$P,ROW(Indices!M74),COLUMN(Indices!M74)+1))),VALUE(LEFT(Indices!M74,4))*4+VALUE(RIGHT(Indices!M74,1)),0)</f>
        <v/>
      </c>
    </row>
    <row r="673">
      <c r="A673" t="inlineStr">
        <is>
          <t>IRL</t>
        </is>
      </c>
      <c r="B673">
        <f>IF(AND(LEN(Indices!M75)=7,MID(Indices!M75,5,2)="-T",ISNUMBER(VALUE(LEFT(Indices!M75,4))),ISNUMBER(INDEX(Indices!$A:$P,ROW(Indices!M75),COLUMN(Indices!M75)+1))),VALUE(LEFT(Indices!M75,4))*4+VALUE(RIGHT(Indices!M75,1)),0)</f>
        <v/>
      </c>
    </row>
    <row r="674">
      <c r="A674" t="inlineStr">
        <is>
          <t>IRL</t>
        </is>
      </c>
      <c r="B674">
        <f>IF(AND(LEN(Indices!M76)=7,MID(Indices!M76,5,2)="-T",ISNUMBER(VALUE(LEFT(Indices!M76,4))),ISNUMBER(INDEX(Indices!$A:$P,ROW(Indices!M76),COLUMN(Indices!M76)+1))),VALUE(LEFT(Indices!M76,4))*4+VALUE(RIGHT(Indices!M76,1)),0)</f>
        <v/>
      </c>
    </row>
    <row r="675">
      <c r="A675" t="inlineStr">
        <is>
          <t>IRL</t>
        </is>
      </c>
      <c r="B675">
        <f>IF(AND(LEN(Indices!M77)=7,MID(Indices!M77,5,2)="-T",ISNUMBER(VALUE(LEFT(Indices!M77,4))),ISNUMBER(INDEX(Indices!$A:$P,ROW(Indices!M77),COLUMN(Indices!M77)+1))),VALUE(LEFT(Indices!M77,4))*4+VALUE(RIGHT(Indices!M77,1)),0)</f>
        <v/>
      </c>
    </row>
    <row r="676">
      <c r="A676" t="inlineStr">
        <is>
          <t>IRL</t>
        </is>
      </c>
      <c r="B676">
        <f>IF(AND(LEN(Indices!M78)=7,MID(Indices!M78,5,2)="-T",ISNUMBER(VALUE(LEFT(Indices!M78,4))),ISNUMBER(INDEX(Indices!$A:$P,ROW(Indices!M78),COLUMN(Indices!M78)+1))),VALUE(LEFT(Indices!M78,4))*4+VALUE(RIGHT(Indices!M78,1)),0)</f>
        <v/>
      </c>
    </row>
    <row r="677">
      <c r="A677" t="inlineStr">
        <is>
          <t>IRL</t>
        </is>
      </c>
      <c r="B677">
        <f>IF(AND(LEN(Indices!M79)=7,MID(Indices!M79,5,2)="-T",ISNUMBER(VALUE(LEFT(Indices!M79,4))),ISNUMBER(INDEX(Indices!$A:$P,ROW(Indices!M79),COLUMN(Indices!M79)+1))),VALUE(LEFT(Indices!M79,4))*4+VALUE(RIGHT(Indices!M79,1)),0)</f>
        <v/>
      </c>
    </row>
    <row r="678">
      <c r="A678" t="inlineStr">
        <is>
          <t>IRL</t>
        </is>
      </c>
      <c r="B678">
        <f>IF(AND(LEN(Indices!M80)=7,MID(Indices!M80,5,2)="-T",ISNUMBER(VALUE(LEFT(Indices!M80,4))),ISNUMBER(INDEX(Indices!$A:$P,ROW(Indices!M80),COLUMN(Indices!M80)+1))),VALUE(LEFT(Indices!M80,4))*4+VALUE(RIGHT(Indices!M80,1)),0)</f>
        <v/>
      </c>
    </row>
    <row r="679">
      <c r="A679" t="inlineStr">
        <is>
          <t>IRL</t>
        </is>
      </c>
      <c r="B679">
        <f>IF(AND(LEN(Indices!M81)=7,MID(Indices!M81,5,2)="-T",ISNUMBER(VALUE(LEFT(Indices!M81,4))),ISNUMBER(INDEX(Indices!$A:$P,ROW(Indices!M81),COLUMN(Indices!M81)+1))),VALUE(LEFT(Indices!M81,4))*4+VALUE(RIGHT(Indices!M81,1)),0)</f>
        <v/>
      </c>
    </row>
    <row r="680">
      <c r="A680" t="inlineStr">
        <is>
          <t>IRL</t>
        </is>
      </c>
      <c r="B680">
        <f>IF(AND(LEN(Indices!M82)=7,MID(Indices!M82,5,2)="-T",ISNUMBER(VALUE(LEFT(Indices!M82,4))),ISNUMBER(INDEX(Indices!$A:$P,ROW(Indices!M82),COLUMN(Indices!M82)+1))),VALUE(LEFT(Indices!M82,4))*4+VALUE(RIGHT(Indices!M82,1)),0)</f>
        <v/>
      </c>
    </row>
    <row r="681">
      <c r="A681" t="inlineStr">
        <is>
          <t>IRL</t>
        </is>
      </c>
      <c r="B681">
        <f>IF(AND(LEN(Indices!M83)=7,MID(Indices!M83,5,2)="-T",ISNUMBER(VALUE(LEFT(Indices!M83,4))),ISNUMBER(INDEX(Indices!$A:$P,ROW(Indices!M83),COLUMN(Indices!M83)+1))),VALUE(LEFT(Indices!M83,4))*4+VALUE(RIGHT(Indices!M83,1)),0)</f>
        <v/>
      </c>
    </row>
    <row r="682">
      <c r="A682" t="inlineStr">
        <is>
          <t>IRL</t>
        </is>
      </c>
      <c r="B682">
        <f>IF(AND(LEN(Indices!M84)=7,MID(Indices!M84,5,2)="-T",ISNUMBER(VALUE(LEFT(Indices!M84,4))),ISNUMBER(INDEX(Indices!$A:$P,ROW(Indices!M84),COLUMN(Indices!M84)+1))),VALUE(LEFT(Indices!M84,4))*4+VALUE(RIGHT(Indices!M84,1)),0)</f>
        <v/>
      </c>
    </row>
    <row r="683">
      <c r="A683" t="inlineStr">
        <is>
          <t>IRL</t>
        </is>
      </c>
      <c r="B683">
        <f>IF(AND(LEN(Indices!M85)=7,MID(Indices!M85,5,2)="-T",ISNUMBER(VALUE(LEFT(Indices!M85,4))),ISNUMBER(INDEX(Indices!$A:$P,ROW(Indices!M85),COLUMN(Indices!M85)+1))),VALUE(LEFT(Indices!M85,4))*4+VALUE(RIGHT(Indices!M85,1)),0)</f>
        <v/>
      </c>
    </row>
    <row r="684">
      <c r="A684" t="inlineStr">
        <is>
          <t>IRL</t>
        </is>
      </c>
      <c r="B684">
        <f>IF(AND(LEN(Indices!M86)=7,MID(Indices!M86,5,2)="-T",ISNUMBER(VALUE(LEFT(Indices!M86,4))),ISNUMBER(INDEX(Indices!$A:$P,ROW(Indices!M86),COLUMN(Indices!M86)+1))),VALUE(LEFT(Indices!M86,4))*4+VALUE(RIGHT(Indices!M86,1)),0)</f>
        <v/>
      </c>
    </row>
    <row r="685">
      <c r="A685" t="inlineStr">
        <is>
          <t>IRL</t>
        </is>
      </c>
      <c r="B685">
        <f>IF(AND(LEN(Indices!M87)=7,MID(Indices!M87,5,2)="-T",ISNUMBER(VALUE(LEFT(Indices!M87,4))),ISNUMBER(INDEX(Indices!$A:$P,ROW(Indices!M87),COLUMN(Indices!M87)+1))),VALUE(LEFT(Indices!M87,4))*4+VALUE(RIGHT(Indices!M87,1)),0)</f>
        <v/>
      </c>
    </row>
    <row r="686">
      <c r="A686" t="inlineStr">
        <is>
          <t>IRL</t>
        </is>
      </c>
      <c r="B686">
        <f>IF(AND(LEN(Indices!M88)=7,MID(Indices!M88,5,2)="-T",ISNUMBER(VALUE(LEFT(Indices!M88,4))),ISNUMBER(INDEX(Indices!$A:$P,ROW(Indices!M88),COLUMN(Indices!M88)+1))),VALUE(LEFT(Indices!M88,4))*4+VALUE(RIGHT(Indices!M88,1)),0)</f>
        <v/>
      </c>
    </row>
    <row r="687">
      <c r="A687" t="inlineStr">
        <is>
          <t>IRL</t>
        </is>
      </c>
      <c r="B687">
        <f>IF(AND(LEN(Indices!M89)=7,MID(Indices!M89,5,2)="-T",ISNUMBER(VALUE(LEFT(Indices!M89,4))),ISNUMBER(INDEX(Indices!$A:$P,ROW(Indices!M89),COLUMN(Indices!M89)+1))),VALUE(LEFT(Indices!M89,4))*4+VALUE(RIGHT(Indices!M89,1)),0)</f>
        <v/>
      </c>
    </row>
    <row r="688">
      <c r="A688" t="inlineStr">
        <is>
          <t>IRL</t>
        </is>
      </c>
      <c r="B688">
        <f>IF(AND(LEN(Indices!M90)=7,MID(Indices!M90,5,2)="-T",ISNUMBER(VALUE(LEFT(Indices!M90,4))),ISNUMBER(INDEX(Indices!$A:$P,ROW(Indices!M90),COLUMN(Indices!M90)+1))),VALUE(LEFT(Indices!M90,4))*4+VALUE(RIGHT(Indices!M90,1)),0)</f>
        <v/>
      </c>
    </row>
    <row r="689">
      <c r="A689" t="inlineStr">
        <is>
          <t>IRL</t>
        </is>
      </c>
      <c r="B689">
        <f>IF(AND(LEN(Indices!M91)=7,MID(Indices!M91,5,2)="-T",ISNUMBER(VALUE(LEFT(Indices!M91,4))),ISNUMBER(INDEX(Indices!$A:$P,ROW(Indices!M91),COLUMN(Indices!M91)+1))),VALUE(LEFT(Indices!M91,4))*4+VALUE(RIGHT(Indices!M91,1)),0)</f>
        <v/>
      </c>
    </row>
    <row r="690">
      <c r="A690" t="inlineStr">
        <is>
          <t>IRL</t>
        </is>
      </c>
      <c r="B690">
        <f>IF(AND(LEN(Indices!M92)=7,MID(Indices!M92,5,2)="-T",ISNUMBER(VALUE(LEFT(Indices!M92,4))),ISNUMBER(INDEX(Indices!$A:$P,ROW(Indices!M92),COLUMN(Indices!M92)+1))),VALUE(LEFT(Indices!M92,4))*4+VALUE(RIGHT(Indices!M92,1)),0)</f>
        <v/>
      </c>
    </row>
    <row r="691">
      <c r="A691" t="inlineStr">
        <is>
          <t>IRL</t>
        </is>
      </c>
      <c r="B691">
        <f>IF(AND(LEN(Indices!M93)=7,MID(Indices!M93,5,2)="-T",ISNUMBER(VALUE(LEFT(Indices!M93,4))),ISNUMBER(INDEX(Indices!$A:$P,ROW(Indices!M93),COLUMN(Indices!M93)+1))),VALUE(LEFT(Indices!M93,4))*4+VALUE(RIGHT(Indices!M93,1)),0)</f>
        <v/>
      </c>
    </row>
    <row r="692">
      <c r="A692" t="inlineStr">
        <is>
          <t>IRL</t>
        </is>
      </c>
      <c r="B692">
        <f>IF(AND(LEN(Indices!M94)=7,MID(Indices!M94,5,2)="-T",ISNUMBER(VALUE(LEFT(Indices!M94,4))),ISNUMBER(INDEX(Indices!$A:$P,ROW(Indices!M94),COLUMN(Indices!M94)+1))),VALUE(LEFT(Indices!M94,4))*4+VALUE(RIGHT(Indices!M94,1)),0)</f>
        <v/>
      </c>
    </row>
    <row r="693">
      <c r="A693" t="inlineStr">
        <is>
          <t>IRL</t>
        </is>
      </c>
      <c r="B693">
        <f>IF(AND(LEN(Indices!M95)=7,MID(Indices!M95,5,2)="-T",ISNUMBER(VALUE(LEFT(Indices!M95,4))),ISNUMBER(INDEX(Indices!$A:$P,ROW(Indices!M95),COLUMN(Indices!M95)+1))),VALUE(LEFT(Indices!M95,4))*4+VALUE(RIGHT(Indices!M95,1)),0)</f>
        <v/>
      </c>
    </row>
    <row r="694">
      <c r="A694" t="inlineStr">
        <is>
          <t>IRL</t>
        </is>
      </c>
      <c r="B694">
        <f>IF(AND(LEN(Indices!M96)=7,MID(Indices!M96,5,2)="-T",ISNUMBER(VALUE(LEFT(Indices!M96,4))),ISNUMBER(INDEX(Indices!$A:$P,ROW(Indices!M96),COLUMN(Indices!M96)+1))),VALUE(LEFT(Indices!M96,4))*4+VALUE(RIGHT(Indices!M96,1)),0)</f>
        <v/>
      </c>
    </row>
    <row r="695">
      <c r="A695" t="inlineStr">
        <is>
          <t>IRL</t>
        </is>
      </c>
      <c r="B695">
        <f>IF(AND(LEN(Indices!M97)=7,MID(Indices!M97,5,2)="-T",ISNUMBER(VALUE(LEFT(Indices!M97,4))),ISNUMBER(INDEX(Indices!$A:$P,ROW(Indices!M97),COLUMN(Indices!M97)+1))),VALUE(LEFT(Indices!M97,4))*4+VALUE(RIGHT(Indices!M97,1)),0)</f>
        <v/>
      </c>
    </row>
    <row r="696">
      <c r="A696" t="inlineStr">
        <is>
          <t>IRL</t>
        </is>
      </c>
      <c r="B696">
        <f>IF(AND(LEN(Indices!M98)=7,MID(Indices!M98,5,2)="-T",ISNUMBER(VALUE(LEFT(Indices!M98,4))),ISNUMBER(INDEX(Indices!$A:$P,ROW(Indices!M98),COLUMN(Indices!M98)+1))),VALUE(LEFT(Indices!M98,4))*4+VALUE(RIGHT(Indices!M98,1)),0)</f>
        <v/>
      </c>
    </row>
    <row r="697">
      <c r="A697" t="inlineStr">
        <is>
          <t>IRL</t>
        </is>
      </c>
      <c r="B697">
        <f>IF(AND(LEN(Indices!M99)=7,MID(Indices!M99,5,2)="-T",ISNUMBER(VALUE(LEFT(Indices!M99,4))),ISNUMBER(INDEX(Indices!$A:$P,ROW(Indices!M99),COLUMN(Indices!M99)+1))),VALUE(LEFT(Indices!M99,4))*4+VALUE(RIGHT(Indices!M99,1)),0)</f>
        <v/>
      </c>
    </row>
    <row r="698">
      <c r="A698" t="inlineStr">
        <is>
          <t>IRL</t>
        </is>
      </c>
      <c r="B698">
        <f>IF(AND(LEN(Indices!M100)=7,MID(Indices!M100,5,2)="-T",ISNUMBER(VALUE(LEFT(Indices!M100,4))),ISNUMBER(INDEX(Indices!$A:$P,ROW(Indices!M100),COLUMN(Indices!M100)+1))),VALUE(LEFT(Indices!M100,4))*4+VALUE(RIGHT(Indices!M100,1)),0)</f>
        <v/>
      </c>
    </row>
    <row r="699">
      <c r="A699" t="inlineStr">
        <is>
          <t>IRL</t>
        </is>
      </c>
      <c r="B699">
        <f>IF(AND(LEN(Indices!M101)=7,MID(Indices!M101,5,2)="-T",ISNUMBER(VALUE(LEFT(Indices!M101,4))),ISNUMBER(INDEX(Indices!$A:$P,ROW(Indices!M101),COLUMN(Indices!M101)+1))),VALUE(LEFT(Indices!M101,4))*4+VALUE(RIGHT(Indices!M101,1)),0)</f>
        <v/>
      </c>
    </row>
    <row r="700">
      <c r="A700" t="inlineStr">
        <is>
          <t>IRL</t>
        </is>
      </c>
      <c r="B700">
        <f>IF(AND(LEN(Indices!M102)=7,MID(Indices!M102,5,2)="-T",ISNUMBER(VALUE(LEFT(Indices!M102,4))),ISNUMBER(INDEX(Indices!$A:$P,ROW(Indices!M102),COLUMN(Indices!M102)+1))),VALUE(LEFT(Indices!M102,4))*4+VALUE(RIGHT(Indices!M102,1)),0)</f>
        <v/>
      </c>
    </row>
    <row r="701">
      <c r="A701" t="inlineStr">
        <is>
          <t>IRL</t>
        </is>
      </c>
      <c r="B701">
        <f>IF(AND(LEN(Indices!M103)=7,MID(Indices!M103,5,2)="-T",ISNUMBER(VALUE(LEFT(Indices!M103,4))),ISNUMBER(INDEX(Indices!$A:$P,ROW(Indices!M103),COLUMN(Indices!M103)+1))),VALUE(LEFT(Indices!M103,4))*4+VALUE(RIGHT(Indices!M103,1)),0)</f>
        <v/>
      </c>
    </row>
    <row r="702">
      <c r="A702" t="inlineStr">
        <is>
          <t>IRL</t>
        </is>
      </c>
      <c r="B702">
        <f>IF(AND(LEN(Indices!M104)=7,MID(Indices!M104,5,2)="-T",ISNUMBER(VALUE(LEFT(Indices!M104,4))),ISNUMBER(INDEX(Indices!$A:$P,ROW(Indices!M104),COLUMN(Indices!M104)+1))),VALUE(LEFT(Indices!M104,4))*4+VALUE(RIGHT(Indices!M104,1)),0)</f>
        <v/>
      </c>
    </row>
    <row r="703">
      <c r="A703" t="inlineStr">
        <is>
          <t>IRL</t>
        </is>
      </c>
      <c r="B703">
        <f>IF(AND(LEN(Indices!M105)=7,MID(Indices!M105,5,2)="-T",ISNUMBER(VALUE(LEFT(Indices!M105,4))),ISNUMBER(INDEX(Indices!$A:$P,ROW(Indices!M105),COLUMN(Indices!M105)+1))),VALUE(LEFT(Indices!M105,4))*4+VALUE(RIGHT(Indices!M105,1)),0)</f>
        <v/>
      </c>
    </row>
    <row r="704">
      <c r="A704" t="inlineStr">
        <is>
          <t>IRL</t>
        </is>
      </c>
      <c r="B704">
        <f>IF(AND(LEN(Indices!M106)=7,MID(Indices!M106,5,2)="-T",ISNUMBER(VALUE(LEFT(Indices!M106,4))),ISNUMBER(INDEX(Indices!$A:$P,ROW(Indices!M106),COLUMN(Indices!M106)+1))),VALUE(LEFT(Indices!M106,4))*4+VALUE(RIGHT(Indices!M106,1)),0)</f>
        <v/>
      </c>
    </row>
    <row r="705">
      <c r="A705" t="inlineStr">
        <is>
          <t>IRL</t>
        </is>
      </c>
      <c r="B705">
        <f>IF(AND(LEN(Indices!M107)=7,MID(Indices!M107,5,2)="-T",ISNUMBER(VALUE(LEFT(Indices!M107,4))),ISNUMBER(INDEX(Indices!$A:$P,ROW(Indices!M107),COLUMN(Indices!M107)+1))),VALUE(LEFT(Indices!M107,4))*4+VALUE(RIGHT(Indices!M107,1)),0)</f>
        <v/>
      </c>
    </row>
    <row r="706">
      <c r="A706" t="inlineStr">
        <is>
          <t>IRL</t>
        </is>
      </c>
      <c r="B706">
        <f>IF(AND(LEN(Indices!M108)=7,MID(Indices!M108,5,2)="-T",ISNUMBER(VALUE(LEFT(Indices!M108,4))),ISNUMBER(INDEX(Indices!$A:$P,ROW(Indices!M108),COLUMN(Indices!M108)+1))),VALUE(LEFT(Indices!M108,4))*4+VALUE(RIGHT(Indices!M108,1)),0)</f>
        <v/>
      </c>
    </row>
    <row r="707">
      <c r="A707" t="inlineStr">
        <is>
          <t>IRL</t>
        </is>
      </c>
      <c r="B707">
        <f>IF(AND(LEN(Indices!M109)=7,MID(Indices!M109,5,2)="-T",ISNUMBER(VALUE(LEFT(Indices!M109,4))),ISNUMBER(INDEX(Indices!$A:$P,ROW(Indices!M109),COLUMN(Indices!M109)+1))),VALUE(LEFT(Indices!M109,4))*4+VALUE(RIGHT(Indices!M109,1)),0)</f>
        <v/>
      </c>
    </row>
    <row r="708">
      <c r="A708" t="inlineStr">
        <is>
          <t>IRL</t>
        </is>
      </c>
      <c r="B708">
        <f>IF(AND(LEN(Indices!M110)=7,MID(Indices!M110,5,2)="-T",ISNUMBER(VALUE(LEFT(Indices!M110,4))),ISNUMBER(INDEX(Indices!$A:$P,ROW(Indices!M110),COLUMN(Indices!M110)+1))),VALUE(LEFT(Indices!M110,4))*4+VALUE(RIGHT(Indices!M110,1)),0)</f>
        <v/>
      </c>
    </row>
    <row r="709">
      <c r="A709" t="inlineStr">
        <is>
          <t>IRL</t>
        </is>
      </c>
      <c r="B709">
        <f>IF(AND(LEN(Indices!M111)=7,MID(Indices!M111,5,2)="-T",ISNUMBER(VALUE(LEFT(Indices!M111,4))),ISNUMBER(INDEX(Indices!$A:$P,ROW(Indices!M111),COLUMN(Indices!M111)+1))),VALUE(LEFT(Indices!M111,4))*4+VALUE(RIGHT(Indices!M111,1)),0)</f>
        <v/>
      </c>
    </row>
    <row r="710">
      <c r="A710" t="inlineStr">
        <is>
          <t>IRL</t>
        </is>
      </c>
      <c r="B710">
        <f>IF(AND(LEN(Indices!M112)=7,MID(Indices!M112,5,2)="-T",ISNUMBER(VALUE(LEFT(Indices!M112,4))),ISNUMBER(INDEX(Indices!$A:$P,ROW(Indices!M112),COLUMN(Indices!M112)+1))),VALUE(LEFT(Indices!M112,4))*4+VALUE(RIGHT(Indices!M112,1)),0)</f>
        <v/>
      </c>
    </row>
    <row r="711">
      <c r="A711" t="inlineStr">
        <is>
          <t>IRL</t>
        </is>
      </c>
      <c r="B711">
        <f>IF(AND(LEN(Indices!M113)=7,MID(Indices!M113,5,2)="-T",ISNUMBER(VALUE(LEFT(Indices!M113,4))),ISNUMBER(INDEX(Indices!$A:$P,ROW(Indices!M113),COLUMN(Indices!M113)+1))),VALUE(LEFT(Indices!M113,4))*4+VALUE(RIGHT(Indices!M113,1)),0)</f>
        <v/>
      </c>
    </row>
    <row r="712">
      <c r="A712" t="inlineStr">
        <is>
          <t>IRL</t>
        </is>
      </c>
      <c r="B712">
        <f>IF(AND(LEN(Indices!M114)=7,MID(Indices!M114,5,2)="-T",ISNUMBER(VALUE(LEFT(Indices!M114,4))),ISNUMBER(INDEX(Indices!$A:$P,ROW(Indices!M114),COLUMN(Indices!M114)+1))),VALUE(LEFT(Indices!M114,4))*4+VALUE(RIGHT(Indices!M114,1)),0)</f>
        <v/>
      </c>
    </row>
    <row r="713">
      <c r="A713" t="inlineStr">
        <is>
          <t>IRL</t>
        </is>
      </c>
      <c r="B713">
        <f>IF(AND(LEN(Indices!M115)=7,MID(Indices!M115,5,2)="-T",ISNUMBER(VALUE(LEFT(Indices!M115,4))),ISNUMBER(INDEX(Indices!$A:$P,ROW(Indices!M115),COLUMN(Indices!M115)+1))),VALUE(LEFT(Indices!M115,4))*4+VALUE(RIGHT(Indices!M115,1)),0)</f>
        <v/>
      </c>
    </row>
    <row r="714">
      <c r="A714" t="inlineStr">
        <is>
          <t>IRL</t>
        </is>
      </c>
      <c r="B714">
        <f>IF(AND(LEN(Indices!M116)=7,MID(Indices!M116,5,2)="-T",ISNUMBER(VALUE(LEFT(Indices!M116,4))),ISNUMBER(INDEX(Indices!$A:$P,ROW(Indices!M116),COLUMN(Indices!M116)+1))),VALUE(LEFT(Indices!M116,4))*4+VALUE(RIGHT(Indices!M116,1)),0)</f>
        <v/>
      </c>
    </row>
    <row r="715">
      <c r="A715" t="inlineStr">
        <is>
          <t>IRL</t>
        </is>
      </c>
      <c r="B715">
        <f>IF(AND(LEN(Indices!M117)=7,MID(Indices!M117,5,2)="-T",ISNUMBER(VALUE(LEFT(Indices!M117,4))),ISNUMBER(INDEX(Indices!$A:$P,ROW(Indices!M117),COLUMN(Indices!M117)+1))),VALUE(LEFT(Indices!M117,4))*4+VALUE(RIGHT(Indices!M117,1)),0)</f>
        <v/>
      </c>
    </row>
    <row r="716">
      <c r="A716" t="inlineStr">
        <is>
          <t>IRL</t>
        </is>
      </c>
      <c r="B716">
        <f>IF(AND(LEN(Indices!M118)=7,MID(Indices!M118,5,2)="-T",ISNUMBER(VALUE(LEFT(Indices!M118,4))),ISNUMBER(INDEX(Indices!$A:$P,ROW(Indices!M118),COLUMN(Indices!M118)+1))),VALUE(LEFT(Indices!M118,4))*4+VALUE(RIGHT(Indices!M118,1)),0)</f>
        <v/>
      </c>
    </row>
    <row r="717">
      <c r="A717" t="inlineStr">
        <is>
          <t>IRL</t>
        </is>
      </c>
      <c r="B717">
        <f>IF(AND(LEN(Indices!M119)=7,MID(Indices!M119,5,2)="-T",ISNUMBER(VALUE(LEFT(Indices!M119,4))),ISNUMBER(INDEX(Indices!$A:$P,ROW(Indices!M119),COLUMN(Indices!M119)+1))),VALUE(LEFT(Indices!M119,4))*4+VALUE(RIGHT(Indices!M119,1)),0)</f>
        <v/>
      </c>
    </row>
    <row r="718">
      <c r="A718" t="inlineStr">
        <is>
          <t>IRL</t>
        </is>
      </c>
      <c r="B718">
        <f>IF(AND(LEN(Indices!M120)=7,MID(Indices!M120,5,2)="-T",ISNUMBER(VALUE(LEFT(Indices!M120,4))),ISNUMBER(INDEX(Indices!$A:$P,ROW(Indices!M120),COLUMN(Indices!M120)+1))),VALUE(LEFT(Indices!M120,4))*4+VALUE(RIGHT(Indices!M120,1)),0)</f>
        <v/>
      </c>
    </row>
    <row r="719">
      <c r="A719" t="inlineStr">
        <is>
          <t>IRL</t>
        </is>
      </c>
      <c r="B719">
        <f>IF(AND(LEN(Indices!M121)=7,MID(Indices!M121,5,2)="-T",ISNUMBER(VALUE(LEFT(Indices!M121,4))),ISNUMBER(INDEX(Indices!$A:$P,ROW(Indices!M121),COLUMN(Indices!M121)+1))),VALUE(LEFT(Indices!M121,4))*4+VALUE(RIGHT(Indices!M121,1)),0)</f>
        <v/>
      </c>
    </row>
    <row r="720">
      <c r="A720" t="inlineStr">
        <is>
          <t>IRL</t>
        </is>
      </c>
      <c r="B720">
        <f>IF(AND(LEN(Indices!M122)=7,MID(Indices!M122,5,2)="-T",ISNUMBER(VALUE(LEFT(Indices!M122,4))),ISNUMBER(INDEX(Indices!$A:$P,ROW(Indices!M122),COLUMN(Indices!M122)+1))),VALUE(LEFT(Indices!M122,4))*4+VALUE(RIGHT(Indices!M122,1)),0)</f>
        <v/>
      </c>
    </row>
    <row r="721">
      <c r="A721" t="inlineStr">
        <is>
          <t>IRL</t>
        </is>
      </c>
      <c r="B721">
        <f>IF(AND(LEN(Indices!M123)=7,MID(Indices!M123,5,2)="-T",ISNUMBER(VALUE(LEFT(Indices!M123,4))),ISNUMBER(INDEX(Indices!$A:$P,ROW(Indices!M123),COLUMN(Indices!M123)+1))),VALUE(LEFT(Indices!M123,4))*4+VALUE(RIGHT(Indices!M123,1)),0)</f>
        <v/>
      </c>
    </row>
    <row r="722">
      <c r="A722" t="inlineStr">
        <is>
          <t>IRL</t>
        </is>
      </c>
      <c r="B722">
        <f>IF(AND(LEN(Indices!M124)=7,MID(Indices!M124,5,2)="-T",ISNUMBER(VALUE(LEFT(Indices!M124,4))),ISNUMBER(INDEX(Indices!$A:$P,ROW(Indices!M124),COLUMN(Indices!M124)+1))),VALUE(LEFT(Indices!M124,4))*4+VALUE(RIGHT(Indices!M124,1)),0)</f>
        <v/>
      </c>
    </row>
    <row r="723">
      <c r="A723" t="inlineStr">
        <is>
          <t>IRL</t>
        </is>
      </c>
      <c r="B723">
        <f>IF(AND(LEN(Indices!M125)=7,MID(Indices!M125,5,2)="-T",ISNUMBER(VALUE(LEFT(Indices!M125,4))),ISNUMBER(INDEX(Indices!$A:$P,ROW(Indices!M125),COLUMN(Indices!M125)+1))),VALUE(LEFT(Indices!M125,4))*4+VALUE(RIGHT(Indices!M125,1)),0)</f>
        <v/>
      </c>
    </row>
    <row r="724">
      <c r="A724" t="inlineStr">
        <is>
          <t>IRL</t>
        </is>
      </c>
      <c r="B724">
        <f>IF(AND(LEN(Indices!M126)=7,MID(Indices!M126,5,2)="-T",ISNUMBER(VALUE(LEFT(Indices!M126,4))),ISNUMBER(INDEX(Indices!$A:$P,ROW(Indices!M126),COLUMN(Indices!M126)+1))),VALUE(LEFT(Indices!M126,4))*4+VALUE(RIGHT(Indices!M126,1)),0)</f>
        <v/>
      </c>
    </row>
    <row r="725">
      <c r="A725" t="inlineStr">
        <is>
          <t>IRL</t>
        </is>
      </c>
      <c r="B725">
        <f>IF(AND(LEN(Indices!M127)=7,MID(Indices!M127,5,2)="-T",ISNUMBER(VALUE(LEFT(Indices!M127,4))),ISNUMBER(INDEX(Indices!$A:$P,ROW(Indices!M127),COLUMN(Indices!M127)+1))),VALUE(LEFT(Indices!M127,4))*4+VALUE(RIGHT(Indices!M127,1)),0)</f>
        <v/>
      </c>
    </row>
    <row r="726">
      <c r="A726" t="inlineStr">
        <is>
          <t>IRL</t>
        </is>
      </c>
      <c r="B726">
        <f>IF(AND(LEN(Indices!M128)=7,MID(Indices!M128,5,2)="-T",ISNUMBER(VALUE(LEFT(Indices!M128,4))),ISNUMBER(INDEX(Indices!$A:$P,ROW(Indices!M128),COLUMN(Indices!M128)+1))),VALUE(LEFT(Indices!M128,4))*4+VALUE(RIGHT(Indices!M128,1)),0)</f>
        <v/>
      </c>
    </row>
    <row r="727">
      <c r="A727" t="inlineStr">
        <is>
          <t>IRL</t>
        </is>
      </c>
      <c r="B727">
        <f>IF(AND(LEN(Indices!M129)=7,MID(Indices!M129,5,2)="-T",ISNUMBER(VALUE(LEFT(Indices!M129,4))),ISNUMBER(INDEX(Indices!$A:$P,ROW(Indices!M129),COLUMN(Indices!M129)+1))),VALUE(LEFT(Indices!M129,4))*4+VALUE(RIGHT(Indices!M129,1)),0)</f>
        <v/>
      </c>
    </row>
    <row r="728">
      <c r="A728" t="inlineStr">
        <is>
          <t>IRL</t>
        </is>
      </c>
      <c r="B728">
        <f>IF(AND(LEN(Indices!M130)=7,MID(Indices!M130,5,2)="-T",ISNUMBER(VALUE(LEFT(Indices!M130,4))),ISNUMBER(INDEX(Indices!$A:$P,ROW(Indices!M130),COLUMN(Indices!M130)+1))),VALUE(LEFT(Indices!M130,4))*4+VALUE(RIGHT(Indices!M130,1)),0)</f>
        <v/>
      </c>
    </row>
    <row r="729">
      <c r="A729" t="inlineStr">
        <is>
          <t>IRL</t>
        </is>
      </c>
      <c r="B729">
        <f>IF(AND(LEN(Indices!M131)=7,MID(Indices!M131,5,2)="-T",ISNUMBER(VALUE(LEFT(Indices!M131,4))),ISNUMBER(INDEX(Indices!$A:$P,ROW(Indices!M131),COLUMN(Indices!M131)+1))),VALUE(LEFT(Indices!M131,4))*4+VALUE(RIGHT(Indices!M131,1)),0)</f>
        <v/>
      </c>
    </row>
    <row r="730">
      <c r="A730" t="inlineStr">
        <is>
          <t>IRL</t>
        </is>
      </c>
      <c r="B730">
        <f>IF(AND(LEN(Indices!M132)=7,MID(Indices!M132,5,2)="-T",ISNUMBER(VALUE(LEFT(Indices!M132,4))),ISNUMBER(INDEX(Indices!$A:$P,ROW(Indices!M132),COLUMN(Indices!M132)+1))),VALUE(LEFT(Indices!M132,4))*4+VALUE(RIGHT(Indices!M132,1)),0)</f>
        <v/>
      </c>
    </row>
    <row r="731">
      <c r="A731" t="inlineStr">
        <is>
          <t>IRL</t>
        </is>
      </c>
      <c r="B731">
        <f>IF(AND(LEN(Indices!M133)=7,MID(Indices!M133,5,2)="-T",ISNUMBER(VALUE(LEFT(Indices!M133,4))),ISNUMBER(INDEX(Indices!$A:$P,ROW(Indices!M133),COLUMN(Indices!M133)+1))),VALUE(LEFT(Indices!M133,4))*4+VALUE(RIGHT(Indices!M133,1)),0)</f>
        <v/>
      </c>
    </row>
    <row r="732">
      <c r="A732" t="inlineStr">
        <is>
          <t>IRL</t>
        </is>
      </c>
      <c r="B732">
        <f>IF(AND(LEN(Indices!M134)=7,MID(Indices!M134,5,2)="-T",ISNUMBER(VALUE(LEFT(Indices!M134,4))),ISNUMBER(INDEX(Indices!$A:$P,ROW(Indices!M134),COLUMN(Indices!M134)+1))),VALUE(LEFT(Indices!M134,4))*4+VALUE(RIGHT(Indices!M134,1)),0)</f>
        <v/>
      </c>
    </row>
    <row r="733">
      <c r="A733" t="inlineStr">
        <is>
          <t>IRL</t>
        </is>
      </c>
      <c r="B733">
        <f>IF(AND(LEN(Indices!M135)=7,MID(Indices!M135,5,2)="-T",ISNUMBER(VALUE(LEFT(Indices!M135,4))),ISNUMBER(INDEX(Indices!$A:$P,ROW(Indices!M135),COLUMN(Indices!M135)+1))),VALUE(LEFT(Indices!M135,4))*4+VALUE(RIGHT(Indices!M135,1)),0)</f>
        <v/>
      </c>
    </row>
    <row r="734">
      <c r="A734" t="inlineStr">
        <is>
          <t>IRL</t>
        </is>
      </c>
      <c r="B734">
        <f>IF(AND(LEN(Indices!M136)=7,MID(Indices!M136,5,2)="-T",ISNUMBER(VALUE(LEFT(Indices!M136,4))),ISNUMBER(INDEX(Indices!$A:$P,ROW(Indices!M136),COLUMN(Indices!M136)+1))),VALUE(LEFT(Indices!M136,4))*4+VALUE(RIGHT(Indices!M136,1)),0)</f>
        <v/>
      </c>
    </row>
    <row r="735">
      <c r="A735" t="inlineStr">
        <is>
          <t>IRL</t>
        </is>
      </c>
      <c r="B735">
        <f>IF(AND(LEN(Indices!M137)=7,MID(Indices!M137,5,2)="-T",ISNUMBER(VALUE(LEFT(Indices!M137,4))),ISNUMBER(INDEX(Indices!$A:$P,ROW(Indices!M137),COLUMN(Indices!M137)+1))),VALUE(LEFT(Indices!M137,4))*4+VALUE(RIGHT(Indices!M137,1)),0)</f>
        <v/>
      </c>
    </row>
    <row r="736">
      <c r="A736" t="inlineStr">
        <is>
          <t>IRL</t>
        </is>
      </c>
      <c r="B736">
        <f>IF(AND(LEN(Indices!M138)=7,MID(Indices!M138,5,2)="-T",ISNUMBER(VALUE(LEFT(Indices!M138,4))),ISNUMBER(INDEX(Indices!$A:$P,ROW(Indices!M138),COLUMN(Indices!M138)+1))),VALUE(LEFT(Indices!M138,4))*4+VALUE(RIGHT(Indices!M138,1)),0)</f>
        <v/>
      </c>
    </row>
    <row r="737">
      <c r="A737" t="inlineStr">
        <is>
          <t>IRL</t>
        </is>
      </c>
      <c r="B737">
        <f>IF(AND(LEN(Indices!M139)=7,MID(Indices!M139,5,2)="-T",ISNUMBER(VALUE(LEFT(Indices!M139,4))),ISNUMBER(INDEX(Indices!$A:$P,ROW(Indices!M139),COLUMN(Indices!M139)+1))),VALUE(LEFT(Indices!M139,4))*4+VALUE(RIGHT(Indices!M139,1)),0)</f>
        <v/>
      </c>
    </row>
    <row r="738">
      <c r="A738" t="inlineStr">
        <is>
          <t>IRL</t>
        </is>
      </c>
      <c r="B738">
        <f>IF(AND(LEN(Indices!M140)=7,MID(Indices!M140,5,2)="-T",ISNUMBER(VALUE(LEFT(Indices!M140,4))),ISNUMBER(INDEX(Indices!$A:$P,ROW(Indices!M140),COLUMN(Indices!M140)+1))),VALUE(LEFT(Indices!M140,4))*4+VALUE(RIGHT(Indices!M140,1)),0)</f>
        <v/>
      </c>
    </row>
    <row r="739">
      <c r="A739" t="inlineStr">
        <is>
          <t>IRL</t>
        </is>
      </c>
      <c r="B739">
        <f>IF(AND(LEN(Indices!M141)=7,MID(Indices!M141,5,2)="-T",ISNUMBER(VALUE(LEFT(Indices!M141,4))),ISNUMBER(INDEX(Indices!$A:$P,ROW(Indices!M141),COLUMN(Indices!M141)+1))),VALUE(LEFT(Indices!M141,4))*4+VALUE(RIGHT(Indices!M141,1)),0)</f>
        <v/>
      </c>
    </row>
    <row r="740">
      <c r="A740" t="inlineStr">
        <is>
          <t>IRL</t>
        </is>
      </c>
      <c r="B740">
        <f>IF(AND(LEN(Indices!M142)=7,MID(Indices!M142,5,2)="-T",ISNUMBER(VALUE(LEFT(Indices!M142,4))),ISNUMBER(INDEX(Indices!$A:$P,ROW(Indices!M142),COLUMN(Indices!M142)+1))),VALUE(LEFT(Indices!M142,4))*4+VALUE(RIGHT(Indices!M142,1)),0)</f>
        <v/>
      </c>
    </row>
    <row r="741">
      <c r="A741" t="inlineStr">
        <is>
          <t>IRL</t>
        </is>
      </c>
      <c r="B741">
        <f>IF(AND(LEN(Indices!M143)=7,MID(Indices!M143,5,2)="-T",ISNUMBER(VALUE(LEFT(Indices!M143,4))),ISNUMBER(INDEX(Indices!$A:$P,ROW(Indices!M143),COLUMN(Indices!M143)+1))),VALUE(LEFT(Indices!M143,4))*4+VALUE(RIGHT(Indices!M143,1)),0)</f>
        <v/>
      </c>
    </row>
    <row r="742">
      <c r="A742" t="inlineStr">
        <is>
          <t>IRL</t>
        </is>
      </c>
      <c r="B742">
        <f>IF(AND(LEN(Indices!M144)=7,MID(Indices!M144,5,2)="-T",ISNUMBER(VALUE(LEFT(Indices!M144,4))),ISNUMBER(INDEX(Indices!$A:$P,ROW(Indices!M144),COLUMN(Indices!M144)+1))),VALUE(LEFT(Indices!M144,4))*4+VALUE(RIGHT(Indices!M144,1)),0)</f>
        <v/>
      </c>
    </row>
    <row r="743">
      <c r="A743" t="inlineStr">
        <is>
          <t>IRL</t>
        </is>
      </c>
      <c r="B743">
        <f>IF(AND(LEN(Indices!M145)=7,MID(Indices!M145,5,2)="-T",ISNUMBER(VALUE(LEFT(Indices!M145,4))),ISNUMBER(INDEX(Indices!$A:$P,ROW(Indices!M145),COLUMN(Indices!M145)+1))),VALUE(LEFT(Indices!M145,4))*4+VALUE(RIGHT(Indices!M145,1)),0)</f>
        <v/>
      </c>
    </row>
    <row r="744">
      <c r="A744" t="inlineStr">
        <is>
          <t>IRL</t>
        </is>
      </c>
      <c r="B744">
        <f>IF(AND(LEN(Indices!M146)=7,MID(Indices!M146,5,2)="-T",ISNUMBER(VALUE(LEFT(Indices!M146,4))),ISNUMBER(INDEX(Indices!$A:$P,ROW(Indices!M146),COLUMN(Indices!M146)+1))),VALUE(LEFT(Indices!M146,4))*4+VALUE(RIGHT(Indices!M146,1)),0)</f>
        <v/>
      </c>
    </row>
    <row r="745">
      <c r="A745" t="inlineStr">
        <is>
          <t>IRL</t>
        </is>
      </c>
      <c r="B745">
        <f>IF(AND(LEN(Indices!M147)=7,MID(Indices!M147,5,2)="-T",ISNUMBER(VALUE(LEFT(Indices!M147,4))),ISNUMBER(INDEX(Indices!$A:$P,ROW(Indices!M147),COLUMN(Indices!M147)+1))),VALUE(LEFT(Indices!M147,4))*4+VALUE(RIGHT(Indices!M147,1)),0)</f>
        <v/>
      </c>
    </row>
    <row r="746">
      <c r="A746" t="inlineStr">
        <is>
          <t>IRL</t>
        </is>
      </c>
      <c r="B746">
        <f>IF(AND(LEN(Indices!M148)=7,MID(Indices!M148,5,2)="-T",ISNUMBER(VALUE(LEFT(Indices!M148,4))),ISNUMBER(INDEX(Indices!$A:$P,ROW(Indices!M148),COLUMN(Indices!M148)+1))),VALUE(LEFT(Indices!M148,4))*4+VALUE(RIGHT(Indices!M148,1)),0)</f>
        <v/>
      </c>
    </row>
    <row r="747">
      <c r="A747" t="inlineStr">
        <is>
          <t>IRL</t>
        </is>
      </c>
      <c r="B747">
        <f>IF(AND(LEN(Indices!M149)=7,MID(Indices!M149,5,2)="-T",ISNUMBER(VALUE(LEFT(Indices!M149,4))),ISNUMBER(INDEX(Indices!$A:$P,ROW(Indices!M149),COLUMN(Indices!M149)+1))),VALUE(LEFT(Indices!M149,4))*4+VALUE(RIGHT(Indices!M149,1)),0)</f>
        <v/>
      </c>
    </row>
    <row r="748">
      <c r="A748" t="inlineStr">
        <is>
          <t>IRL</t>
        </is>
      </c>
      <c r="B748">
        <f>IF(AND(LEN(Indices!M150)=7,MID(Indices!M150,5,2)="-T",ISNUMBER(VALUE(LEFT(Indices!M150,4))),ISNUMBER(INDEX(Indices!$A:$P,ROW(Indices!M150),COLUMN(Indices!M150)+1))),VALUE(LEFT(Indices!M150,4))*4+VALUE(RIGHT(Indices!M150,1)),0)</f>
        <v/>
      </c>
    </row>
    <row r="749">
      <c r="A749" t="inlineStr">
        <is>
          <t>IRL</t>
        </is>
      </c>
      <c r="B749">
        <f>IF(AND(LEN(Indices!M151)=7,MID(Indices!M151,5,2)="-T",ISNUMBER(VALUE(LEFT(Indices!M151,4))),ISNUMBER(INDEX(Indices!$A:$P,ROW(Indices!M151),COLUMN(Indices!M151)+1))),VALUE(LEFT(Indices!M151,4))*4+VALUE(RIGHT(Indices!M151,1)),0)</f>
        <v/>
      </c>
    </row>
    <row r="750">
      <c r="A750" t="inlineStr">
        <is>
          <t>IRL</t>
        </is>
      </c>
      <c r="B750">
        <f>IF(AND(LEN(Indices!M152)=7,MID(Indices!M152,5,2)="-T",ISNUMBER(VALUE(LEFT(Indices!M152,4))),ISNUMBER(INDEX(Indices!$A:$P,ROW(Indices!M152),COLUMN(Indices!M152)+1))),VALUE(LEFT(Indices!M152,4))*4+VALUE(RIGHT(Indices!M152,1)),0)</f>
        <v/>
      </c>
    </row>
    <row r="751">
      <c r="A751" t="inlineStr">
        <is>
          <t>IRL</t>
        </is>
      </c>
      <c r="B751">
        <f>IF(AND(LEN(Indices!M153)=7,MID(Indices!M153,5,2)="-T",ISNUMBER(VALUE(LEFT(Indices!M153,4))),ISNUMBER(INDEX(Indices!$A:$P,ROW(Indices!M153),COLUMN(Indices!M153)+1))),VALUE(LEFT(Indices!M153,4))*4+VALUE(RIGHT(Indices!M153,1)),0)</f>
        <v/>
      </c>
    </row>
    <row r="752">
      <c r="A752" t="inlineStr">
        <is>
          <t>IRL</t>
        </is>
      </c>
      <c r="B752">
        <f>IF(AND(LEN(Indices!M154)=7,MID(Indices!M154,5,2)="-T",ISNUMBER(VALUE(LEFT(Indices!M154,4))),ISNUMBER(INDEX(Indices!$A:$P,ROW(Indices!M154),COLUMN(Indices!M154)+1))),VALUE(LEFT(Indices!M154,4))*4+VALUE(RIGHT(Indices!M154,1)),0)</f>
        <v/>
      </c>
    </row>
    <row r="753">
      <c r="A753" t="inlineStr">
        <is>
          <t>IRL</t>
        </is>
      </c>
      <c r="B753">
        <f>IF(AND(LEN(Indices!M155)=7,MID(Indices!M155,5,2)="-T",ISNUMBER(VALUE(LEFT(Indices!M155,4))),ISNUMBER(INDEX(Indices!$A:$P,ROW(Indices!M155),COLUMN(Indices!M155)+1))),VALUE(LEFT(Indices!M155,4))*4+VALUE(RIGHT(Indices!M155,1)),0)</f>
        <v/>
      </c>
    </row>
    <row r="754">
      <c r="A754" t="inlineStr">
        <is>
          <t>IRL</t>
        </is>
      </c>
      <c r="B754">
        <f>IF(AND(LEN(Indices!M156)=7,MID(Indices!M156,5,2)="-T",ISNUMBER(VALUE(LEFT(Indices!M156,4))),ISNUMBER(INDEX(Indices!$A:$P,ROW(Indices!M156),COLUMN(Indices!M156)+1))),VALUE(LEFT(Indices!M156,4))*4+VALUE(RIGHT(Indices!M156,1)),0)</f>
        <v/>
      </c>
    </row>
    <row r="755">
      <c r="A755" t="inlineStr">
        <is>
          <t>IRL</t>
        </is>
      </c>
      <c r="B755">
        <f>IF(AND(LEN(Indices!M157)=7,MID(Indices!M157,5,2)="-T",ISNUMBER(VALUE(LEFT(Indices!M157,4))),ISNUMBER(INDEX(Indices!$A:$P,ROW(Indices!M157),COLUMN(Indices!M157)+1))),VALUE(LEFT(Indices!M157,4))*4+VALUE(RIGHT(Indices!M157,1)),0)</f>
        <v/>
      </c>
    </row>
    <row r="756">
      <c r="A756" t="inlineStr">
        <is>
          <t>IRL</t>
        </is>
      </c>
      <c r="B756">
        <f>IF(AND(LEN(Indices!M158)=7,MID(Indices!M158,5,2)="-T",ISNUMBER(VALUE(LEFT(Indices!M158,4))),ISNUMBER(INDEX(Indices!$A:$P,ROW(Indices!M158),COLUMN(Indices!M158)+1))),VALUE(LEFT(Indices!M158,4))*4+VALUE(RIGHT(Indices!M158,1)),0)</f>
        <v/>
      </c>
    </row>
    <row r="757">
      <c r="A757" t="inlineStr">
        <is>
          <t>IRL</t>
        </is>
      </c>
      <c r="B757">
        <f>IF(AND(LEN(Indices!M159)=7,MID(Indices!M159,5,2)="-T",ISNUMBER(VALUE(LEFT(Indices!M159,4))),ISNUMBER(INDEX(Indices!$A:$P,ROW(Indices!M159),COLUMN(Indices!M159)+1))),VALUE(LEFT(Indices!M159,4))*4+VALUE(RIGHT(Indices!M159,1)),0)</f>
        <v/>
      </c>
    </row>
    <row r="758">
      <c r="A758" t="inlineStr">
        <is>
          <t>IRL</t>
        </is>
      </c>
      <c r="B758">
        <f>IF(AND(LEN(Indices!M160)=7,MID(Indices!M160,5,2)="-T",ISNUMBER(VALUE(LEFT(Indices!M160,4))),ISNUMBER(INDEX(Indices!$A:$P,ROW(Indices!M160),COLUMN(Indices!M160)+1))),VALUE(LEFT(Indices!M160,4))*4+VALUE(RIGHT(Indices!M160,1)),0)</f>
        <v/>
      </c>
    </row>
    <row r="759">
      <c r="A759" t="inlineStr">
        <is>
          <t>IRL</t>
        </is>
      </c>
      <c r="B759">
        <f>IF(AND(LEN(Indices!M161)=7,MID(Indices!M161,5,2)="-T",ISNUMBER(VALUE(LEFT(Indices!M161,4))),ISNUMBER(INDEX(Indices!$A:$P,ROW(Indices!M161),COLUMN(Indices!M161)+1))),VALUE(LEFT(Indices!M161,4))*4+VALUE(RIGHT(Indices!M161,1)),0)</f>
        <v/>
      </c>
    </row>
    <row r="760">
      <c r="A760" t="inlineStr">
        <is>
          <t>IRL</t>
        </is>
      </c>
      <c r="B760">
        <f>IF(AND(LEN(Indices!M162)=7,MID(Indices!M162,5,2)="-T",ISNUMBER(VALUE(LEFT(Indices!M162,4))),ISNUMBER(INDEX(Indices!$A:$P,ROW(Indices!M162),COLUMN(Indices!M162)+1))),VALUE(LEFT(Indices!M162,4))*4+VALUE(RIGHT(Indices!M162,1)),0)</f>
        <v/>
      </c>
    </row>
    <row r="761">
      <c r="A761" t="inlineStr">
        <is>
          <t>IRL</t>
        </is>
      </c>
      <c r="B761">
        <f>IF(AND(LEN(Indices!M163)=7,MID(Indices!M163,5,2)="-T",ISNUMBER(VALUE(LEFT(Indices!M163,4))),ISNUMBER(INDEX(Indices!$A:$P,ROW(Indices!M163),COLUMN(Indices!M163)+1))),VALUE(LEFT(Indices!M163,4))*4+VALUE(RIGHT(Indices!M163,1)),0)</f>
        <v/>
      </c>
    </row>
    <row r="762">
      <c r="A762" t="inlineStr">
        <is>
          <t>IRL</t>
        </is>
      </c>
      <c r="B762">
        <f>IF(AND(LEN(Indices!M164)=7,MID(Indices!M164,5,2)="-T",ISNUMBER(VALUE(LEFT(Indices!M164,4))),ISNUMBER(INDEX(Indices!$A:$P,ROW(Indices!M164),COLUMN(Indices!M164)+1))),VALUE(LEFT(Indices!M164,4))*4+VALUE(RIGHT(Indices!M164,1)),0)</f>
        <v/>
      </c>
    </row>
    <row r="763">
      <c r="A763" t="inlineStr">
        <is>
          <t>IRL</t>
        </is>
      </c>
      <c r="B763">
        <f>IF(AND(LEN(Indices!M165)=7,MID(Indices!M165,5,2)="-T",ISNUMBER(VALUE(LEFT(Indices!M165,4))),ISNUMBER(INDEX(Indices!$A:$P,ROW(Indices!M165),COLUMN(Indices!M165)+1))),VALUE(LEFT(Indices!M165,4))*4+VALUE(RIGHT(Indices!M165,1)),0)</f>
        <v/>
      </c>
    </row>
    <row r="764">
      <c r="A764" t="inlineStr">
        <is>
          <t>IRL</t>
        </is>
      </c>
      <c r="B764">
        <f>IF(AND(LEN(Indices!M166)=7,MID(Indices!M166,5,2)="-T",ISNUMBER(VALUE(LEFT(Indices!M166,4))),ISNUMBER(INDEX(Indices!$A:$P,ROW(Indices!M166),COLUMN(Indices!M166)+1))),VALUE(LEFT(Indices!M166,4))*4+VALUE(RIGHT(Indices!M166,1)),0)</f>
        <v/>
      </c>
    </row>
    <row r="765">
      <c r="A765" t="inlineStr">
        <is>
          <t>IRL</t>
        </is>
      </c>
      <c r="B765">
        <f>IF(AND(LEN(Indices!M167)=7,MID(Indices!M167,5,2)="-T",ISNUMBER(VALUE(LEFT(Indices!M167,4))),ISNUMBER(INDEX(Indices!$A:$P,ROW(Indices!M167),COLUMN(Indices!M167)+1))),VALUE(LEFT(Indices!M167,4))*4+VALUE(RIGHT(Indices!M167,1)),0)</f>
        <v/>
      </c>
    </row>
    <row r="766">
      <c r="A766" t="inlineStr">
        <is>
          <t>IRL</t>
        </is>
      </c>
      <c r="B766">
        <f>IF(AND(LEN(Indices!M168)=7,MID(Indices!M168,5,2)="-T",ISNUMBER(VALUE(LEFT(Indices!M168,4))),ISNUMBER(INDEX(Indices!$A:$P,ROW(Indices!M168),COLUMN(Indices!M168)+1))),VALUE(LEFT(Indices!M168,4))*4+VALUE(RIGHT(Indices!M168,1)),0)</f>
        <v/>
      </c>
    </row>
    <row r="767">
      <c r="A767" t="inlineStr">
        <is>
          <t>IRL</t>
        </is>
      </c>
      <c r="B767">
        <f>IF(AND(LEN(Indices!M169)=7,MID(Indices!M169,5,2)="-T",ISNUMBER(VALUE(LEFT(Indices!M169,4))),ISNUMBER(INDEX(Indices!$A:$P,ROW(Indices!M169),COLUMN(Indices!M169)+1))),VALUE(LEFT(Indices!M169,4))*4+VALUE(RIGHT(Indices!M169,1)),0)</f>
        <v/>
      </c>
    </row>
    <row r="768">
      <c r="A768" t="inlineStr">
        <is>
          <t>IRL</t>
        </is>
      </c>
      <c r="B768">
        <f>IF(AND(LEN(Indices!M170)=7,MID(Indices!M170,5,2)="-T",ISNUMBER(VALUE(LEFT(Indices!M170,4))),ISNUMBER(INDEX(Indices!$A:$P,ROW(Indices!M170),COLUMN(Indices!M170)+1))),VALUE(LEFT(Indices!M170,4))*4+VALUE(RIGHT(Indices!M170,1)),0)</f>
        <v/>
      </c>
    </row>
    <row r="769">
      <c r="A769" t="inlineStr">
        <is>
          <t>IRL</t>
        </is>
      </c>
      <c r="B769">
        <f>IF(AND(LEN(Indices!M171)=7,MID(Indices!M171,5,2)="-T",ISNUMBER(VALUE(LEFT(Indices!M171,4))),ISNUMBER(INDEX(Indices!$A:$P,ROW(Indices!M171),COLUMN(Indices!M171)+1))),VALUE(LEFT(Indices!M171,4))*4+VALUE(RIGHT(Indices!M171,1)),0)</f>
        <v/>
      </c>
    </row>
    <row r="770">
      <c r="A770" t="inlineStr">
        <is>
          <t>IRL</t>
        </is>
      </c>
      <c r="B770">
        <f>IF(AND(LEN(Indices!M172)=7,MID(Indices!M172,5,2)="-T",ISNUMBER(VALUE(LEFT(Indices!M172,4))),ISNUMBER(INDEX(Indices!$A:$P,ROW(Indices!M172),COLUMN(Indices!M172)+1))),VALUE(LEFT(Indices!M172,4))*4+VALUE(RIGHT(Indices!M172,1)),0)</f>
        <v/>
      </c>
    </row>
    <row r="771">
      <c r="A771" t="inlineStr">
        <is>
          <t>IRL</t>
        </is>
      </c>
      <c r="B771">
        <f>IF(AND(LEN(Indices!M173)=7,MID(Indices!M173,5,2)="-T",ISNUMBER(VALUE(LEFT(Indices!M173,4))),ISNUMBER(INDEX(Indices!$A:$P,ROW(Indices!M173),COLUMN(Indices!M173)+1))),VALUE(LEFT(Indices!M173,4))*4+VALUE(RIGHT(Indices!M173,1)),0)</f>
        <v/>
      </c>
    </row>
    <row r="772">
      <c r="A772" t="inlineStr">
        <is>
          <t>IRL</t>
        </is>
      </c>
      <c r="B772">
        <f>IF(AND(LEN(Indices!M174)=7,MID(Indices!M174,5,2)="-T",ISNUMBER(VALUE(LEFT(Indices!M174,4))),ISNUMBER(INDEX(Indices!$A:$P,ROW(Indices!M174),COLUMN(Indices!M174)+1))),VALUE(LEFT(Indices!M174,4))*4+VALUE(RIGHT(Indices!M174,1)),0)</f>
        <v/>
      </c>
    </row>
    <row r="773">
      <c r="A773" t="inlineStr">
        <is>
          <t>IRL</t>
        </is>
      </c>
      <c r="B773">
        <f>IF(AND(LEN(Indices!M175)=7,MID(Indices!M175,5,2)="-T",ISNUMBER(VALUE(LEFT(Indices!M175,4))),ISNUMBER(INDEX(Indices!$A:$P,ROW(Indices!M175),COLUMN(Indices!M175)+1))),VALUE(LEFT(Indices!M175,4))*4+VALUE(RIGHT(Indices!M175,1)),0)</f>
        <v/>
      </c>
    </row>
    <row r="774">
      <c r="A774" t="inlineStr">
        <is>
          <t>IRL</t>
        </is>
      </c>
      <c r="B774">
        <f>IF(AND(LEN(Indices!M176)=7,MID(Indices!M176,5,2)="-T",ISNUMBER(VALUE(LEFT(Indices!M176,4))),ISNUMBER(INDEX(Indices!$A:$P,ROW(Indices!M176),COLUMN(Indices!M176)+1))),VALUE(LEFT(Indices!M176,4))*4+VALUE(RIGHT(Indices!M176,1)),0)</f>
        <v/>
      </c>
    </row>
    <row r="775">
      <c r="A775" t="inlineStr">
        <is>
          <t>IRL</t>
        </is>
      </c>
      <c r="B775">
        <f>IF(AND(LEN(Indices!M177)=7,MID(Indices!M177,5,2)="-T",ISNUMBER(VALUE(LEFT(Indices!M177,4))),ISNUMBER(INDEX(Indices!$A:$P,ROW(Indices!M177),COLUMN(Indices!M177)+1))),VALUE(LEFT(Indices!M177,4))*4+VALUE(RIGHT(Indices!M177,1)),0)</f>
        <v/>
      </c>
    </row>
    <row r="776">
      <c r="A776" t="inlineStr">
        <is>
          <t>IRL</t>
        </is>
      </c>
      <c r="B776">
        <f>IF(AND(LEN(Indices!M178)=7,MID(Indices!M178,5,2)="-T",ISNUMBER(VALUE(LEFT(Indices!M178,4))),ISNUMBER(INDEX(Indices!$A:$P,ROW(Indices!M178),COLUMN(Indices!M178)+1))),VALUE(LEFT(Indices!M178,4))*4+VALUE(RIGHT(Indices!M178,1)),0)</f>
        <v/>
      </c>
    </row>
    <row r="777">
      <c r="A777" t="inlineStr">
        <is>
          <t>IRL</t>
        </is>
      </c>
      <c r="B777">
        <f>IF(AND(LEN(Indices!M179)=7,MID(Indices!M179,5,2)="-T",ISNUMBER(VALUE(LEFT(Indices!M179,4))),ISNUMBER(INDEX(Indices!$A:$P,ROW(Indices!M179),COLUMN(Indices!M179)+1))),VALUE(LEFT(Indices!M179,4))*4+VALUE(RIGHT(Indices!M179,1)),0)</f>
        <v/>
      </c>
    </row>
    <row r="778">
      <c r="A778" t="inlineStr">
        <is>
          <t>IRL</t>
        </is>
      </c>
      <c r="B778">
        <f>IF(AND(LEN(Indices!M180)=7,MID(Indices!M180,5,2)="-T",ISNUMBER(VALUE(LEFT(Indices!M180,4))),ISNUMBER(INDEX(Indices!$A:$P,ROW(Indices!M180),COLUMN(Indices!M180)+1))),VALUE(LEFT(Indices!M180,4))*4+VALUE(RIGHT(Indices!M180,1)),0)</f>
        <v/>
      </c>
    </row>
    <row r="779">
      <c r="A779" t="inlineStr">
        <is>
          <t>IRL</t>
        </is>
      </c>
      <c r="B779">
        <f>IF(AND(LEN(Indices!M181)=7,MID(Indices!M181,5,2)="-T",ISNUMBER(VALUE(LEFT(Indices!M181,4))),ISNUMBER(INDEX(Indices!$A:$P,ROW(Indices!M181),COLUMN(Indices!M181)+1))),VALUE(LEFT(Indices!M181,4))*4+VALUE(RIGHT(Indices!M181,1)),0)</f>
        <v/>
      </c>
    </row>
    <row r="780">
      <c r="A780" t="inlineStr">
        <is>
          <t>IRL</t>
        </is>
      </c>
      <c r="B780">
        <f>IF(AND(LEN(Indices!M182)=7,MID(Indices!M182,5,2)="-T",ISNUMBER(VALUE(LEFT(Indices!M182,4))),ISNUMBER(INDEX(Indices!$A:$P,ROW(Indices!M182),COLUMN(Indices!M182)+1))),VALUE(LEFT(Indices!M182,4))*4+VALUE(RIGHT(Indices!M182,1)),0)</f>
        <v/>
      </c>
    </row>
    <row r="781">
      <c r="A781" t="inlineStr">
        <is>
          <t>IRL</t>
        </is>
      </c>
      <c r="B781">
        <f>IF(AND(LEN(Indices!M183)=7,MID(Indices!M183,5,2)="-T",ISNUMBER(VALUE(LEFT(Indices!M183,4))),ISNUMBER(INDEX(Indices!$A:$P,ROW(Indices!M183),COLUMN(Indices!M183)+1))),VALUE(LEFT(Indices!M183,4))*4+VALUE(RIGHT(Indices!M183,1)),0)</f>
        <v/>
      </c>
    </row>
    <row r="782">
      <c r="A782" t="inlineStr">
        <is>
          <t>IRL</t>
        </is>
      </c>
      <c r="B782">
        <f>IF(AND(LEN(Indices!M184)=7,MID(Indices!M184,5,2)="-T",ISNUMBER(VALUE(LEFT(Indices!M184,4))),ISNUMBER(INDEX(Indices!$A:$P,ROW(Indices!M184),COLUMN(Indices!M184)+1))),VALUE(LEFT(Indices!M184,4))*4+VALUE(RIGHT(Indices!M184,1)),0)</f>
        <v/>
      </c>
    </row>
    <row r="783">
      <c r="A783" t="inlineStr">
        <is>
          <t>IRL</t>
        </is>
      </c>
      <c r="B783">
        <f>IF(AND(LEN(Indices!M185)=7,MID(Indices!M185,5,2)="-T",ISNUMBER(VALUE(LEFT(Indices!M185,4))),ISNUMBER(INDEX(Indices!$A:$P,ROW(Indices!M185),COLUMN(Indices!M185)+1))),VALUE(LEFT(Indices!M185,4))*4+VALUE(RIGHT(Indices!M185,1)),0)</f>
        <v/>
      </c>
    </row>
    <row r="784">
      <c r="A784" t="inlineStr">
        <is>
          <t>IRL</t>
        </is>
      </c>
      <c r="B784">
        <f>IF(AND(LEN(Indices!M186)=7,MID(Indices!M186,5,2)="-T",ISNUMBER(VALUE(LEFT(Indices!M186,4))),ISNUMBER(INDEX(Indices!$A:$P,ROW(Indices!M186),COLUMN(Indices!M186)+1))),VALUE(LEFT(Indices!M186,4))*4+VALUE(RIGHT(Indices!M186,1)),0)</f>
        <v/>
      </c>
    </row>
    <row r="785">
      <c r="A785" t="inlineStr">
        <is>
          <t>IRL</t>
        </is>
      </c>
      <c r="B785">
        <f>IF(AND(LEN(Indices!M187)=7,MID(Indices!M187,5,2)="-T",ISNUMBER(VALUE(LEFT(Indices!M187,4))),ISNUMBER(INDEX(Indices!$A:$P,ROW(Indices!M187),COLUMN(Indices!M187)+1))),VALUE(LEFT(Indices!M187,4))*4+VALUE(RIGHT(Indices!M187,1)),0)</f>
        <v/>
      </c>
    </row>
    <row r="786">
      <c r="A786" t="inlineStr">
        <is>
          <t>IRL</t>
        </is>
      </c>
      <c r="B786">
        <f>IF(AND(LEN(Indices!M188)=7,MID(Indices!M188,5,2)="-T",ISNUMBER(VALUE(LEFT(Indices!M188,4))),ISNUMBER(INDEX(Indices!$A:$P,ROW(Indices!M188),COLUMN(Indices!M188)+1))),VALUE(LEFT(Indices!M188,4))*4+VALUE(RIGHT(Indices!M188,1)),0)</f>
        <v/>
      </c>
    </row>
    <row r="787">
      <c r="A787" t="inlineStr">
        <is>
          <t>IRL</t>
        </is>
      </c>
      <c r="B787">
        <f>IF(AND(LEN(Indices!M189)=7,MID(Indices!M189,5,2)="-T",ISNUMBER(VALUE(LEFT(Indices!M189,4))),ISNUMBER(INDEX(Indices!$A:$P,ROW(Indices!M189),COLUMN(Indices!M189)+1))),VALUE(LEFT(Indices!M189,4))*4+VALUE(RIGHT(Indices!M189,1)),0)</f>
        <v/>
      </c>
    </row>
    <row r="788">
      <c r="A788" t="inlineStr">
        <is>
          <t>IRL</t>
        </is>
      </c>
      <c r="B788">
        <f>IF(AND(LEN(Indices!M190)=7,MID(Indices!M190,5,2)="-T",ISNUMBER(VALUE(LEFT(Indices!M190,4))),ISNUMBER(INDEX(Indices!$A:$P,ROW(Indices!M190),COLUMN(Indices!M190)+1))),VALUE(LEFT(Indices!M190,4))*4+VALUE(RIGHT(Indices!M190,1)),0)</f>
        <v/>
      </c>
    </row>
    <row r="789">
      <c r="A789" t="inlineStr">
        <is>
          <t>IRL</t>
        </is>
      </c>
      <c r="B789">
        <f>IF(AND(LEN(Indices!M191)=7,MID(Indices!M191,5,2)="-T",ISNUMBER(VALUE(LEFT(Indices!M191,4))),ISNUMBER(INDEX(Indices!$A:$P,ROW(Indices!M191),COLUMN(Indices!M191)+1))),VALUE(LEFT(Indices!M191,4))*4+VALUE(RIGHT(Indices!M191,1)),0)</f>
        <v/>
      </c>
    </row>
    <row r="790">
      <c r="A790" t="inlineStr">
        <is>
          <t>IRL</t>
        </is>
      </c>
      <c r="B790">
        <f>IF(AND(LEN(Indices!M192)=7,MID(Indices!M192,5,2)="-T",ISNUMBER(VALUE(LEFT(Indices!M192,4))),ISNUMBER(INDEX(Indices!$A:$P,ROW(Indices!M192),COLUMN(Indices!M192)+1))),VALUE(LEFT(Indices!M192,4))*4+VALUE(RIGHT(Indices!M192,1)),0)</f>
        <v/>
      </c>
    </row>
    <row r="791">
      <c r="A791" t="inlineStr">
        <is>
          <t>IRL</t>
        </is>
      </c>
      <c r="B791">
        <f>IF(AND(LEN(Indices!M193)=7,MID(Indices!M193,5,2)="-T",ISNUMBER(VALUE(LEFT(Indices!M193,4))),ISNUMBER(INDEX(Indices!$A:$P,ROW(Indices!M193),COLUMN(Indices!M193)+1))),VALUE(LEFT(Indices!M193,4))*4+VALUE(RIGHT(Indices!M193,1)),0)</f>
        <v/>
      </c>
    </row>
    <row r="792">
      <c r="A792" t="inlineStr">
        <is>
          <t>IRL</t>
        </is>
      </c>
      <c r="B792">
        <f>IF(AND(LEN(Indices!M194)=7,MID(Indices!M194,5,2)="-T",ISNUMBER(VALUE(LEFT(Indices!M194,4))),ISNUMBER(INDEX(Indices!$A:$P,ROW(Indices!M194),COLUMN(Indices!M194)+1))),VALUE(LEFT(Indices!M194,4))*4+VALUE(RIGHT(Indices!M194,1)),0)</f>
        <v/>
      </c>
    </row>
    <row r="793">
      <c r="A793" t="inlineStr">
        <is>
          <t>IRL</t>
        </is>
      </c>
      <c r="B793">
        <f>IF(AND(LEN(Indices!M195)=7,MID(Indices!M195,5,2)="-T",ISNUMBER(VALUE(LEFT(Indices!M195,4))),ISNUMBER(INDEX(Indices!$A:$P,ROW(Indices!M195),COLUMN(Indices!M195)+1))),VALUE(LEFT(Indices!M195,4))*4+VALUE(RIGHT(Indices!M195,1)),0)</f>
        <v/>
      </c>
    </row>
    <row r="794">
      <c r="A794" t="inlineStr">
        <is>
          <t>IRL</t>
        </is>
      </c>
      <c r="B794">
        <f>IF(AND(LEN(Indices!M196)=7,MID(Indices!M196,5,2)="-T",ISNUMBER(VALUE(LEFT(Indices!M196,4))),ISNUMBER(INDEX(Indices!$A:$P,ROW(Indices!M196),COLUMN(Indices!M196)+1))),VALUE(LEFT(Indices!M196,4))*4+VALUE(RIGHT(Indices!M196,1)),0)</f>
        <v/>
      </c>
    </row>
    <row r="795">
      <c r="A795" t="inlineStr">
        <is>
          <t>IRL</t>
        </is>
      </c>
      <c r="B795">
        <f>IF(AND(LEN(Indices!M197)=7,MID(Indices!M197,5,2)="-T",ISNUMBER(VALUE(LEFT(Indices!M197,4))),ISNUMBER(INDEX(Indices!$A:$P,ROW(Indices!M197),COLUMN(Indices!M197)+1))),VALUE(LEFT(Indices!M197,4))*4+VALUE(RIGHT(Indices!M197,1)),0)</f>
        <v/>
      </c>
    </row>
    <row r="796">
      <c r="A796" t="inlineStr">
        <is>
          <t>IRL</t>
        </is>
      </c>
      <c r="B796">
        <f>IF(AND(LEN(Indices!M198)=7,MID(Indices!M198,5,2)="-T",ISNUMBER(VALUE(LEFT(Indices!M198,4))),ISNUMBER(INDEX(Indices!$A:$P,ROW(Indices!M198),COLUMN(Indices!M198)+1))),VALUE(LEFT(Indices!M198,4))*4+VALUE(RIGHT(Indices!M198,1)),0)</f>
        <v/>
      </c>
    </row>
    <row r="797">
      <c r="A797" t="inlineStr">
        <is>
          <t>IRL</t>
        </is>
      </c>
      <c r="B797">
        <f>IF(AND(LEN(Indices!M199)=7,MID(Indices!M199,5,2)="-T",ISNUMBER(VALUE(LEFT(Indices!M199,4))),ISNUMBER(INDEX(Indices!$A:$P,ROW(Indices!M199),COLUMN(Indices!M199)+1))),VALUE(LEFT(Indices!M199,4))*4+VALUE(RIGHT(Indices!M199,1)),0)</f>
        <v/>
      </c>
    </row>
    <row r="798">
      <c r="A798" t="inlineStr">
        <is>
          <t>IRL</t>
        </is>
      </c>
      <c r="B798">
        <f>IF(AND(LEN(Indices!M200)=7,MID(Indices!M200,5,2)="-T",ISNUMBER(VALUE(LEFT(Indices!M200,4))),ISNUMBER(INDEX(Indices!$A:$P,ROW(Indices!M200),COLUMN(Indices!M200)+1))),VALUE(LEFT(Indices!M200,4))*4+VALUE(RIGHT(Indices!M200,1)),0)</f>
        <v/>
      </c>
    </row>
    <row r="799">
      <c r="A799" t="inlineStr">
        <is>
          <t>IRL</t>
        </is>
      </c>
      <c r="B799">
        <f>IF(AND(LEN(Indices!M201)=7,MID(Indices!M201,5,2)="-T",ISNUMBER(VALUE(LEFT(Indices!M201,4))),ISNUMBER(INDEX(Indices!$A:$P,ROW(Indices!M201),COLUMN(Indices!M201)+1))),VALUE(LEFT(Indices!M201,4))*4+VALUE(RIGHT(Indices!M201,1)),0)</f>
        <v/>
      </c>
    </row>
    <row r="800">
      <c r="A800" t="inlineStr">
        <is>
          <t>IRL</t>
        </is>
      </c>
      <c r="B800">
        <f>IF(AND(LEN(Indices!M202)=7,MID(Indices!M202,5,2)="-T",ISNUMBER(VALUE(LEFT(Indices!M202,4))),ISNUMBER(INDEX(Indices!$A:$P,ROW(Indices!M202),COLUMN(Indices!M202)+1))),VALUE(LEFT(Indices!M202,4))*4+VALUE(RIGHT(Indices!M202,1)),0)</f>
        <v/>
      </c>
    </row>
    <row r="801">
      <c r="A801" t="inlineStr">
        <is>
          <t>IRL</t>
        </is>
      </c>
      <c r="B801">
        <f>IF(AND(LEN(Indices!M203)=7,MID(Indices!M203,5,2)="-T",ISNUMBER(VALUE(LEFT(Indices!M203,4))),ISNUMBER(INDEX(Indices!$A:$P,ROW(Indices!M203),COLUMN(Indices!M203)+1))),VALUE(LEFT(Indices!M203,4))*4+VALUE(RIGHT(Indices!M203,1)),0)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30" customHeight="1">
      <c r="A1" s="19" t="inlineStr">
        <is>
          <t>Année</t>
        </is>
      </c>
      <c r="B1" s="27" t="inlineStr">
        <is>
          <t>ILC – base 100 au T1 2008</t>
        </is>
      </c>
      <c r="F1" s="27" t="inlineStr">
        <is>
          <t>ILAT – base 100 au T1 2010</t>
        </is>
      </c>
      <c r="J1" s="27" t="inlineStr">
        <is>
          <t>ICC – base 100 au T4 1953</t>
        </is>
      </c>
      <c r="N1" s="27" t="inlineStr">
        <is>
          <t>IRL – base 100 au T4 1998</t>
        </is>
      </c>
    </row>
    <row r="2">
      <c r="A2" s="19" t="n"/>
      <c r="B2" s="21" t="inlineStr">
        <is>
          <t>T1</t>
        </is>
      </c>
      <c r="C2" s="21" t="inlineStr">
        <is>
          <t>T2</t>
        </is>
      </c>
      <c r="D2" s="21" t="inlineStr">
        <is>
          <t>T3</t>
        </is>
      </c>
      <c r="E2" s="21" t="inlineStr">
        <is>
          <t>T4</t>
        </is>
      </c>
      <c r="F2" s="21" t="inlineStr">
        <is>
          <t>T1</t>
        </is>
      </c>
      <c r="G2" s="21" t="inlineStr">
        <is>
          <t>T2</t>
        </is>
      </c>
      <c r="H2" s="21" t="inlineStr">
        <is>
          <t>T3</t>
        </is>
      </c>
      <c r="I2" s="21" t="inlineStr">
        <is>
          <t>T4</t>
        </is>
      </c>
      <c r="J2" s="21" t="inlineStr">
        <is>
          <t>T1</t>
        </is>
      </c>
      <c r="K2" s="21" t="inlineStr">
        <is>
          <t>T2</t>
        </is>
      </c>
      <c r="L2" s="21" t="inlineStr">
        <is>
          <t>T3</t>
        </is>
      </c>
      <c r="M2" s="21" t="inlineStr">
        <is>
          <t>T4</t>
        </is>
      </c>
      <c r="N2" s="21" t="inlineStr">
        <is>
          <t>T1</t>
        </is>
      </c>
      <c r="O2" s="21" t="inlineStr">
        <is>
          <t>T2</t>
        </is>
      </c>
      <c r="P2" s="21" t="inlineStr">
        <is>
          <t>T3</t>
        </is>
      </c>
      <c r="Q2" s="21" t="inlineStr">
        <is>
          <t>T4</t>
        </is>
      </c>
    </row>
    <row r="3">
      <c r="A3" s="5" t="n">
        <v>2000</v>
      </c>
      <c r="B3" s="28">
        <f>IF(OR("2000-T1"="","ILC"=""),"",IFERROR(IF(SUMIFS(INDEX(Indices!$A:$P,0,MATCH("ILC",Indices!$1:$1,0)+1),INDEX(Indices!$A:$P,0,MATCH("ILC",Indices!$1:$1,0)),"2000-T1")=0,"",SUMIFS(INDEX(Indices!$A:$P,0,MATCH("ILC",Indices!$1:$1,0)+1),INDEX(Indices!$A:$P,0,MATCH("ILC",Indices!$1:$1,0)),"2000-T1")),""))</f>
        <v/>
      </c>
      <c r="C3" s="28">
        <f>IF(OR("2000-T2"="","ILC"=""),"",IFERROR(IF(SUMIFS(INDEX(Indices!$A:$P,0,MATCH("ILC",Indices!$1:$1,0)+1),INDEX(Indices!$A:$P,0,MATCH("ILC",Indices!$1:$1,0)),"2000-T2")=0,"",SUMIFS(INDEX(Indices!$A:$P,0,MATCH("ILC",Indices!$1:$1,0)+1),INDEX(Indices!$A:$P,0,MATCH("ILC",Indices!$1:$1,0)),"2000-T2")),""))</f>
        <v/>
      </c>
      <c r="D3" s="28">
        <f>IF(OR("2000-T3"="","ILC"=""),"",IFERROR(IF(SUMIFS(INDEX(Indices!$A:$P,0,MATCH("ILC",Indices!$1:$1,0)+1),INDEX(Indices!$A:$P,0,MATCH("ILC",Indices!$1:$1,0)),"2000-T3")=0,"",SUMIFS(INDEX(Indices!$A:$P,0,MATCH("ILC",Indices!$1:$1,0)+1),INDEX(Indices!$A:$P,0,MATCH("ILC",Indices!$1:$1,0)),"2000-T3")),""))</f>
        <v/>
      </c>
      <c r="E3" s="28">
        <f>IF(OR("2000-T4"="","ILC"=""),"",IFERROR(IF(SUMIFS(INDEX(Indices!$A:$P,0,MATCH("ILC",Indices!$1:$1,0)+1),INDEX(Indices!$A:$P,0,MATCH("ILC",Indices!$1:$1,0)),"2000-T4")=0,"",SUMIFS(INDEX(Indices!$A:$P,0,MATCH("ILC",Indices!$1:$1,0)+1),INDEX(Indices!$A:$P,0,MATCH("ILC",Indices!$1:$1,0)),"2000-T4")),""))</f>
        <v/>
      </c>
      <c r="F3" s="28">
        <f>IF(OR("2000-T1"="","ILAT"=""),"",IFERROR(IF(SUMIFS(INDEX(Indices!$A:$P,0,MATCH("ILAT",Indices!$1:$1,0)+1),INDEX(Indices!$A:$P,0,MATCH("ILAT",Indices!$1:$1,0)),"2000-T1")=0,"",SUMIFS(INDEX(Indices!$A:$P,0,MATCH("ILAT",Indices!$1:$1,0)+1),INDEX(Indices!$A:$P,0,MATCH("ILAT",Indices!$1:$1,0)),"2000-T1")),""))</f>
        <v/>
      </c>
      <c r="G3" s="28">
        <f>IF(OR("2000-T2"="","ILAT"=""),"",IFERROR(IF(SUMIFS(INDEX(Indices!$A:$P,0,MATCH("ILAT",Indices!$1:$1,0)+1),INDEX(Indices!$A:$P,0,MATCH("ILAT",Indices!$1:$1,0)),"2000-T2")=0,"",SUMIFS(INDEX(Indices!$A:$P,0,MATCH("ILAT",Indices!$1:$1,0)+1),INDEX(Indices!$A:$P,0,MATCH("ILAT",Indices!$1:$1,0)),"2000-T2")),""))</f>
        <v/>
      </c>
      <c r="H3" s="28">
        <f>IF(OR("2000-T3"="","ILAT"=""),"",IFERROR(IF(SUMIFS(INDEX(Indices!$A:$P,0,MATCH("ILAT",Indices!$1:$1,0)+1),INDEX(Indices!$A:$P,0,MATCH("ILAT",Indices!$1:$1,0)),"2000-T3")=0,"",SUMIFS(INDEX(Indices!$A:$P,0,MATCH("ILAT",Indices!$1:$1,0)+1),INDEX(Indices!$A:$P,0,MATCH("ILAT",Indices!$1:$1,0)),"2000-T3")),""))</f>
        <v/>
      </c>
      <c r="I3" s="28">
        <f>IF(OR("2000-T4"="","ILAT"=""),"",IFERROR(IF(SUMIFS(INDEX(Indices!$A:$P,0,MATCH("ILAT",Indices!$1:$1,0)+1),INDEX(Indices!$A:$P,0,MATCH("ILAT",Indices!$1:$1,0)),"2000-T4")=0,"",SUMIFS(INDEX(Indices!$A:$P,0,MATCH("ILAT",Indices!$1:$1,0)+1),INDEX(Indices!$A:$P,0,MATCH("ILAT",Indices!$1:$1,0)),"2000-T4")),""))</f>
        <v/>
      </c>
      <c r="J3" s="29">
        <f>IF(OR("2000-T1"="","ICC"=""),"",IFERROR(IF(SUMIFS(INDEX(Indices!$A:$P,0,MATCH("ICC",Indices!$1:$1,0)+1),INDEX(Indices!$A:$P,0,MATCH("ICC",Indices!$1:$1,0)),"2000-T1")=0,"",SUMIFS(INDEX(Indices!$A:$P,0,MATCH("ICC",Indices!$1:$1,0)+1),INDEX(Indices!$A:$P,0,MATCH("ICC",Indices!$1:$1,0)),"2000-T1")),""))</f>
        <v/>
      </c>
      <c r="K3" s="29">
        <f>IF(OR("2000-T2"="","ICC"=""),"",IFERROR(IF(SUMIFS(INDEX(Indices!$A:$P,0,MATCH("ICC",Indices!$1:$1,0)+1),INDEX(Indices!$A:$P,0,MATCH("ICC",Indices!$1:$1,0)),"2000-T2")=0,"",SUMIFS(INDEX(Indices!$A:$P,0,MATCH("ICC",Indices!$1:$1,0)+1),INDEX(Indices!$A:$P,0,MATCH("ICC",Indices!$1:$1,0)),"2000-T2")),""))</f>
        <v/>
      </c>
      <c r="L3" s="29">
        <f>IF(OR("2000-T3"="","ICC"=""),"",IFERROR(IF(SUMIFS(INDEX(Indices!$A:$P,0,MATCH("ICC",Indices!$1:$1,0)+1),INDEX(Indices!$A:$P,0,MATCH("ICC",Indices!$1:$1,0)),"2000-T3")=0,"",SUMIFS(INDEX(Indices!$A:$P,0,MATCH("ICC",Indices!$1:$1,0)+1),INDEX(Indices!$A:$P,0,MATCH("ICC",Indices!$1:$1,0)),"2000-T3")),""))</f>
        <v/>
      </c>
      <c r="M3" s="29">
        <f>IF(OR("2000-T4"="","ICC"=""),"",IFERROR(IF(SUMIFS(INDEX(Indices!$A:$P,0,MATCH("ICC",Indices!$1:$1,0)+1),INDEX(Indices!$A:$P,0,MATCH("ICC",Indices!$1:$1,0)),"2000-T4")=0,"",SUMIFS(INDEX(Indices!$A:$P,0,MATCH("ICC",Indices!$1:$1,0)+1),INDEX(Indices!$A:$P,0,MATCH("ICC",Indices!$1:$1,0)),"2000-T4")),""))</f>
        <v/>
      </c>
      <c r="N3" s="28">
        <f>IF(OR("2000-T1"="","IRL"=""),"",IFERROR(IF(SUMIFS(INDEX(Indices!$A:$P,0,MATCH("IRL",Indices!$1:$1,0)+1),INDEX(Indices!$A:$P,0,MATCH("IRL",Indices!$1:$1,0)),"2000-T1")=0,"",SUMIFS(INDEX(Indices!$A:$P,0,MATCH("IRL",Indices!$1:$1,0)+1),INDEX(Indices!$A:$P,0,MATCH("IRL",Indices!$1:$1,0)),"2000-T1")),""))</f>
        <v/>
      </c>
      <c r="O3" s="28">
        <f>IF(OR("2000-T2"="","IRL"=""),"",IFERROR(IF(SUMIFS(INDEX(Indices!$A:$P,0,MATCH("IRL",Indices!$1:$1,0)+1),INDEX(Indices!$A:$P,0,MATCH("IRL",Indices!$1:$1,0)),"2000-T2")=0,"",SUMIFS(INDEX(Indices!$A:$P,0,MATCH("IRL",Indices!$1:$1,0)+1),INDEX(Indices!$A:$P,0,MATCH("IRL",Indices!$1:$1,0)),"2000-T2")),""))</f>
        <v/>
      </c>
      <c r="P3" s="28">
        <f>IF(OR("2000-T3"="","IRL"=""),"",IFERROR(IF(SUMIFS(INDEX(Indices!$A:$P,0,MATCH("IRL",Indices!$1:$1,0)+1),INDEX(Indices!$A:$P,0,MATCH("IRL",Indices!$1:$1,0)),"2000-T3")=0,"",SUMIFS(INDEX(Indices!$A:$P,0,MATCH("IRL",Indices!$1:$1,0)+1),INDEX(Indices!$A:$P,0,MATCH("IRL",Indices!$1:$1,0)),"2000-T3")),""))</f>
        <v/>
      </c>
      <c r="Q3" s="28">
        <f>IF(OR("2000-T4"="","IRL"=""),"",IFERROR(IF(SUMIFS(INDEX(Indices!$A:$P,0,MATCH("IRL",Indices!$1:$1,0)+1),INDEX(Indices!$A:$P,0,MATCH("IRL",Indices!$1:$1,0)),"2000-T4")=0,"",SUMIFS(INDEX(Indices!$A:$P,0,MATCH("IRL",Indices!$1:$1,0)+1),INDEX(Indices!$A:$P,0,MATCH("IRL",Indices!$1:$1,0)),"2000-T4")),""))</f>
        <v/>
      </c>
    </row>
    <row r="4">
      <c r="A4" s="5" t="n">
        <v>2001</v>
      </c>
      <c r="B4" s="28">
        <f>IF(OR("2001-T1"="","ILC"=""),"",IFERROR(IF(SUMIFS(INDEX(Indices!$A:$P,0,MATCH("ILC",Indices!$1:$1,0)+1),INDEX(Indices!$A:$P,0,MATCH("ILC",Indices!$1:$1,0)),"2001-T1")=0,"",SUMIFS(INDEX(Indices!$A:$P,0,MATCH("ILC",Indices!$1:$1,0)+1),INDEX(Indices!$A:$P,0,MATCH("ILC",Indices!$1:$1,0)),"2001-T1")),""))</f>
        <v/>
      </c>
      <c r="C4" s="28">
        <f>IF(OR("2001-T2"="","ILC"=""),"",IFERROR(IF(SUMIFS(INDEX(Indices!$A:$P,0,MATCH("ILC",Indices!$1:$1,0)+1),INDEX(Indices!$A:$P,0,MATCH("ILC",Indices!$1:$1,0)),"2001-T2")=0,"",SUMIFS(INDEX(Indices!$A:$P,0,MATCH("ILC",Indices!$1:$1,0)+1),INDEX(Indices!$A:$P,0,MATCH("ILC",Indices!$1:$1,0)),"2001-T2")),""))</f>
        <v/>
      </c>
      <c r="D4" s="28">
        <f>IF(OR("2001-T3"="","ILC"=""),"",IFERROR(IF(SUMIFS(INDEX(Indices!$A:$P,0,MATCH("ILC",Indices!$1:$1,0)+1),INDEX(Indices!$A:$P,0,MATCH("ILC",Indices!$1:$1,0)),"2001-T3")=0,"",SUMIFS(INDEX(Indices!$A:$P,0,MATCH("ILC",Indices!$1:$1,0)+1),INDEX(Indices!$A:$P,0,MATCH("ILC",Indices!$1:$1,0)),"2001-T3")),""))</f>
        <v/>
      </c>
      <c r="E4" s="28">
        <f>IF(OR("2001-T4"="","ILC"=""),"",IFERROR(IF(SUMIFS(INDEX(Indices!$A:$P,0,MATCH("ILC",Indices!$1:$1,0)+1),INDEX(Indices!$A:$P,0,MATCH("ILC",Indices!$1:$1,0)),"2001-T4")=0,"",SUMIFS(INDEX(Indices!$A:$P,0,MATCH("ILC",Indices!$1:$1,0)+1),INDEX(Indices!$A:$P,0,MATCH("ILC",Indices!$1:$1,0)),"2001-T4")),""))</f>
        <v/>
      </c>
      <c r="F4" s="28">
        <f>IF(OR("2001-T1"="","ILAT"=""),"",IFERROR(IF(SUMIFS(INDEX(Indices!$A:$P,0,MATCH("ILAT",Indices!$1:$1,0)+1),INDEX(Indices!$A:$P,0,MATCH("ILAT",Indices!$1:$1,0)),"2001-T1")=0,"",SUMIFS(INDEX(Indices!$A:$P,0,MATCH("ILAT",Indices!$1:$1,0)+1),INDEX(Indices!$A:$P,0,MATCH("ILAT",Indices!$1:$1,0)),"2001-T1")),""))</f>
        <v/>
      </c>
      <c r="G4" s="28">
        <f>IF(OR("2001-T2"="","ILAT"=""),"",IFERROR(IF(SUMIFS(INDEX(Indices!$A:$P,0,MATCH("ILAT",Indices!$1:$1,0)+1),INDEX(Indices!$A:$P,0,MATCH("ILAT",Indices!$1:$1,0)),"2001-T2")=0,"",SUMIFS(INDEX(Indices!$A:$P,0,MATCH("ILAT",Indices!$1:$1,0)+1),INDEX(Indices!$A:$P,0,MATCH("ILAT",Indices!$1:$1,0)),"2001-T2")),""))</f>
        <v/>
      </c>
      <c r="H4" s="28">
        <f>IF(OR("2001-T3"="","ILAT"=""),"",IFERROR(IF(SUMIFS(INDEX(Indices!$A:$P,0,MATCH("ILAT",Indices!$1:$1,0)+1),INDEX(Indices!$A:$P,0,MATCH("ILAT",Indices!$1:$1,0)),"2001-T3")=0,"",SUMIFS(INDEX(Indices!$A:$P,0,MATCH("ILAT",Indices!$1:$1,0)+1),INDEX(Indices!$A:$P,0,MATCH("ILAT",Indices!$1:$1,0)),"2001-T3")),""))</f>
        <v/>
      </c>
      <c r="I4" s="28">
        <f>IF(OR("2001-T4"="","ILAT"=""),"",IFERROR(IF(SUMIFS(INDEX(Indices!$A:$P,0,MATCH("ILAT",Indices!$1:$1,0)+1),INDEX(Indices!$A:$P,0,MATCH("ILAT",Indices!$1:$1,0)),"2001-T4")=0,"",SUMIFS(INDEX(Indices!$A:$P,0,MATCH("ILAT",Indices!$1:$1,0)+1),INDEX(Indices!$A:$P,0,MATCH("ILAT",Indices!$1:$1,0)),"2001-T4")),""))</f>
        <v/>
      </c>
      <c r="J4" s="29">
        <f>IF(OR("2001-T1"="","ICC"=""),"",IFERROR(IF(SUMIFS(INDEX(Indices!$A:$P,0,MATCH("ICC",Indices!$1:$1,0)+1),INDEX(Indices!$A:$P,0,MATCH("ICC",Indices!$1:$1,0)),"2001-T1")=0,"",SUMIFS(INDEX(Indices!$A:$P,0,MATCH("ICC",Indices!$1:$1,0)+1),INDEX(Indices!$A:$P,0,MATCH("ICC",Indices!$1:$1,0)),"2001-T1")),""))</f>
        <v/>
      </c>
      <c r="K4" s="29">
        <f>IF(OR("2001-T2"="","ICC"=""),"",IFERROR(IF(SUMIFS(INDEX(Indices!$A:$P,0,MATCH("ICC",Indices!$1:$1,0)+1),INDEX(Indices!$A:$P,0,MATCH("ICC",Indices!$1:$1,0)),"2001-T2")=0,"",SUMIFS(INDEX(Indices!$A:$P,0,MATCH("ICC",Indices!$1:$1,0)+1),INDEX(Indices!$A:$P,0,MATCH("ICC",Indices!$1:$1,0)),"2001-T2")),""))</f>
        <v/>
      </c>
      <c r="L4" s="29">
        <f>IF(OR("2001-T3"="","ICC"=""),"",IFERROR(IF(SUMIFS(INDEX(Indices!$A:$P,0,MATCH("ICC",Indices!$1:$1,0)+1),INDEX(Indices!$A:$P,0,MATCH("ICC",Indices!$1:$1,0)),"2001-T3")=0,"",SUMIFS(INDEX(Indices!$A:$P,0,MATCH("ICC",Indices!$1:$1,0)+1),INDEX(Indices!$A:$P,0,MATCH("ICC",Indices!$1:$1,0)),"2001-T3")),""))</f>
        <v/>
      </c>
      <c r="M4" s="29">
        <f>IF(OR("2001-T4"="","ICC"=""),"",IFERROR(IF(SUMIFS(INDEX(Indices!$A:$P,0,MATCH("ICC",Indices!$1:$1,0)+1),INDEX(Indices!$A:$P,0,MATCH("ICC",Indices!$1:$1,0)),"2001-T4")=0,"",SUMIFS(INDEX(Indices!$A:$P,0,MATCH("ICC",Indices!$1:$1,0)+1),INDEX(Indices!$A:$P,0,MATCH("ICC",Indices!$1:$1,0)),"2001-T4")),""))</f>
        <v/>
      </c>
      <c r="N4" s="28">
        <f>IF(OR("2001-T1"="","IRL"=""),"",IFERROR(IF(SUMIFS(INDEX(Indices!$A:$P,0,MATCH("IRL",Indices!$1:$1,0)+1),INDEX(Indices!$A:$P,0,MATCH("IRL",Indices!$1:$1,0)),"2001-T1")=0,"",SUMIFS(INDEX(Indices!$A:$P,0,MATCH("IRL",Indices!$1:$1,0)+1),INDEX(Indices!$A:$P,0,MATCH("IRL",Indices!$1:$1,0)),"2001-T1")),""))</f>
        <v/>
      </c>
      <c r="O4" s="28">
        <f>IF(OR("2001-T2"="","IRL"=""),"",IFERROR(IF(SUMIFS(INDEX(Indices!$A:$P,0,MATCH("IRL",Indices!$1:$1,0)+1),INDEX(Indices!$A:$P,0,MATCH("IRL",Indices!$1:$1,0)),"2001-T2")=0,"",SUMIFS(INDEX(Indices!$A:$P,0,MATCH("IRL",Indices!$1:$1,0)+1),INDEX(Indices!$A:$P,0,MATCH("IRL",Indices!$1:$1,0)),"2001-T2")),""))</f>
        <v/>
      </c>
      <c r="P4" s="28">
        <f>IF(OR("2001-T3"="","IRL"=""),"",IFERROR(IF(SUMIFS(INDEX(Indices!$A:$P,0,MATCH("IRL",Indices!$1:$1,0)+1),INDEX(Indices!$A:$P,0,MATCH("IRL",Indices!$1:$1,0)),"2001-T3")=0,"",SUMIFS(INDEX(Indices!$A:$P,0,MATCH("IRL",Indices!$1:$1,0)+1),INDEX(Indices!$A:$P,0,MATCH("IRL",Indices!$1:$1,0)),"2001-T3")),""))</f>
        <v/>
      </c>
      <c r="Q4" s="28">
        <f>IF(OR("2001-T4"="","IRL"=""),"",IFERROR(IF(SUMIFS(INDEX(Indices!$A:$P,0,MATCH("IRL",Indices!$1:$1,0)+1),INDEX(Indices!$A:$P,0,MATCH("IRL",Indices!$1:$1,0)),"2001-T4")=0,"",SUMIFS(INDEX(Indices!$A:$P,0,MATCH("IRL",Indices!$1:$1,0)+1),INDEX(Indices!$A:$P,0,MATCH("IRL",Indices!$1:$1,0)),"2001-T4")),""))</f>
        <v/>
      </c>
    </row>
    <row r="5">
      <c r="A5" s="5" t="n">
        <v>2002</v>
      </c>
      <c r="B5" s="28">
        <f>IF(OR("2002-T1"="","ILC"=""),"",IFERROR(IF(SUMIFS(INDEX(Indices!$A:$P,0,MATCH("ILC",Indices!$1:$1,0)+1),INDEX(Indices!$A:$P,0,MATCH("ILC",Indices!$1:$1,0)),"2002-T1")=0,"",SUMIFS(INDEX(Indices!$A:$P,0,MATCH("ILC",Indices!$1:$1,0)+1),INDEX(Indices!$A:$P,0,MATCH("ILC",Indices!$1:$1,0)),"2002-T1")),""))</f>
        <v/>
      </c>
      <c r="C5" s="28">
        <f>IF(OR("2002-T2"="","ILC"=""),"",IFERROR(IF(SUMIFS(INDEX(Indices!$A:$P,0,MATCH("ILC",Indices!$1:$1,0)+1),INDEX(Indices!$A:$P,0,MATCH("ILC",Indices!$1:$1,0)),"2002-T2")=0,"",SUMIFS(INDEX(Indices!$A:$P,0,MATCH("ILC",Indices!$1:$1,0)+1),INDEX(Indices!$A:$P,0,MATCH("ILC",Indices!$1:$1,0)),"2002-T2")),""))</f>
        <v/>
      </c>
      <c r="D5" s="28">
        <f>IF(OR("2002-T3"="","ILC"=""),"",IFERROR(IF(SUMIFS(INDEX(Indices!$A:$P,0,MATCH("ILC",Indices!$1:$1,0)+1),INDEX(Indices!$A:$P,0,MATCH("ILC",Indices!$1:$1,0)),"2002-T3")=0,"",SUMIFS(INDEX(Indices!$A:$P,0,MATCH("ILC",Indices!$1:$1,0)+1),INDEX(Indices!$A:$P,0,MATCH("ILC",Indices!$1:$1,0)),"2002-T3")),""))</f>
        <v/>
      </c>
      <c r="E5" s="28">
        <f>IF(OR("2002-T4"="","ILC"=""),"",IFERROR(IF(SUMIFS(INDEX(Indices!$A:$P,0,MATCH("ILC",Indices!$1:$1,0)+1),INDEX(Indices!$A:$P,0,MATCH("ILC",Indices!$1:$1,0)),"2002-T4")=0,"",SUMIFS(INDEX(Indices!$A:$P,0,MATCH("ILC",Indices!$1:$1,0)+1),INDEX(Indices!$A:$P,0,MATCH("ILC",Indices!$1:$1,0)),"2002-T4")),""))</f>
        <v/>
      </c>
      <c r="F5" s="28">
        <f>IF(OR("2002-T1"="","ILAT"=""),"",IFERROR(IF(SUMIFS(INDEX(Indices!$A:$P,0,MATCH("ILAT",Indices!$1:$1,0)+1),INDEX(Indices!$A:$P,0,MATCH("ILAT",Indices!$1:$1,0)),"2002-T1")=0,"",SUMIFS(INDEX(Indices!$A:$P,0,MATCH("ILAT",Indices!$1:$1,0)+1),INDEX(Indices!$A:$P,0,MATCH("ILAT",Indices!$1:$1,0)),"2002-T1")),""))</f>
        <v/>
      </c>
      <c r="G5" s="28">
        <f>IF(OR("2002-T2"="","ILAT"=""),"",IFERROR(IF(SUMIFS(INDEX(Indices!$A:$P,0,MATCH("ILAT",Indices!$1:$1,0)+1),INDEX(Indices!$A:$P,0,MATCH("ILAT",Indices!$1:$1,0)),"2002-T2")=0,"",SUMIFS(INDEX(Indices!$A:$P,0,MATCH("ILAT",Indices!$1:$1,0)+1),INDEX(Indices!$A:$P,0,MATCH("ILAT",Indices!$1:$1,0)),"2002-T2")),""))</f>
        <v/>
      </c>
      <c r="H5" s="28">
        <f>IF(OR("2002-T3"="","ILAT"=""),"",IFERROR(IF(SUMIFS(INDEX(Indices!$A:$P,0,MATCH("ILAT",Indices!$1:$1,0)+1),INDEX(Indices!$A:$P,0,MATCH("ILAT",Indices!$1:$1,0)),"2002-T3")=0,"",SUMIFS(INDEX(Indices!$A:$P,0,MATCH("ILAT",Indices!$1:$1,0)+1),INDEX(Indices!$A:$P,0,MATCH("ILAT",Indices!$1:$1,0)),"2002-T3")),""))</f>
        <v/>
      </c>
      <c r="I5" s="28">
        <f>IF(OR("2002-T4"="","ILAT"=""),"",IFERROR(IF(SUMIFS(INDEX(Indices!$A:$P,0,MATCH("ILAT",Indices!$1:$1,0)+1),INDEX(Indices!$A:$P,0,MATCH("ILAT",Indices!$1:$1,0)),"2002-T4")=0,"",SUMIFS(INDEX(Indices!$A:$P,0,MATCH("ILAT",Indices!$1:$1,0)+1),INDEX(Indices!$A:$P,0,MATCH("ILAT",Indices!$1:$1,0)),"2002-T4")),""))</f>
        <v/>
      </c>
      <c r="J5" s="29">
        <f>IF(OR("2002-T1"="","ICC"=""),"",IFERROR(IF(SUMIFS(INDEX(Indices!$A:$P,0,MATCH("ICC",Indices!$1:$1,0)+1),INDEX(Indices!$A:$P,0,MATCH("ICC",Indices!$1:$1,0)),"2002-T1")=0,"",SUMIFS(INDEX(Indices!$A:$P,0,MATCH("ICC",Indices!$1:$1,0)+1),INDEX(Indices!$A:$P,0,MATCH("ICC",Indices!$1:$1,0)),"2002-T1")),""))</f>
        <v/>
      </c>
      <c r="K5" s="29">
        <f>IF(OR("2002-T2"="","ICC"=""),"",IFERROR(IF(SUMIFS(INDEX(Indices!$A:$P,0,MATCH("ICC",Indices!$1:$1,0)+1),INDEX(Indices!$A:$P,0,MATCH("ICC",Indices!$1:$1,0)),"2002-T2")=0,"",SUMIFS(INDEX(Indices!$A:$P,0,MATCH("ICC",Indices!$1:$1,0)+1),INDEX(Indices!$A:$P,0,MATCH("ICC",Indices!$1:$1,0)),"2002-T2")),""))</f>
        <v/>
      </c>
      <c r="L5" s="29">
        <f>IF(OR("2002-T3"="","ICC"=""),"",IFERROR(IF(SUMIFS(INDEX(Indices!$A:$P,0,MATCH("ICC",Indices!$1:$1,0)+1),INDEX(Indices!$A:$P,0,MATCH("ICC",Indices!$1:$1,0)),"2002-T3")=0,"",SUMIFS(INDEX(Indices!$A:$P,0,MATCH("ICC",Indices!$1:$1,0)+1),INDEX(Indices!$A:$P,0,MATCH("ICC",Indices!$1:$1,0)),"2002-T3")),""))</f>
        <v/>
      </c>
      <c r="M5" s="29">
        <f>IF(OR("2002-T4"="","ICC"=""),"",IFERROR(IF(SUMIFS(INDEX(Indices!$A:$P,0,MATCH("ICC",Indices!$1:$1,0)+1),INDEX(Indices!$A:$P,0,MATCH("ICC",Indices!$1:$1,0)),"2002-T4")=0,"",SUMIFS(INDEX(Indices!$A:$P,0,MATCH("ICC",Indices!$1:$1,0)+1),INDEX(Indices!$A:$P,0,MATCH("ICC",Indices!$1:$1,0)),"2002-T4")),""))</f>
        <v/>
      </c>
      <c r="N5" s="28">
        <f>IF(OR("2002-T1"="","IRL"=""),"",IFERROR(IF(SUMIFS(INDEX(Indices!$A:$P,0,MATCH("IRL",Indices!$1:$1,0)+1),INDEX(Indices!$A:$P,0,MATCH("IRL",Indices!$1:$1,0)),"2002-T1")=0,"",SUMIFS(INDEX(Indices!$A:$P,0,MATCH("IRL",Indices!$1:$1,0)+1),INDEX(Indices!$A:$P,0,MATCH("IRL",Indices!$1:$1,0)),"2002-T1")),""))</f>
        <v/>
      </c>
      <c r="O5" s="28">
        <f>IF(OR("2002-T2"="","IRL"=""),"",IFERROR(IF(SUMIFS(INDEX(Indices!$A:$P,0,MATCH("IRL",Indices!$1:$1,0)+1),INDEX(Indices!$A:$P,0,MATCH("IRL",Indices!$1:$1,0)),"2002-T2")=0,"",SUMIFS(INDEX(Indices!$A:$P,0,MATCH("IRL",Indices!$1:$1,0)+1),INDEX(Indices!$A:$P,0,MATCH("IRL",Indices!$1:$1,0)),"2002-T2")),""))</f>
        <v/>
      </c>
      <c r="P5" s="28">
        <f>IF(OR("2002-T3"="","IRL"=""),"",IFERROR(IF(SUMIFS(INDEX(Indices!$A:$P,0,MATCH("IRL",Indices!$1:$1,0)+1),INDEX(Indices!$A:$P,0,MATCH("IRL",Indices!$1:$1,0)),"2002-T3")=0,"",SUMIFS(INDEX(Indices!$A:$P,0,MATCH("IRL",Indices!$1:$1,0)+1),INDEX(Indices!$A:$P,0,MATCH("IRL",Indices!$1:$1,0)),"2002-T3")),""))</f>
        <v/>
      </c>
      <c r="Q5" s="28">
        <f>IF(OR("2002-T4"="","IRL"=""),"",IFERROR(IF(SUMIFS(INDEX(Indices!$A:$P,0,MATCH("IRL",Indices!$1:$1,0)+1),INDEX(Indices!$A:$P,0,MATCH("IRL",Indices!$1:$1,0)),"2002-T4")=0,"",SUMIFS(INDEX(Indices!$A:$P,0,MATCH("IRL",Indices!$1:$1,0)+1),INDEX(Indices!$A:$P,0,MATCH("IRL",Indices!$1:$1,0)),"2002-T4")),""))</f>
        <v/>
      </c>
    </row>
    <row r="6">
      <c r="A6" s="5" t="n">
        <v>2003</v>
      </c>
      <c r="B6" s="28">
        <f>IF(OR("2003-T1"="","ILC"=""),"",IFERROR(IF(SUMIFS(INDEX(Indices!$A:$P,0,MATCH("ILC",Indices!$1:$1,0)+1),INDEX(Indices!$A:$P,0,MATCH("ILC",Indices!$1:$1,0)),"2003-T1")=0,"",SUMIFS(INDEX(Indices!$A:$P,0,MATCH("ILC",Indices!$1:$1,0)+1),INDEX(Indices!$A:$P,0,MATCH("ILC",Indices!$1:$1,0)),"2003-T1")),""))</f>
        <v/>
      </c>
      <c r="C6" s="28">
        <f>IF(OR("2003-T2"="","ILC"=""),"",IFERROR(IF(SUMIFS(INDEX(Indices!$A:$P,0,MATCH("ILC",Indices!$1:$1,0)+1),INDEX(Indices!$A:$P,0,MATCH("ILC",Indices!$1:$1,0)),"2003-T2")=0,"",SUMIFS(INDEX(Indices!$A:$P,0,MATCH("ILC",Indices!$1:$1,0)+1),INDEX(Indices!$A:$P,0,MATCH("ILC",Indices!$1:$1,0)),"2003-T2")),""))</f>
        <v/>
      </c>
      <c r="D6" s="28">
        <f>IF(OR("2003-T3"="","ILC"=""),"",IFERROR(IF(SUMIFS(INDEX(Indices!$A:$P,0,MATCH("ILC",Indices!$1:$1,0)+1),INDEX(Indices!$A:$P,0,MATCH("ILC",Indices!$1:$1,0)),"2003-T3")=0,"",SUMIFS(INDEX(Indices!$A:$P,0,MATCH("ILC",Indices!$1:$1,0)+1),INDEX(Indices!$A:$P,0,MATCH("ILC",Indices!$1:$1,0)),"2003-T3")),""))</f>
        <v/>
      </c>
      <c r="E6" s="28">
        <f>IF(OR("2003-T4"="","ILC"=""),"",IFERROR(IF(SUMIFS(INDEX(Indices!$A:$P,0,MATCH("ILC",Indices!$1:$1,0)+1),INDEX(Indices!$A:$P,0,MATCH("ILC",Indices!$1:$1,0)),"2003-T4")=0,"",SUMIFS(INDEX(Indices!$A:$P,0,MATCH("ILC",Indices!$1:$1,0)+1),INDEX(Indices!$A:$P,0,MATCH("ILC",Indices!$1:$1,0)),"2003-T4")),""))</f>
        <v/>
      </c>
      <c r="F6" s="28">
        <f>IF(OR("2003-T1"="","ILAT"=""),"",IFERROR(IF(SUMIFS(INDEX(Indices!$A:$P,0,MATCH("ILAT",Indices!$1:$1,0)+1),INDEX(Indices!$A:$P,0,MATCH("ILAT",Indices!$1:$1,0)),"2003-T1")=0,"",SUMIFS(INDEX(Indices!$A:$P,0,MATCH("ILAT",Indices!$1:$1,0)+1),INDEX(Indices!$A:$P,0,MATCH("ILAT",Indices!$1:$1,0)),"2003-T1")),""))</f>
        <v/>
      </c>
      <c r="G6" s="28">
        <f>IF(OR("2003-T2"="","ILAT"=""),"",IFERROR(IF(SUMIFS(INDEX(Indices!$A:$P,0,MATCH("ILAT",Indices!$1:$1,0)+1),INDEX(Indices!$A:$P,0,MATCH("ILAT",Indices!$1:$1,0)),"2003-T2")=0,"",SUMIFS(INDEX(Indices!$A:$P,0,MATCH("ILAT",Indices!$1:$1,0)+1),INDEX(Indices!$A:$P,0,MATCH("ILAT",Indices!$1:$1,0)),"2003-T2")),""))</f>
        <v/>
      </c>
      <c r="H6" s="28">
        <f>IF(OR("2003-T3"="","ILAT"=""),"",IFERROR(IF(SUMIFS(INDEX(Indices!$A:$P,0,MATCH("ILAT",Indices!$1:$1,0)+1),INDEX(Indices!$A:$P,0,MATCH("ILAT",Indices!$1:$1,0)),"2003-T3")=0,"",SUMIFS(INDEX(Indices!$A:$P,0,MATCH("ILAT",Indices!$1:$1,0)+1),INDEX(Indices!$A:$P,0,MATCH("ILAT",Indices!$1:$1,0)),"2003-T3")),""))</f>
        <v/>
      </c>
      <c r="I6" s="28">
        <f>IF(OR("2003-T4"="","ILAT"=""),"",IFERROR(IF(SUMIFS(INDEX(Indices!$A:$P,0,MATCH("ILAT",Indices!$1:$1,0)+1),INDEX(Indices!$A:$P,0,MATCH("ILAT",Indices!$1:$1,0)),"2003-T4")=0,"",SUMIFS(INDEX(Indices!$A:$P,0,MATCH("ILAT",Indices!$1:$1,0)+1),INDEX(Indices!$A:$P,0,MATCH("ILAT",Indices!$1:$1,0)),"2003-T4")),""))</f>
        <v/>
      </c>
      <c r="J6" s="29">
        <f>IF(OR("2003-T1"="","ICC"=""),"",IFERROR(IF(SUMIFS(INDEX(Indices!$A:$P,0,MATCH("ICC",Indices!$1:$1,0)+1),INDEX(Indices!$A:$P,0,MATCH("ICC",Indices!$1:$1,0)),"2003-T1")=0,"",SUMIFS(INDEX(Indices!$A:$P,0,MATCH("ICC",Indices!$1:$1,0)+1),INDEX(Indices!$A:$P,0,MATCH("ICC",Indices!$1:$1,0)),"2003-T1")),""))</f>
        <v/>
      </c>
      <c r="K6" s="29">
        <f>IF(OR("2003-T2"="","ICC"=""),"",IFERROR(IF(SUMIFS(INDEX(Indices!$A:$P,0,MATCH("ICC",Indices!$1:$1,0)+1),INDEX(Indices!$A:$P,0,MATCH("ICC",Indices!$1:$1,0)),"2003-T2")=0,"",SUMIFS(INDEX(Indices!$A:$P,0,MATCH("ICC",Indices!$1:$1,0)+1),INDEX(Indices!$A:$P,0,MATCH("ICC",Indices!$1:$1,0)),"2003-T2")),""))</f>
        <v/>
      </c>
      <c r="L6" s="29">
        <f>IF(OR("2003-T3"="","ICC"=""),"",IFERROR(IF(SUMIFS(INDEX(Indices!$A:$P,0,MATCH("ICC",Indices!$1:$1,0)+1),INDEX(Indices!$A:$P,0,MATCH("ICC",Indices!$1:$1,0)),"2003-T3")=0,"",SUMIFS(INDEX(Indices!$A:$P,0,MATCH("ICC",Indices!$1:$1,0)+1),INDEX(Indices!$A:$P,0,MATCH("ICC",Indices!$1:$1,0)),"2003-T3")),""))</f>
        <v/>
      </c>
      <c r="M6" s="29">
        <f>IF(OR("2003-T4"="","ICC"=""),"",IFERROR(IF(SUMIFS(INDEX(Indices!$A:$P,0,MATCH("ICC",Indices!$1:$1,0)+1),INDEX(Indices!$A:$P,0,MATCH("ICC",Indices!$1:$1,0)),"2003-T4")=0,"",SUMIFS(INDEX(Indices!$A:$P,0,MATCH("ICC",Indices!$1:$1,0)+1),INDEX(Indices!$A:$P,0,MATCH("ICC",Indices!$1:$1,0)),"2003-T4")),""))</f>
        <v/>
      </c>
      <c r="N6" s="28">
        <f>IF(OR("2003-T1"="","IRL"=""),"",IFERROR(IF(SUMIFS(INDEX(Indices!$A:$P,0,MATCH("IRL",Indices!$1:$1,0)+1),INDEX(Indices!$A:$P,0,MATCH("IRL",Indices!$1:$1,0)),"2003-T1")=0,"",SUMIFS(INDEX(Indices!$A:$P,0,MATCH("IRL",Indices!$1:$1,0)+1),INDEX(Indices!$A:$P,0,MATCH("IRL",Indices!$1:$1,0)),"2003-T1")),""))</f>
        <v/>
      </c>
      <c r="O6" s="28">
        <f>IF(OR("2003-T2"="","IRL"=""),"",IFERROR(IF(SUMIFS(INDEX(Indices!$A:$P,0,MATCH("IRL",Indices!$1:$1,0)+1),INDEX(Indices!$A:$P,0,MATCH("IRL",Indices!$1:$1,0)),"2003-T2")=0,"",SUMIFS(INDEX(Indices!$A:$P,0,MATCH("IRL",Indices!$1:$1,0)+1),INDEX(Indices!$A:$P,0,MATCH("IRL",Indices!$1:$1,0)),"2003-T2")),""))</f>
        <v/>
      </c>
      <c r="P6" s="28">
        <f>IF(OR("2003-T3"="","IRL"=""),"",IFERROR(IF(SUMIFS(INDEX(Indices!$A:$P,0,MATCH("IRL",Indices!$1:$1,0)+1),INDEX(Indices!$A:$P,0,MATCH("IRL",Indices!$1:$1,0)),"2003-T3")=0,"",SUMIFS(INDEX(Indices!$A:$P,0,MATCH("IRL",Indices!$1:$1,0)+1),INDEX(Indices!$A:$P,0,MATCH("IRL",Indices!$1:$1,0)),"2003-T3")),""))</f>
        <v/>
      </c>
      <c r="Q6" s="28">
        <f>IF(OR("2003-T4"="","IRL"=""),"",IFERROR(IF(SUMIFS(INDEX(Indices!$A:$P,0,MATCH("IRL",Indices!$1:$1,0)+1),INDEX(Indices!$A:$P,0,MATCH("IRL",Indices!$1:$1,0)),"2003-T4")=0,"",SUMIFS(INDEX(Indices!$A:$P,0,MATCH("IRL",Indices!$1:$1,0)+1),INDEX(Indices!$A:$P,0,MATCH("IRL",Indices!$1:$1,0)),"2003-T4")),""))</f>
        <v/>
      </c>
    </row>
    <row r="7">
      <c r="A7" s="5" t="n">
        <v>2004</v>
      </c>
      <c r="B7" s="28">
        <f>IF(OR("2004-T1"="","ILC"=""),"",IFERROR(IF(SUMIFS(INDEX(Indices!$A:$P,0,MATCH("ILC",Indices!$1:$1,0)+1),INDEX(Indices!$A:$P,0,MATCH("ILC",Indices!$1:$1,0)),"2004-T1")=0,"",SUMIFS(INDEX(Indices!$A:$P,0,MATCH("ILC",Indices!$1:$1,0)+1),INDEX(Indices!$A:$P,0,MATCH("ILC",Indices!$1:$1,0)),"2004-T1")),""))</f>
        <v/>
      </c>
      <c r="C7" s="28">
        <f>IF(OR("2004-T2"="","ILC"=""),"",IFERROR(IF(SUMIFS(INDEX(Indices!$A:$P,0,MATCH("ILC",Indices!$1:$1,0)+1),INDEX(Indices!$A:$P,0,MATCH("ILC",Indices!$1:$1,0)),"2004-T2")=0,"",SUMIFS(INDEX(Indices!$A:$P,0,MATCH("ILC",Indices!$1:$1,0)+1),INDEX(Indices!$A:$P,0,MATCH("ILC",Indices!$1:$1,0)),"2004-T2")),""))</f>
        <v/>
      </c>
      <c r="D7" s="28">
        <f>IF(OR("2004-T3"="","ILC"=""),"",IFERROR(IF(SUMIFS(INDEX(Indices!$A:$P,0,MATCH("ILC",Indices!$1:$1,0)+1),INDEX(Indices!$A:$P,0,MATCH("ILC",Indices!$1:$1,0)),"2004-T3")=0,"",SUMIFS(INDEX(Indices!$A:$P,0,MATCH("ILC",Indices!$1:$1,0)+1),INDEX(Indices!$A:$P,0,MATCH("ILC",Indices!$1:$1,0)),"2004-T3")),""))</f>
        <v/>
      </c>
      <c r="E7" s="28">
        <f>IF(OR("2004-T4"="","ILC"=""),"",IFERROR(IF(SUMIFS(INDEX(Indices!$A:$P,0,MATCH("ILC",Indices!$1:$1,0)+1),INDEX(Indices!$A:$P,0,MATCH("ILC",Indices!$1:$1,0)),"2004-T4")=0,"",SUMIFS(INDEX(Indices!$A:$P,0,MATCH("ILC",Indices!$1:$1,0)+1),INDEX(Indices!$A:$P,0,MATCH("ILC",Indices!$1:$1,0)),"2004-T4")),""))</f>
        <v/>
      </c>
      <c r="F7" s="28">
        <f>IF(OR("2004-T1"="","ILAT"=""),"",IFERROR(IF(SUMIFS(INDEX(Indices!$A:$P,0,MATCH("ILAT",Indices!$1:$1,0)+1),INDEX(Indices!$A:$P,0,MATCH("ILAT",Indices!$1:$1,0)),"2004-T1")=0,"",SUMIFS(INDEX(Indices!$A:$P,0,MATCH("ILAT",Indices!$1:$1,0)+1),INDEX(Indices!$A:$P,0,MATCH("ILAT",Indices!$1:$1,0)),"2004-T1")),""))</f>
        <v/>
      </c>
      <c r="G7" s="28">
        <f>IF(OR("2004-T2"="","ILAT"=""),"",IFERROR(IF(SUMIFS(INDEX(Indices!$A:$P,0,MATCH("ILAT",Indices!$1:$1,0)+1),INDEX(Indices!$A:$P,0,MATCH("ILAT",Indices!$1:$1,0)),"2004-T2")=0,"",SUMIFS(INDEX(Indices!$A:$P,0,MATCH("ILAT",Indices!$1:$1,0)+1),INDEX(Indices!$A:$P,0,MATCH("ILAT",Indices!$1:$1,0)),"2004-T2")),""))</f>
        <v/>
      </c>
      <c r="H7" s="28">
        <f>IF(OR("2004-T3"="","ILAT"=""),"",IFERROR(IF(SUMIFS(INDEX(Indices!$A:$P,0,MATCH("ILAT",Indices!$1:$1,0)+1),INDEX(Indices!$A:$P,0,MATCH("ILAT",Indices!$1:$1,0)),"2004-T3")=0,"",SUMIFS(INDEX(Indices!$A:$P,0,MATCH("ILAT",Indices!$1:$1,0)+1),INDEX(Indices!$A:$P,0,MATCH("ILAT",Indices!$1:$1,0)),"2004-T3")),""))</f>
        <v/>
      </c>
      <c r="I7" s="28">
        <f>IF(OR("2004-T4"="","ILAT"=""),"",IFERROR(IF(SUMIFS(INDEX(Indices!$A:$P,0,MATCH("ILAT",Indices!$1:$1,0)+1),INDEX(Indices!$A:$P,0,MATCH("ILAT",Indices!$1:$1,0)),"2004-T4")=0,"",SUMIFS(INDEX(Indices!$A:$P,0,MATCH("ILAT",Indices!$1:$1,0)+1),INDEX(Indices!$A:$P,0,MATCH("ILAT",Indices!$1:$1,0)),"2004-T4")),""))</f>
        <v/>
      </c>
      <c r="J7" s="29">
        <f>IF(OR("2004-T1"="","ICC"=""),"",IFERROR(IF(SUMIFS(INDEX(Indices!$A:$P,0,MATCH("ICC",Indices!$1:$1,0)+1),INDEX(Indices!$A:$P,0,MATCH("ICC",Indices!$1:$1,0)),"2004-T1")=0,"",SUMIFS(INDEX(Indices!$A:$P,0,MATCH("ICC",Indices!$1:$1,0)+1),INDEX(Indices!$A:$P,0,MATCH("ICC",Indices!$1:$1,0)),"2004-T1")),""))</f>
        <v/>
      </c>
      <c r="K7" s="29">
        <f>IF(OR("2004-T2"="","ICC"=""),"",IFERROR(IF(SUMIFS(INDEX(Indices!$A:$P,0,MATCH("ICC",Indices!$1:$1,0)+1),INDEX(Indices!$A:$P,0,MATCH("ICC",Indices!$1:$1,0)),"2004-T2")=0,"",SUMIFS(INDEX(Indices!$A:$P,0,MATCH("ICC",Indices!$1:$1,0)+1),INDEX(Indices!$A:$P,0,MATCH("ICC",Indices!$1:$1,0)),"2004-T2")),""))</f>
        <v/>
      </c>
      <c r="L7" s="29">
        <f>IF(OR("2004-T3"="","ICC"=""),"",IFERROR(IF(SUMIFS(INDEX(Indices!$A:$P,0,MATCH("ICC",Indices!$1:$1,0)+1),INDEX(Indices!$A:$P,0,MATCH("ICC",Indices!$1:$1,0)),"2004-T3")=0,"",SUMIFS(INDEX(Indices!$A:$P,0,MATCH("ICC",Indices!$1:$1,0)+1),INDEX(Indices!$A:$P,0,MATCH("ICC",Indices!$1:$1,0)),"2004-T3")),""))</f>
        <v/>
      </c>
      <c r="M7" s="29">
        <f>IF(OR("2004-T4"="","ICC"=""),"",IFERROR(IF(SUMIFS(INDEX(Indices!$A:$P,0,MATCH("ICC",Indices!$1:$1,0)+1),INDEX(Indices!$A:$P,0,MATCH("ICC",Indices!$1:$1,0)),"2004-T4")=0,"",SUMIFS(INDEX(Indices!$A:$P,0,MATCH("ICC",Indices!$1:$1,0)+1),INDEX(Indices!$A:$P,0,MATCH("ICC",Indices!$1:$1,0)),"2004-T4")),""))</f>
        <v/>
      </c>
      <c r="N7" s="28">
        <f>IF(OR("2004-T1"="","IRL"=""),"",IFERROR(IF(SUMIFS(INDEX(Indices!$A:$P,0,MATCH("IRL",Indices!$1:$1,0)+1),INDEX(Indices!$A:$P,0,MATCH("IRL",Indices!$1:$1,0)),"2004-T1")=0,"",SUMIFS(INDEX(Indices!$A:$P,0,MATCH("IRL",Indices!$1:$1,0)+1),INDEX(Indices!$A:$P,0,MATCH("IRL",Indices!$1:$1,0)),"2004-T1")),""))</f>
        <v/>
      </c>
      <c r="O7" s="28">
        <f>IF(OR("2004-T2"="","IRL"=""),"",IFERROR(IF(SUMIFS(INDEX(Indices!$A:$P,0,MATCH("IRL",Indices!$1:$1,0)+1),INDEX(Indices!$A:$P,0,MATCH("IRL",Indices!$1:$1,0)),"2004-T2")=0,"",SUMIFS(INDEX(Indices!$A:$P,0,MATCH("IRL",Indices!$1:$1,0)+1),INDEX(Indices!$A:$P,0,MATCH("IRL",Indices!$1:$1,0)),"2004-T2")),""))</f>
        <v/>
      </c>
      <c r="P7" s="28">
        <f>IF(OR("2004-T3"="","IRL"=""),"",IFERROR(IF(SUMIFS(INDEX(Indices!$A:$P,0,MATCH("IRL",Indices!$1:$1,0)+1),INDEX(Indices!$A:$P,0,MATCH("IRL",Indices!$1:$1,0)),"2004-T3")=0,"",SUMIFS(INDEX(Indices!$A:$P,0,MATCH("IRL",Indices!$1:$1,0)+1),INDEX(Indices!$A:$P,0,MATCH("IRL",Indices!$1:$1,0)),"2004-T3")),""))</f>
        <v/>
      </c>
      <c r="Q7" s="28">
        <f>IF(OR("2004-T4"="","IRL"=""),"",IFERROR(IF(SUMIFS(INDEX(Indices!$A:$P,0,MATCH("IRL",Indices!$1:$1,0)+1),INDEX(Indices!$A:$P,0,MATCH("IRL",Indices!$1:$1,0)),"2004-T4")=0,"",SUMIFS(INDEX(Indices!$A:$P,0,MATCH("IRL",Indices!$1:$1,0)+1),INDEX(Indices!$A:$P,0,MATCH("IRL",Indices!$1:$1,0)),"2004-T4")),""))</f>
        <v/>
      </c>
    </row>
    <row r="8">
      <c r="A8" s="5" t="n">
        <v>2005</v>
      </c>
      <c r="B8" s="28">
        <f>IF(OR("2005-T1"="","ILC"=""),"",IFERROR(IF(SUMIFS(INDEX(Indices!$A:$P,0,MATCH("ILC",Indices!$1:$1,0)+1),INDEX(Indices!$A:$P,0,MATCH("ILC",Indices!$1:$1,0)),"2005-T1")=0,"",SUMIFS(INDEX(Indices!$A:$P,0,MATCH("ILC",Indices!$1:$1,0)+1),INDEX(Indices!$A:$P,0,MATCH("ILC",Indices!$1:$1,0)),"2005-T1")),""))</f>
        <v/>
      </c>
      <c r="C8" s="28">
        <f>IF(OR("2005-T2"="","ILC"=""),"",IFERROR(IF(SUMIFS(INDEX(Indices!$A:$P,0,MATCH("ILC",Indices!$1:$1,0)+1),INDEX(Indices!$A:$P,0,MATCH("ILC",Indices!$1:$1,0)),"2005-T2")=0,"",SUMIFS(INDEX(Indices!$A:$P,0,MATCH("ILC",Indices!$1:$1,0)+1),INDEX(Indices!$A:$P,0,MATCH("ILC",Indices!$1:$1,0)),"2005-T2")),""))</f>
        <v/>
      </c>
      <c r="D8" s="28">
        <f>IF(OR("2005-T3"="","ILC"=""),"",IFERROR(IF(SUMIFS(INDEX(Indices!$A:$P,0,MATCH("ILC",Indices!$1:$1,0)+1),INDEX(Indices!$A:$P,0,MATCH("ILC",Indices!$1:$1,0)),"2005-T3")=0,"",SUMIFS(INDEX(Indices!$A:$P,0,MATCH("ILC",Indices!$1:$1,0)+1),INDEX(Indices!$A:$P,0,MATCH("ILC",Indices!$1:$1,0)),"2005-T3")),""))</f>
        <v/>
      </c>
      <c r="E8" s="28">
        <f>IF(OR("2005-T4"="","ILC"=""),"",IFERROR(IF(SUMIFS(INDEX(Indices!$A:$P,0,MATCH("ILC",Indices!$1:$1,0)+1),INDEX(Indices!$A:$P,0,MATCH("ILC",Indices!$1:$1,0)),"2005-T4")=0,"",SUMIFS(INDEX(Indices!$A:$P,0,MATCH("ILC",Indices!$1:$1,0)+1),INDEX(Indices!$A:$P,0,MATCH("ILC",Indices!$1:$1,0)),"2005-T4")),""))</f>
        <v/>
      </c>
      <c r="F8" s="28">
        <f>IF(OR("2005-T1"="","ILAT"=""),"",IFERROR(IF(SUMIFS(INDEX(Indices!$A:$P,0,MATCH("ILAT",Indices!$1:$1,0)+1),INDEX(Indices!$A:$P,0,MATCH("ILAT",Indices!$1:$1,0)),"2005-T1")=0,"",SUMIFS(INDEX(Indices!$A:$P,0,MATCH("ILAT",Indices!$1:$1,0)+1),INDEX(Indices!$A:$P,0,MATCH("ILAT",Indices!$1:$1,0)),"2005-T1")),""))</f>
        <v/>
      </c>
      <c r="G8" s="28">
        <f>IF(OR("2005-T2"="","ILAT"=""),"",IFERROR(IF(SUMIFS(INDEX(Indices!$A:$P,0,MATCH("ILAT",Indices!$1:$1,0)+1),INDEX(Indices!$A:$P,0,MATCH("ILAT",Indices!$1:$1,0)),"2005-T2")=0,"",SUMIFS(INDEX(Indices!$A:$P,0,MATCH("ILAT",Indices!$1:$1,0)+1),INDEX(Indices!$A:$P,0,MATCH("ILAT",Indices!$1:$1,0)),"2005-T2")),""))</f>
        <v/>
      </c>
      <c r="H8" s="28">
        <f>IF(OR("2005-T3"="","ILAT"=""),"",IFERROR(IF(SUMIFS(INDEX(Indices!$A:$P,0,MATCH("ILAT",Indices!$1:$1,0)+1),INDEX(Indices!$A:$P,0,MATCH("ILAT",Indices!$1:$1,0)),"2005-T3")=0,"",SUMIFS(INDEX(Indices!$A:$P,0,MATCH("ILAT",Indices!$1:$1,0)+1),INDEX(Indices!$A:$P,0,MATCH("ILAT",Indices!$1:$1,0)),"2005-T3")),""))</f>
        <v/>
      </c>
      <c r="I8" s="28">
        <f>IF(OR("2005-T4"="","ILAT"=""),"",IFERROR(IF(SUMIFS(INDEX(Indices!$A:$P,0,MATCH("ILAT",Indices!$1:$1,0)+1),INDEX(Indices!$A:$P,0,MATCH("ILAT",Indices!$1:$1,0)),"2005-T4")=0,"",SUMIFS(INDEX(Indices!$A:$P,0,MATCH("ILAT",Indices!$1:$1,0)+1),INDEX(Indices!$A:$P,0,MATCH("ILAT",Indices!$1:$1,0)),"2005-T4")),""))</f>
        <v/>
      </c>
      <c r="J8" s="29">
        <f>IF(OR("2005-T1"="","ICC"=""),"",IFERROR(IF(SUMIFS(INDEX(Indices!$A:$P,0,MATCH("ICC",Indices!$1:$1,0)+1),INDEX(Indices!$A:$P,0,MATCH("ICC",Indices!$1:$1,0)),"2005-T1")=0,"",SUMIFS(INDEX(Indices!$A:$P,0,MATCH("ICC",Indices!$1:$1,0)+1),INDEX(Indices!$A:$P,0,MATCH("ICC",Indices!$1:$1,0)),"2005-T1")),""))</f>
        <v/>
      </c>
      <c r="K8" s="29">
        <f>IF(OR("2005-T2"="","ICC"=""),"",IFERROR(IF(SUMIFS(INDEX(Indices!$A:$P,0,MATCH("ICC",Indices!$1:$1,0)+1),INDEX(Indices!$A:$P,0,MATCH("ICC",Indices!$1:$1,0)),"2005-T2")=0,"",SUMIFS(INDEX(Indices!$A:$P,0,MATCH("ICC",Indices!$1:$1,0)+1),INDEX(Indices!$A:$P,0,MATCH("ICC",Indices!$1:$1,0)),"2005-T2")),""))</f>
        <v/>
      </c>
      <c r="L8" s="29">
        <f>IF(OR("2005-T3"="","ICC"=""),"",IFERROR(IF(SUMIFS(INDEX(Indices!$A:$P,0,MATCH("ICC",Indices!$1:$1,0)+1),INDEX(Indices!$A:$P,0,MATCH("ICC",Indices!$1:$1,0)),"2005-T3")=0,"",SUMIFS(INDEX(Indices!$A:$P,0,MATCH("ICC",Indices!$1:$1,0)+1),INDEX(Indices!$A:$P,0,MATCH("ICC",Indices!$1:$1,0)),"2005-T3")),""))</f>
        <v/>
      </c>
      <c r="M8" s="29">
        <f>IF(OR("2005-T4"="","ICC"=""),"",IFERROR(IF(SUMIFS(INDEX(Indices!$A:$P,0,MATCH("ICC",Indices!$1:$1,0)+1),INDEX(Indices!$A:$P,0,MATCH("ICC",Indices!$1:$1,0)),"2005-T4")=0,"",SUMIFS(INDEX(Indices!$A:$P,0,MATCH("ICC",Indices!$1:$1,0)+1),INDEX(Indices!$A:$P,0,MATCH("ICC",Indices!$1:$1,0)),"2005-T4")),""))</f>
        <v/>
      </c>
      <c r="N8" s="28">
        <f>IF(OR("2005-T1"="","IRL"=""),"",IFERROR(IF(SUMIFS(INDEX(Indices!$A:$P,0,MATCH("IRL",Indices!$1:$1,0)+1),INDEX(Indices!$A:$P,0,MATCH("IRL",Indices!$1:$1,0)),"2005-T1")=0,"",SUMIFS(INDEX(Indices!$A:$P,0,MATCH("IRL",Indices!$1:$1,0)+1),INDEX(Indices!$A:$P,0,MATCH("IRL",Indices!$1:$1,0)),"2005-T1")),""))</f>
        <v/>
      </c>
      <c r="O8" s="28">
        <f>IF(OR("2005-T2"="","IRL"=""),"",IFERROR(IF(SUMIFS(INDEX(Indices!$A:$P,0,MATCH("IRL",Indices!$1:$1,0)+1),INDEX(Indices!$A:$P,0,MATCH("IRL",Indices!$1:$1,0)),"2005-T2")=0,"",SUMIFS(INDEX(Indices!$A:$P,0,MATCH("IRL",Indices!$1:$1,0)+1),INDEX(Indices!$A:$P,0,MATCH("IRL",Indices!$1:$1,0)),"2005-T2")),""))</f>
        <v/>
      </c>
      <c r="P8" s="28">
        <f>IF(OR("2005-T3"="","IRL"=""),"",IFERROR(IF(SUMIFS(INDEX(Indices!$A:$P,0,MATCH("IRL",Indices!$1:$1,0)+1),INDEX(Indices!$A:$P,0,MATCH("IRL",Indices!$1:$1,0)),"2005-T3")=0,"",SUMIFS(INDEX(Indices!$A:$P,0,MATCH("IRL",Indices!$1:$1,0)+1),INDEX(Indices!$A:$P,0,MATCH("IRL",Indices!$1:$1,0)),"2005-T3")),""))</f>
        <v/>
      </c>
      <c r="Q8" s="28">
        <f>IF(OR("2005-T4"="","IRL"=""),"",IFERROR(IF(SUMIFS(INDEX(Indices!$A:$P,0,MATCH("IRL",Indices!$1:$1,0)+1),INDEX(Indices!$A:$P,0,MATCH("IRL",Indices!$1:$1,0)),"2005-T4")=0,"",SUMIFS(INDEX(Indices!$A:$P,0,MATCH("IRL",Indices!$1:$1,0)+1),INDEX(Indices!$A:$P,0,MATCH("IRL",Indices!$1:$1,0)),"2005-T4")),""))</f>
        <v/>
      </c>
    </row>
    <row r="9">
      <c r="A9" s="5" t="n">
        <v>2006</v>
      </c>
      <c r="B9" s="28">
        <f>IF(OR("2006-T1"="","ILC"=""),"",IFERROR(IF(SUMIFS(INDEX(Indices!$A:$P,0,MATCH("ILC",Indices!$1:$1,0)+1),INDEX(Indices!$A:$P,0,MATCH("ILC",Indices!$1:$1,0)),"2006-T1")=0,"",SUMIFS(INDEX(Indices!$A:$P,0,MATCH("ILC",Indices!$1:$1,0)+1),INDEX(Indices!$A:$P,0,MATCH("ILC",Indices!$1:$1,0)),"2006-T1")),""))</f>
        <v/>
      </c>
      <c r="C9" s="28">
        <f>IF(OR("2006-T2"="","ILC"=""),"",IFERROR(IF(SUMIFS(INDEX(Indices!$A:$P,0,MATCH("ILC",Indices!$1:$1,0)+1),INDEX(Indices!$A:$P,0,MATCH("ILC",Indices!$1:$1,0)),"2006-T2")=0,"",SUMIFS(INDEX(Indices!$A:$P,0,MATCH("ILC",Indices!$1:$1,0)+1),INDEX(Indices!$A:$P,0,MATCH("ILC",Indices!$1:$1,0)),"2006-T2")),""))</f>
        <v/>
      </c>
      <c r="D9" s="28">
        <f>IF(OR("2006-T3"="","ILC"=""),"",IFERROR(IF(SUMIFS(INDEX(Indices!$A:$P,0,MATCH("ILC",Indices!$1:$1,0)+1),INDEX(Indices!$A:$P,0,MATCH("ILC",Indices!$1:$1,0)),"2006-T3")=0,"",SUMIFS(INDEX(Indices!$A:$P,0,MATCH("ILC",Indices!$1:$1,0)+1),INDEX(Indices!$A:$P,0,MATCH("ILC",Indices!$1:$1,0)),"2006-T3")),""))</f>
        <v/>
      </c>
      <c r="E9" s="28">
        <f>IF(OR("2006-T4"="","ILC"=""),"",IFERROR(IF(SUMIFS(INDEX(Indices!$A:$P,0,MATCH("ILC",Indices!$1:$1,0)+1),INDEX(Indices!$A:$P,0,MATCH("ILC",Indices!$1:$1,0)),"2006-T4")=0,"",SUMIFS(INDEX(Indices!$A:$P,0,MATCH("ILC",Indices!$1:$1,0)+1),INDEX(Indices!$A:$P,0,MATCH("ILC",Indices!$1:$1,0)),"2006-T4")),""))</f>
        <v/>
      </c>
      <c r="F9" s="28">
        <f>IF(OR("2006-T1"="","ILAT"=""),"",IFERROR(IF(SUMIFS(INDEX(Indices!$A:$P,0,MATCH("ILAT",Indices!$1:$1,0)+1),INDEX(Indices!$A:$P,0,MATCH("ILAT",Indices!$1:$1,0)),"2006-T1")=0,"",SUMIFS(INDEX(Indices!$A:$P,0,MATCH("ILAT",Indices!$1:$1,0)+1),INDEX(Indices!$A:$P,0,MATCH("ILAT",Indices!$1:$1,0)),"2006-T1")),""))</f>
        <v/>
      </c>
      <c r="G9" s="28">
        <f>IF(OR("2006-T2"="","ILAT"=""),"",IFERROR(IF(SUMIFS(INDEX(Indices!$A:$P,0,MATCH("ILAT",Indices!$1:$1,0)+1),INDEX(Indices!$A:$P,0,MATCH("ILAT",Indices!$1:$1,0)),"2006-T2")=0,"",SUMIFS(INDEX(Indices!$A:$P,0,MATCH("ILAT",Indices!$1:$1,0)+1),INDEX(Indices!$A:$P,0,MATCH("ILAT",Indices!$1:$1,0)),"2006-T2")),""))</f>
        <v/>
      </c>
      <c r="H9" s="28">
        <f>IF(OR("2006-T3"="","ILAT"=""),"",IFERROR(IF(SUMIFS(INDEX(Indices!$A:$P,0,MATCH("ILAT",Indices!$1:$1,0)+1),INDEX(Indices!$A:$P,0,MATCH("ILAT",Indices!$1:$1,0)),"2006-T3")=0,"",SUMIFS(INDEX(Indices!$A:$P,0,MATCH("ILAT",Indices!$1:$1,0)+1),INDEX(Indices!$A:$P,0,MATCH("ILAT",Indices!$1:$1,0)),"2006-T3")),""))</f>
        <v/>
      </c>
      <c r="I9" s="28">
        <f>IF(OR("2006-T4"="","ILAT"=""),"",IFERROR(IF(SUMIFS(INDEX(Indices!$A:$P,0,MATCH("ILAT",Indices!$1:$1,0)+1),INDEX(Indices!$A:$P,0,MATCH("ILAT",Indices!$1:$1,0)),"2006-T4")=0,"",SUMIFS(INDEX(Indices!$A:$P,0,MATCH("ILAT",Indices!$1:$1,0)+1),INDEX(Indices!$A:$P,0,MATCH("ILAT",Indices!$1:$1,0)),"2006-T4")),""))</f>
        <v/>
      </c>
      <c r="J9" s="29">
        <f>IF(OR("2006-T1"="","ICC"=""),"",IFERROR(IF(SUMIFS(INDEX(Indices!$A:$P,0,MATCH("ICC",Indices!$1:$1,0)+1),INDEX(Indices!$A:$P,0,MATCH("ICC",Indices!$1:$1,0)),"2006-T1")=0,"",SUMIFS(INDEX(Indices!$A:$P,0,MATCH("ICC",Indices!$1:$1,0)+1),INDEX(Indices!$A:$P,0,MATCH("ICC",Indices!$1:$1,0)),"2006-T1")),""))</f>
        <v/>
      </c>
      <c r="K9" s="29">
        <f>IF(OR("2006-T2"="","ICC"=""),"",IFERROR(IF(SUMIFS(INDEX(Indices!$A:$P,0,MATCH("ICC",Indices!$1:$1,0)+1),INDEX(Indices!$A:$P,0,MATCH("ICC",Indices!$1:$1,0)),"2006-T2")=0,"",SUMIFS(INDEX(Indices!$A:$P,0,MATCH("ICC",Indices!$1:$1,0)+1),INDEX(Indices!$A:$P,0,MATCH("ICC",Indices!$1:$1,0)),"2006-T2")),""))</f>
        <v/>
      </c>
      <c r="L9" s="29">
        <f>IF(OR("2006-T3"="","ICC"=""),"",IFERROR(IF(SUMIFS(INDEX(Indices!$A:$P,0,MATCH("ICC",Indices!$1:$1,0)+1),INDEX(Indices!$A:$P,0,MATCH("ICC",Indices!$1:$1,0)),"2006-T3")=0,"",SUMIFS(INDEX(Indices!$A:$P,0,MATCH("ICC",Indices!$1:$1,0)+1),INDEX(Indices!$A:$P,0,MATCH("ICC",Indices!$1:$1,0)),"2006-T3")),""))</f>
        <v/>
      </c>
      <c r="M9" s="29">
        <f>IF(OR("2006-T4"="","ICC"=""),"",IFERROR(IF(SUMIFS(INDEX(Indices!$A:$P,0,MATCH("ICC",Indices!$1:$1,0)+1),INDEX(Indices!$A:$P,0,MATCH("ICC",Indices!$1:$1,0)),"2006-T4")=0,"",SUMIFS(INDEX(Indices!$A:$P,0,MATCH("ICC",Indices!$1:$1,0)+1),INDEX(Indices!$A:$P,0,MATCH("ICC",Indices!$1:$1,0)),"2006-T4")),""))</f>
        <v/>
      </c>
      <c r="N9" s="28">
        <f>IF(OR("2006-T1"="","IRL"=""),"",IFERROR(IF(SUMIFS(INDEX(Indices!$A:$P,0,MATCH("IRL",Indices!$1:$1,0)+1),INDEX(Indices!$A:$P,0,MATCH("IRL",Indices!$1:$1,0)),"2006-T1")=0,"",SUMIFS(INDEX(Indices!$A:$P,0,MATCH("IRL",Indices!$1:$1,0)+1),INDEX(Indices!$A:$P,0,MATCH("IRL",Indices!$1:$1,0)),"2006-T1")),""))</f>
        <v/>
      </c>
      <c r="O9" s="28">
        <f>IF(OR("2006-T2"="","IRL"=""),"",IFERROR(IF(SUMIFS(INDEX(Indices!$A:$P,0,MATCH("IRL",Indices!$1:$1,0)+1),INDEX(Indices!$A:$P,0,MATCH("IRL",Indices!$1:$1,0)),"2006-T2")=0,"",SUMIFS(INDEX(Indices!$A:$P,0,MATCH("IRL",Indices!$1:$1,0)+1),INDEX(Indices!$A:$P,0,MATCH("IRL",Indices!$1:$1,0)),"2006-T2")),""))</f>
        <v/>
      </c>
      <c r="P9" s="28">
        <f>IF(OR("2006-T3"="","IRL"=""),"",IFERROR(IF(SUMIFS(INDEX(Indices!$A:$P,0,MATCH("IRL",Indices!$1:$1,0)+1),INDEX(Indices!$A:$P,0,MATCH("IRL",Indices!$1:$1,0)),"2006-T3")=0,"",SUMIFS(INDEX(Indices!$A:$P,0,MATCH("IRL",Indices!$1:$1,0)+1),INDEX(Indices!$A:$P,0,MATCH("IRL",Indices!$1:$1,0)),"2006-T3")),""))</f>
        <v/>
      </c>
      <c r="Q9" s="28">
        <f>IF(OR("2006-T4"="","IRL"=""),"",IFERROR(IF(SUMIFS(INDEX(Indices!$A:$P,0,MATCH("IRL",Indices!$1:$1,0)+1),INDEX(Indices!$A:$P,0,MATCH("IRL",Indices!$1:$1,0)),"2006-T4")=0,"",SUMIFS(INDEX(Indices!$A:$P,0,MATCH("IRL",Indices!$1:$1,0)+1),INDEX(Indices!$A:$P,0,MATCH("IRL",Indices!$1:$1,0)),"2006-T4")),""))</f>
        <v/>
      </c>
    </row>
    <row r="10">
      <c r="A10" s="5" t="n">
        <v>2007</v>
      </c>
      <c r="B10" s="28">
        <f>IF(OR("2007-T1"="","ILC"=""),"",IFERROR(IF(SUMIFS(INDEX(Indices!$A:$P,0,MATCH("ILC",Indices!$1:$1,0)+1),INDEX(Indices!$A:$P,0,MATCH("ILC",Indices!$1:$1,0)),"2007-T1")=0,"",SUMIFS(INDEX(Indices!$A:$P,0,MATCH("ILC",Indices!$1:$1,0)+1),INDEX(Indices!$A:$P,0,MATCH("ILC",Indices!$1:$1,0)),"2007-T1")),""))</f>
        <v/>
      </c>
      <c r="C10" s="28">
        <f>IF(OR("2007-T2"="","ILC"=""),"",IFERROR(IF(SUMIFS(INDEX(Indices!$A:$P,0,MATCH("ILC",Indices!$1:$1,0)+1),INDEX(Indices!$A:$P,0,MATCH("ILC",Indices!$1:$1,0)),"2007-T2")=0,"",SUMIFS(INDEX(Indices!$A:$P,0,MATCH("ILC",Indices!$1:$1,0)+1),INDEX(Indices!$A:$P,0,MATCH("ILC",Indices!$1:$1,0)),"2007-T2")),""))</f>
        <v/>
      </c>
      <c r="D10" s="28">
        <f>IF(OR("2007-T3"="","ILC"=""),"",IFERROR(IF(SUMIFS(INDEX(Indices!$A:$P,0,MATCH("ILC",Indices!$1:$1,0)+1),INDEX(Indices!$A:$P,0,MATCH("ILC",Indices!$1:$1,0)),"2007-T3")=0,"",SUMIFS(INDEX(Indices!$A:$P,0,MATCH("ILC",Indices!$1:$1,0)+1),INDEX(Indices!$A:$P,0,MATCH("ILC",Indices!$1:$1,0)),"2007-T3")),""))</f>
        <v/>
      </c>
      <c r="E10" s="28">
        <f>IF(OR("2007-T4"="","ILC"=""),"",IFERROR(IF(SUMIFS(INDEX(Indices!$A:$P,0,MATCH("ILC",Indices!$1:$1,0)+1),INDEX(Indices!$A:$P,0,MATCH("ILC",Indices!$1:$1,0)),"2007-T4")=0,"",SUMIFS(INDEX(Indices!$A:$P,0,MATCH("ILC",Indices!$1:$1,0)+1),INDEX(Indices!$A:$P,0,MATCH("ILC",Indices!$1:$1,0)),"2007-T4")),""))</f>
        <v/>
      </c>
      <c r="F10" s="28">
        <f>IF(OR("2007-T1"="","ILAT"=""),"",IFERROR(IF(SUMIFS(INDEX(Indices!$A:$P,0,MATCH("ILAT",Indices!$1:$1,0)+1),INDEX(Indices!$A:$P,0,MATCH("ILAT",Indices!$1:$1,0)),"2007-T1")=0,"",SUMIFS(INDEX(Indices!$A:$P,0,MATCH("ILAT",Indices!$1:$1,0)+1),INDEX(Indices!$A:$P,0,MATCH("ILAT",Indices!$1:$1,0)),"2007-T1")),""))</f>
        <v/>
      </c>
      <c r="G10" s="28">
        <f>IF(OR("2007-T2"="","ILAT"=""),"",IFERROR(IF(SUMIFS(INDEX(Indices!$A:$P,0,MATCH("ILAT",Indices!$1:$1,0)+1),INDEX(Indices!$A:$P,0,MATCH("ILAT",Indices!$1:$1,0)),"2007-T2")=0,"",SUMIFS(INDEX(Indices!$A:$P,0,MATCH("ILAT",Indices!$1:$1,0)+1),INDEX(Indices!$A:$P,0,MATCH("ILAT",Indices!$1:$1,0)),"2007-T2")),""))</f>
        <v/>
      </c>
      <c r="H10" s="28">
        <f>IF(OR("2007-T3"="","ILAT"=""),"",IFERROR(IF(SUMIFS(INDEX(Indices!$A:$P,0,MATCH("ILAT",Indices!$1:$1,0)+1),INDEX(Indices!$A:$P,0,MATCH("ILAT",Indices!$1:$1,0)),"2007-T3")=0,"",SUMIFS(INDEX(Indices!$A:$P,0,MATCH("ILAT",Indices!$1:$1,0)+1),INDEX(Indices!$A:$P,0,MATCH("ILAT",Indices!$1:$1,0)),"2007-T3")),""))</f>
        <v/>
      </c>
      <c r="I10" s="28">
        <f>IF(OR("2007-T4"="","ILAT"=""),"",IFERROR(IF(SUMIFS(INDEX(Indices!$A:$P,0,MATCH("ILAT",Indices!$1:$1,0)+1),INDEX(Indices!$A:$P,0,MATCH("ILAT",Indices!$1:$1,0)),"2007-T4")=0,"",SUMIFS(INDEX(Indices!$A:$P,0,MATCH("ILAT",Indices!$1:$1,0)+1),INDEX(Indices!$A:$P,0,MATCH("ILAT",Indices!$1:$1,0)),"2007-T4")),""))</f>
        <v/>
      </c>
      <c r="J10" s="29">
        <f>IF(OR("2007-T1"="","ICC"=""),"",IFERROR(IF(SUMIFS(INDEX(Indices!$A:$P,0,MATCH("ICC",Indices!$1:$1,0)+1),INDEX(Indices!$A:$P,0,MATCH("ICC",Indices!$1:$1,0)),"2007-T1")=0,"",SUMIFS(INDEX(Indices!$A:$P,0,MATCH("ICC",Indices!$1:$1,0)+1),INDEX(Indices!$A:$P,0,MATCH("ICC",Indices!$1:$1,0)),"2007-T1")),""))</f>
        <v/>
      </c>
      <c r="K10" s="29">
        <f>IF(OR("2007-T2"="","ICC"=""),"",IFERROR(IF(SUMIFS(INDEX(Indices!$A:$P,0,MATCH("ICC",Indices!$1:$1,0)+1),INDEX(Indices!$A:$P,0,MATCH("ICC",Indices!$1:$1,0)),"2007-T2")=0,"",SUMIFS(INDEX(Indices!$A:$P,0,MATCH("ICC",Indices!$1:$1,0)+1),INDEX(Indices!$A:$P,0,MATCH("ICC",Indices!$1:$1,0)),"2007-T2")),""))</f>
        <v/>
      </c>
      <c r="L10" s="29">
        <f>IF(OR("2007-T3"="","ICC"=""),"",IFERROR(IF(SUMIFS(INDEX(Indices!$A:$P,0,MATCH("ICC",Indices!$1:$1,0)+1),INDEX(Indices!$A:$P,0,MATCH("ICC",Indices!$1:$1,0)),"2007-T3")=0,"",SUMIFS(INDEX(Indices!$A:$P,0,MATCH("ICC",Indices!$1:$1,0)+1),INDEX(Indices!$A:$P,0,MATCH("ICC",Indices!$1:$1,0)),"2007-T3")),""))</f>
        <v/>
      </c>
      <c r="M10" s="29">
        <f>IF(OR("2007-T4"="","ICC"=""),"",IFERROR(IF(SUMIFS(INDEX(Indices!$A:$P,0,MATCH("ICC",Indices!$1:$1,0)+1),INDEX(Indices!$A:$P,0,MATCH("ICC",Indices!$1:$1,0)),"2007-T4")=0,"",SUMIFS(INDEX(Indices!$A:$P,0,MATCH("ICC",Indices!$1:$1,0)+1),INDEX(Indices!$A:$P,0,MATCH("ICC",Indices!$1:$1,0)),"2007-T4")),""))</f>
        <v/>
      </c>
      <c r="N10" s="28">
        <f>IF(OR("2007-T1"="","IRL"=""),"",IFERROR(IF(SUMIFS(INDEX(Indices!$A:$P,0,MATCH("IRL",Indices!$1:$1,0)+1),INDEX(Indices!$A:$P,0,MATCH("IRL",Indices!$1:$1,0)),"2007-T1")=0,"",SUMIFS(INDEX(Indices!$A:$P,0,MATCH("IRL",Indices!$1:$1,0)+1),INDEX(Indices!$A:$P,0,MATCH("IRL",Indices!$1:$1,0)),"2007-T1")),""))</f>
        <v/>
      </c>
      <c r="O10" s="28">
        <f>IF(OR("2007-T2"="","IRL"=""),"",IFERROR(IF(SUMIFS(INDEX(Indices!$A:$P,0,MATCH("IRL",Indices!$1:$1,0)+1),INDEX(Indices!$A:$P,0,MATCH("IRL",Indices!$1:$1,0)),"2007-T2")=0,"",SUMIFS(INDEX(Indices!$A:$P,0,MATCH("IRL",Indices!$1:$1,0)+1),INDEX(Indices!$A:$P,0,MATCH("IRL",Indices!$1:$1,0)),"2007-T2")),""))</f>
        <v/>
      </c>
      <c r="P10" s="28">
        <f>IF(OR("2007-T3"="","IRL"=""),"",IFERROR(IF(SUMIFS(INDEX(Indices!$A:$P,0,MATCH("IRL",Indices!$1:$1,0)+1),INDEX(Indices!$A:$P,0,MATCH("IRL",Indices!$1:$1,0)),"2007-T3")=0,"",SUMIFS(INDEX(Indices!$A:$P,0,MATCH("IRL",Indices!$1:$1,0)+1),INDEX(Indices!$A:$P,0,MATCH("IRL",Indices!$1:$1,0)),"2007-T3")),""))</f>
        <v/>
      </c>
      <c r="Q10" s="28">
        <f>IF(OR("2007-T4"="","IRL"=""),"",IFERROR(IF(SUMIFS(INDEX(Indices!$A:$P,0,MATCH("IRL",Indices!$1:$1,0)+1),INDEX(Indices!$A:$P,0,MATCH("IRL",Indices!$1:$1,0)),"2007-T4")=0,"",SUMIFS(INDEX(Indices!$A:$P,0,MATCH("IRL",Indices!$1:$1,0)+1),INDEX(Indices!$A:$P,0,MATCH("IRL",Indices!$1:$1,0)),"2007-T4")),""))</f>
        <v/>
      </c>
    </row>
    <row r="11">
      <c r="A11" s="5" t="n">
        <v>2008</v>
      </c>
      <c r="B11" s="28">
        <f>IF(OR("2008-T1"="","ILC"=""),"",IFERROR(IF(SUMIFS(INDEX(Indices!$A:$P,0,MATCH("ILC",Indices!$1:$1,0)+1),INDEX(Indices!$A:$P,0,MATCH("ILC",Indices!$1:$1,0)),"2008-T1")=0,"",SUMIFS(INDEX(Indices!$A:$P,0,MATCH("ILC",Indices!$1:$1,0)+1),INDEX(Indices!$A:$P,0,MATCH("ILC",Indices!$1:$1,0)),"2008-T1")),""))</f>
        <v/>
      </c>
      <c r="C11" s="28">
        <f>IF(OR("2008-T2"="","ILC"=""),"",IFERROR(IF(SUMIFS(INDEX(Indices!$A:$P,0,MATCH("ILC",Indices!$1:$1,0)+1),INDEX(Indices!$A:$P,0,MATCH("ILC",Indices!$1:$1,0)),"2008-T2")=0,"",SUMIFS(INDEX(Indices!$A:$P,0,MATCH("ILC",Indices!$1:$1,0)+1),INDEX(Indices!$A:$P,0,MATCH("ILC",Indices!$1:$1,0)),"2008-T2")),""))</f>
        <v/>
      </c>
      <c r="D11" s="28">
        <f>IF(OR("2008-T3"="","ILC"=""),"",IFERROR(IF(SUMIFS(INDEX(Indices!$A:$P,0,MATCH("ILC",Indices!$1:$1,0)+1),INDEX(Indices!$A:$P,0,MATCH("ILC",Indices!$1:$1,0)),"2008-T3")=0,"",SUMIFS(INDEX(Indices!$A:$P,0,MATCH("ILC",Indices!$1:$1,0)+1),INDEX(Indices!$A:$P,0,MATCH("ILC",Indices!$1:$1,0)),"2008-T3")),""))</f>
        <v/>
      </c>
      <c r="E11" s="28">
        <f>IF(OR("2008-T4"="","ILC"=""),"",IFERROR(IF(SUMIFS(INDEX(Indices!$A:$P,0,MATCH("ILC",Indices!$1:$1,0)+1),INDEX(Indices!$A:$P,0,MATCH("ILC",Indices!$1:$1,0)),"2008-T4")=0,"",SUMIFS(INDEX(Indices!$A:$P,0,MATCH("ILC",Indices!$1:$1,0)+1),INDEX(Indices!$A:$P,0,MATCH("ILC",Indices!$1:$1,0)),"2008-T4")),""))</f>
        <v/>
      </c>
      <c r="F11" s="28">
        <f>IF(OR("2008-T1"="","ILAT"=""),"",IFERROR(IF(SUMIFS(INDEX(Indices!$A:$P,0,MATCH("ILAT",Indices!$1:$1,0)+1),INDEX(Indices!$A:$P,0,MATCH("ILAT",Indices!$1:$1,0)),"2008-T1")=0,"",SUMIFS(INDEX(Indices!$A:$P,0,MATCH("ILAT",Indices!$1:$1,0)+1),INDEX(Indices!$A:$P,0,MATCH("ILAT",Indices!$1:$1,0)),"2008-T1")),""))</f>
        <v/>
      </c>
      <c r="G11" s="28">
        <f>IF(OR("2008-T2"="","ILAT"=""),"",IFERROR(IF(SUMIFS(INDEX(Indices!$A:$P,0,MATCH("ILAT",Indices!$1:$1,0)+1),INDEX(Indices!$A:$P,0,MATCH("ILAT",Indices!$1:$1,0)),"2008-T2")=0,"",SUMIFS(INDEX(Indices!$A:$P,0,MATCH("ILAT",Indices!$1:$1,0)+1),INDEX(Indices!$A:$P,0,MATCH("ILAT",Indices!$1:$1,0)),"2008-T2")),""))</f>
        <v/>
      </c>
      <c r="H11" s="28">
        <f>IF(OR("2008-T3"="","ILAT"=""),"",IFERROR(IF(SUMIFS(INDEX(Indices!$A:$P,0,MATCH("ILAT",Indices!$1:$1,0)+1),INDEX(Indices!$A:$P,0,MATCH("ILAT",Indices!$1:$1,0)),"2008-T3")=0,"",SUMIFS(INDEX(Indices!$A:$P,0,MATCH("ILAT",Indices!$1:$1,0)+1),INDEX(Indices!$A:$P,0,MATCH("ILAT",Indices!$1:$1,0)),"2008-T3")),""))</f>
        <v/>
      </c>
      <c r="I11" s="28">
        <f>IF(OR("2008-T4"="","ILAT"=""),"",IFERROR(IF(SUMIFS(INDEX(Indices!$A:$P,0,MATCH("ILAT",Indices!$1:$1,0)+1),INDEX(Indices!$A:$P,0,MATCH("ILAT",Indices!$1:$1,0)),"2008-T4")=0,"",SUMIFS(INDEX(Indices!$A:$P,0,MATCH("ILAT",Indices!$1:$1,0)+1),INDEX(Indices!$A:$P,0,MATCH("ILAT",Indices!$1:$1,0)),"2008-T4")),""))</f>
        <v/>
      </c>
      <c r="J11" s="29">
        <f>IF(OR("2008-T1"="","ICC"=""),"",IFERROR(IF(SUMIFS(INDEX(Indices!$A:$P,0,MATCH("ICC",Indices!$1:$1,0)+1),INDEX(Indices!$A:$P,0,MATCH("ICC",Indices!$1:$1,0)),"2008-T1")=0,"",SUMIFS(INDEX(Indices!$A:$P,0,MATCH("ICC",Indices!$1:$1,0)+1),INDEX(Indices!$A:$P,0,MATCH("ICC",Indices!$1:$1,0)),"2008-T1")),""))</f>
        <v/>
      </c>
      <c r="K11" s="29">
        <f>IF(OR("2008-T2"="","ICC"=""),"",IFERROR(IF(SUMIFS(INDEX(Indices!$A:$P,0,MATCH("ICC",Indices!$1:$1,0)+1),INDEX(Indices!$A:$P,0,MATCH("ICC",Indices!$1:$1,0)),"2008-T2")=0,"",SUMIFS(INDEX(Indices!$A:$P,0,MATCH("ICC",Indices!$1:$1,0)+1),INDEX(Indices!$A:$P,0,MATCH("ICC",Indices!$1:$1,0)),"2008-T2")),""))</f>
        <v/>
      </c>
      <c r="L11" s="29">
        <f>IF(OR("2008-T3"="","ICC"=""),"",IFERROR(IF(SUMIFS(INDEX(Indices!$A:$P,0,MATCH("ICC",Indices!$1:$1,0)+1),INDEX(Indices!$A:$P,0,MATCH("ICC",Indices!$1:$1,0)),"2008-T3")=0,"",SUMIFS(INDEX(Indices!$A:$P,0,MATCH("ICC",Indices!$1:$1,0)+1),INDEX(Indices!$A:$P,0,MATCH("ICC",Indices!$1:$1,0)),"2008-T3")),""))</f>
        <v/>
      </c>
      <c r="M11" s="29">
        <f>IF(OR("2008-T4"="","ICC"=""),"",IFERROR(IF(SUMIFS(INDEX(Indices!$A:$P,0,MATCH("ICC",Indices!$1:$1,0)+1),INDEX(Indices!$A:$P,0,MATCH("ICC",Indices!$1:$1,0)),"2008-T4")=0,"",SUMIFS(INDEX(Indices!$A:$P,0,MATCH("ICC",Indices!$1:$1,0)+1),INDEX(Indices!$A:$P,0,MATCH("ICC",Indices!$1:$1,0)),"2008-T4")),""))</f>
        <v/>
      </c>
      <c r="N11" s="28">
        <f>IF(OR("2008-T1"="","IRL"=""),"",IFERROR(IF(SUMIFS(INDEX(Indices!$A:$P,0,MATCH("IRL",Indices!$1:$1,0)+1),INDEX(Indices!$A:$P,0,MATCH("IRL",Indices!$1:$1,0)),"2008-T1")=0,"",SUMIFS(INDEX(Indices!$A:$P,0,MATCH("IRL",Indices!$1:$1,0)+1),INDEX(Indices!$A:$P,0,MATCH("IRL",Indices!$1:$1,0)),"2008-T1")),""))</f>
        <v/>
      </c>
      <c r="O11" s="28">
        <f>IF(OR("2008-T2"="","IRL"=""),"",IFERROR(IF(SUMIFS(INDEX(Indices!$A:$P,0,MATCH("IRL",Indices!$1:$1,0)+1),INDEX(Indices!$A:$P,0,MATCH("IRL",Indices!$1:$1,0)),"2008-T2")=0,"",SUMIFS(INDEX(Indices!$A:$P,0,MATCH("IRL",Indices!$1:$1,0)+1),INDEX(Indices!$A:$P,0,MATCH("IRL",Indices!$1:$1,0)),"2008-T2")),""))</f>
        <v/>
      </c>
      <c r="P11" s="28">
        <f>IF(OR("2008-T3"="","IRL"=""),"",IFERROR(IF(SUMIFS(INDEX(Indices!$A:$P,0,MATCH("IRL",Indices!$1:$1,0)+1),INDEX(Indices!$A:$P,0,MATCH("IRL",Indices!$1:$1,0)),"2008-T3")=0,"",SUMIFS(INDEX(Indices!$A:$P,0,MATCH("IRL",Indices!$1:$1,0)+1),INDEX(Indices!$A:$P,0,MATCH("IRL",Indices!$1:$1,0)),"2008-T3")),""))</f>
        <v/>
      </c>
      <c r="Q11" s="28">
        <f>IF(OR("2008-T4"="","IRL"=""),"",IFERROR(IF(SUMIFS(INDEX(Indices!$A:$P,0,MATCH("IRL",Indices!$1:$1,0)+1),INDEX(Indices!$A:$P,0,MATCH("IRL",Indices!$1:$1,0)),"2008-T4")=0,"",SUMIFS(INDEX(Indices!$A:$P,0,MATCH("IRL",Indices!$1:$1,0)+1),INDEX(Indices!$A:$P,0,MATCH("IRL",Indices!$1:$1,0)),"2008-T4")),""))</f>
        <v/>
      </c>
    </row>
    <row r="12">
      <c r="A12" s="5" t="n">
        <v>2009</v>
      </c>
      <c r="B12" s="28">
        <f>IF(OR("2009-T1"="","ILC"=""),"",IFERROR(IF(SUMIFS(INDEX(Indices!$A:$P,0,MATCH("ILC",Indices!$1:$1,0)+1),INDEX(Indices!$A:$P,0,MATCH("ILC",Indices!$1:$1,0)),"2009-T1")=0,"",SUMIFS(INDEX(Indices!$A:$P,0,MATCH("ILC",Indices!$1:$1,0)+1),INDEX(Indices!$A:$P,0,MATCH("ILC",Indices!$1:$1,0)),"2009-T1")),""))</f>
        <v/>
      </c>
      <c r="C12" s="28">
        <f>IF(OR("2009-T2"="","ILC"=""),"",IFERROR(IF(SUMIFS(INDEX(Indices!$A:$P,0,MATCH("ILC",Indices!$1:$1,0)+1),INDEX(Indices!$A:$P,0,MATCH("ILC",Indices!$1:$1,0)),"2009-T2")=0,"",SUMIFS(INDEX(Indices!$A:$P,0,MATCH("ILC",Indices!$1:$1,0)+1),INDEX(Indices!$A:$P,0,MATCH("ILC",Indices!$1:$1,0)),"2009-T2")),""))</f>
        <v/>
      </c>
      <c r="D12" s="28">
        <f>IF(OR("2009-T3"="","ILC"=""),"",IFERROR(IF(SUMIFS(INDEX(Indices!$A:$P,0,MATCH("ILC",Indices!$1:$1,0)+1),INDEX(Indices!$A:$P,0,MATCH("ILC",Indices!$1:$1,0)),"2009-T3")=0,"",SUMIFS(INDEX(Indices!$A:$P,0,MATCH("ILC",Indices!$1:$1,0)+1),INDEX(Indices!$A:$P,0,MATCH("ILC",Indices!$1:$1,0)),"2009-T3")),""))</f>
        <v/>
      </c>
      <c r="E12" s="28">
        <f>IF(OR("2009-T4"="","ILC"=""),"",IFERROR(IF(SUMIFS(INDEX(Indices!$A:$P,0,MATCH("ILC",Indices!$1:$1,0)+1),INDEX(Indices!$A:$P,0,MATCH("ILC",Indices!$1:$1,0)),"2009-T4")=0,"",SUMIFS(INDEX(Indices!$A:$P,0,MATCH("ILC",Indices!$1:$1,0)+1),INDEX(Indices!$A:$P,0,MATCH("ILC",Indices!$1:$1,0)),"2009-T4")),""))</f>
        <v/>
      </c>
      <c r="F12" s="28">
        <f>IF(OR("2009-T1"="","ILAT"=""),"",IFERROR(IF(SUMIFS(INDEX(Indices!$A:$P,0,MATCH("ILAT",Indices!$1:$1,0)+1),INDEX(Indices!$A:$P,0,MATCH("ILAT",Indices!$1:$1,0)),"2009-T1")=0,"",SUMIFS(INDEX(Indices!$A:$P,0,MATCH("ILAT",Indices!$1:$1,0)+1),INDEX(Indices!$A:$P,0,MATCH("ILAT",Indices!$1:$1,0)),"2009-T1")),""))</f>
        <v/>
      </c>
      <c r="G12" s="28">
        <f>IF(OR("2009-T2"="","ILAT"=""),"",IFERROR(IF(SUMIFS(INDEX(Indices!$A:$P,0,MATCH("ILAT",Indices!$1:$1,0)+1),INDEX(Indices!$A:$P,0,MATCH("ILAT",Indices!$1:$1,0)),"2009-T2")=0,"",SUMIFS(INDEX(Indices!$A:$P,0,MATCH("ILAT",Indices!$1:$1,0)+1),INDEX(Indices!$A:$P,0,MATCH("ILAT",Indices!$1:$1,0)),"2009-T2")),""))</f>
        <v/>
      </c>
      <c r="H12" s="28">
        <f>IF(OR("2009-T3"="","ILAT"=""),"",IFERROR(IF(SUMIFS(INDEX(Indices!$A:$P,0,MATCH("ILAT",Indices!$1:$1,0)+1),INDEX(Indices!$A:$P,0,MATCH("ILAT",Indices!$1:$1,0)),"2009-T3")=0,"",SUMIFS(INDEX(Indices!$A:$P,0,MATCH("ILAT",Indices!$1:$1,0)+1),INDEX(Indices!$A:$P,0,MATCH("ILAT",Indices!$1:$1,0)),"2009-T3")),""))</f>
        <v/>
      </c>
      <c r="I12" s="28">
        <f>IF(OR("2009-T4"="","ILAT"=""),"",IFERROR(IF(SUMIFS(INDEX(Indices!$A:$P,0,MATCH("ILAT",Indices!$1:$1,0)+1),INDEX(Indices!$A:$P,0,MATCH("ILAT",Indices!$1:$1,0)),"2009-T4")=0,"",SUMIFS(INDEX(Indices!$A:$P,0,MATCH("ILAT",Indices!$1:$1,0)+1),INDEX(Indices!$A:$P,0,MATCH("ILAT",Indices!$1:$1,0)),"2009-T4")),""))</f>
        <v/>
      </c>
      <c r="J12" s="29">
        <f>IF(OR("2009-T1"="","ICC"=""),"",IFERROR(IF(SUMIFS(INDEX(Indices!$A:$P,0,MATCH("ICC",Indices!$1:$1,0)+1),INDEX(Indices!$A:$P,0,MATCH("ICC",Indices!$1:$1,0)),"2009-T1")=0,"",SUMIFS(INDEX(Indices!$A:$P,0,MATCH("ICC",Indices!$1:$1,0)+1),INDEX(Indices!$A:$P,0,MATCH("ICC",Indices!$1:$1,0)),"2009-T1")),""))</f>
        <v/>
      </c>
      <c r="K12" s="29">
        <f>IF(OR("2009-T2"="","ICC"=""),"",IFERROR(IF(SUMIFS(INDEX(Indices!$A:$P,0,MATCH("ICC",Indices!$1:$1,0)+1),INDEX(Indices!$A:$P,0,MATCH("ICC",Indices!$1:$1,0)),"2009-T2")=0,"",SUMIFS(INDEX(Indices!$A:$P,0,MATCH("ICC",Indices!$1:$1,0)+1),INDEX(Indices!$A:$P,0,MATCH("ICC",Indices!$1:$1,0)),"2009-T2")),""))</f>
        <v/>
      </c>
      <c r="L12" s="29">
        <f>IF(OR("2009-T3"="","ICC"=""),"",IFERROR(IF(SUMIFS(INDEX(Indices!$A:$P,0,MATCH("ICC",Indices!$1:$1,0)+1),INDEX(Indices!$A:$P,0,MATCH("ICC",Indices!$1:$1,0)),"2009-T3")=0,"",SUMIFS(INDEX(Indices!$A:$P,0,MATCH("ICC",Indices!$1:$1,0)+1),INDEX(Indices!$A:$P,0,MATCH("ICC",Indices!$1:$1,0)),"2009-T3")),""))</f>
        <v/>
      </c>
      <c r="M12" s="29">
        <f>IF(OR("2009-T4"="","ICC"=""),"",IFERROR(IF(SUMIFS(INDEX(Indices!$A:$P,0,MATCH("ICC",Indices!$1:$1,0)+1),INDEX(Indices!$A:$P,0,MATCH("ICC",Indices!$1:$1,0)),"2009-T4")=0,"",SUMIFS(INDEX(Indices!$A:$P,0,MATCH("ICC",Indices!$1:$1,0)+1),INDEX(Indices!$A:$P,0,MATCH("ICC",Indices!$1:$1,0)),"2009-T4")),""))</f>
        <v/>
      </c>
      <c r="N12" s="28">
        <f>IF(OR("2009-T1"="","IRL"=""),"",IFERROR(IF(SUMIFS(INDEX(Indices!$A:$P,0,MATCH("IRL",Indices!$1:$1,0)+1),INDEX(Indices!$A:$P,0,MATCH("IRL",Indices!$1:$1,0)),"2009-T1")=0,"",SUMIFS(INDEX(Indices!$A:$P,0,MATCH("IRL",Indices!$1:$1,0)+1),INDEX(Indices!$A:$P,0,MATCH("IRL",Indices!$1:$1,0)),"2009-T1")),""))</f>
        <v/>
      </c>
      <c r="O12" s="28">
        <f>IF(OR("2009-T2"="","IRL"=""),"",IFERROR(IF(SUMIFS(INDEX(Indices!$A:$P,0,MATCH("IRL",Indices!$1:$1,0)+1),INDEX(Indices!$A:$P,0,MATCH("IRL",Indices!$1:$1,0)),"2009-T2")=0,"",SUMIFS(INDEX(Indices!$A:$P,0,MATCH("IRL",Indices!$1:$1,0)+1),INDEX(Indices!$A:$P,0,MATCH("IRL",Indices!$1:$1,0)),"2009-T2")),""))</f>
        <v/>
      </c>
      <c r="P12" s="28">
        <f>IF(OR("2009-T3"="","IRL"=""),"",IFERROR(IF(SUMIFS(INDEX(Indices!$A:$P,0,MATCH("IRL",Indices!$1:$1,0)+1),INDEX(Indices!$A:$P,0,MATCH("IRL",Indices!$1:$1,0)),"2009-T3")=0,"",SUMIFS(INDEX(Indices!$A:$P,0,MATCH("IRL",Indices!$1:$1,0)+1),INDEX(Indices!$A:$P,0,MATCH("IRL",Indices!$1:$1,0)),"2009-T3")),""))</f>
        <v/>
      </c>
      <c r="Q12" s="28">
        <f>IF(OR("2009-T4"="","IRL"=""),"",IFERROR(IF(SUMIFS(INDEX(Indices!$A:$P,0,MATCH("IRL",Indices!$1:$1,0)+1),INDEX(Indices!$A:$P,0,MATCH("IRL",Indices!$1:$1,0)),"2009-T4")=0,"",SUMIFS(INDEX(Indices!$A:$P,0,MATCH("IRL",Indices!$1:$1,0)+1),INDEX(Indices!$A:$P,0,MATCH("IRL",Indices!$1:$1,0)),"2009-T4")),""))</f>
        <v/>
      </c>
    </row>
    <row r="13">
      <c r="A13" s="5" t="n">
        <v>2010</v>
      </c>
      <c r="B13" s="28">
        <f>IF(OR("2010-T1"="","ILC"=""),"",IFERROR(IF(SUMIFS(INDEX(Indices!$A:$P,0,MATCH("ILC",Indices!$1:$1,0)+1),INDEX(Indices!$A:$P,0,MATCH("ILC",Indices!$1:$1,0)),"2010-T1")=0,"",SUMIFS(INDEX(Indices!$A:$P,0,MATCH("ILC",Indices!$1:$1,0)+1),INDEX(Indices!$A:$P,0,MATCH("ILC",Indices!$1:$1,0)),"2010-T1")),""))</f>
        <v/>
      </c>
      <c r="C13" s="28">
        <f>IF(OR("2010-T2"="","ILC"=""),"",IFERROR(IF(SUMIFS(INDEX(Indices!$A:$P,0,MATCH("ILC",Indices!$1:$1,0)+1),INDEX(Indices!$A:$P,0,MATCH("ILC",Indices!$1:$1,0)),"2010-T2")=0,"",SUMIFS(INDEX(Indices!$A:$P,0,MATCH("ILC",Indices!$1:$1,0)+1),INDEX(Indices!$A:$P,0,MATCH("ILC",Indices!$1:$1,0)),"2010-T2")),""))</f>
        <v/>
      </c>
      <c r="D13" s="28">
        <f>IF(OR("2010-T3"="","ILC"=""),"",IFERROR(IF(SUMIFS(INDEX(Indices!$A:$P,0,MATCH("ILC",Indices!$1:$1,0)+1),INDEX(Indices!$A:$P,0,MATCH("ILC",Indices!$1:$1,0)),"2010-T3")=0,"",SUMIFS(INDEX(Indices!$A:$P,0,MATCH("ILC",Indices!$1:$1,0)+1),INDEX(Indices!$A:$P,0,MATCH("ILC",Indices!$1:$1,0)),"2010-T3")),""))</f>
        <v/>
      </c>
      <c r="E13" s="28">
        <f>IF(OR("2010-T4"="","ILC"=""),"",IFERROR(IF(SUMIFS(INDEX(Indices!$A:$P,0,MATCH("ILC",Indices!$1:$1,0)+1),INDEX(Indices!$A:$P,0,MATCH("ILC",Indices!$1:$1,0)),"2010-T4")=0,"",SUMIFS(INDEX(Indices!$A:$P,0,MATCH("ILC",Indices!$1:$1,0)+1),INDEX(Indices!$A:$P,0,MATCH("ILC",Indices!$1:$1,0)),"2010-T4")),""))</f>
        <v/>
      </c>
      <c r="F13" s="28">
        <f>IF(OR("2010-T1"="","ILAT"=""),"",IFERROR(IF(SUMIFS(INDEX(Indices!$A:$P,0,MATCH("ILAT",Indices!$1:$1,0)+1),INDEX(Indices!$A:$P,0,MATCH("ILAT",Indices!$1:$1,0)),"2010-T1")=0,"",SUMIFS(INDEX(Indices!$A:$P,0,MATCH("ILAT",Indices!$1:$1,0)+1),INDEX(Indices!$A:$P,0,MATCH("ILAT",Indices!$1:$1,0)),"2010-T1")),""))</f>
        <v/>
      </c>
      <c r="G13" s="28">
        <f>IF(OR("2010-T2"="","ILAT"=""),"",IFERROR(IF(SUMIFS(INDEX(Indices!$A:$P,0,MATCH("ILAT",Indices!$1:$1,0)+1),INDEX(Indices!$A:$P,0,MATCH("ILAT",Indices!$1:$1,0)),"2010-T2")=0,"",SUMIFS(INDEX(Indices!$A:$P,0,MATCH("ILAT",Indices!$1:$1,0)+1),INDEX(Indices!$A:$P,0,MATCH("ILAT",Indices!$1:$1,0)),"2010-T2")),""))</f>
        <v/>
      </c>
      <c r="H13" s="28">
        <f>IF(OR("2010-T3"="","ILAT"=""),"",IFERROR(IF(SUMIFS(INDEX(Indices!$A:$P,0,MATCH("ILAT",Indices!$1:$1,0)+1),INDEX(Indices!$A:$P,0,MATCH("ILAT",Indices!$1:$1,0)),"2010-T3")=0,"",SUMIFS(INDEX(Indices!$A:$P,0,MATCH("ILAT",Indices!$1:$1,0)+1),INDEX(Indices!$A:$P,0,MATCH("ILAT",Indices!$1:$1,0)),"2010-T3")),""))</f>
        <v/>
      </c>
      <c r="I13" s="28">
        <f>IF(OR("2010-T4"="","ILAT"=""),"",IFERROR(IF(SUMIFS(INDEX(Indices!$A:$P,0,MATCH("ILAT",Indices!$1:$1,0)+1),INDEX(Indices!$A:$P,0,MATCH("ILAT",Indices!$1:$1,0)),"2010-T4")=0,"",SUMIFS(INDEX(Indices!$A:$P,0,MATCH("ILAT",Indices!$1:$1,0)+1),INDEX(Indices!$A:$P,0,MATCH("ILAT",Indices!$1:$1,0)),"2010-T4")),""))</f>
        <v/>
      </c>
      <c r="J13" s="29">
        <f>IF(OR("2010-T1"="","ICC"=""),"",IFERROR(IF(SUMIFS(INDEX(Indices!$A:$P,0,MATCH("ICC",Indices!$1:$1,0)+1),INDEX(Indices!$A:$P,0,MATCH("ICC",Indices!$1:$1,0)),"2010-T1")=0,"",SUMIFS(INDEX(Indices!$A:$P,0,MATCH("ICC",Indices!$1:$1,0)+1),INDEX(Indices!$A:$P,0,MATCH("ICC",Indices!$1:$1,0)),"2010-T1")),""))</f>
        <v/>
      </c>
      <c r="K13" s="29">
        <f>IF(OR("2010-T2"="","ICC"=""),"",IFERROR(IF(SUMIFS(INDEX(Indices!$A:$P,0,MATCH("ICC",Indices!$1:$1,0)+1),INDEX(Indices!$A:$P,0,MATCH("ICC",Indices!$1:$1,0)),"2010-T2")=0,"",SUMIFS(INDEX(Indices!$A:$P,0,MATCH("ICC",Indices!$1:$1,0)+1),INDEX(Indices!$A:$P,0,MATCH("ICC",Indices!$1:$1,0)),"2010-T2")),""))</f>
        <v/>
      </c>
      <c r="L13" s="29">
        <f>IF(OR("2010-T3"="","ICC"=""),"",IFERROR(IF(SUMIFS(INDEX(Indices!$A:$P,0,MATCH("ICC",Indices!$1:$1,0)+1),INDEX(Indices!$A:$P,0,MATCH("ICC",Indices!$1:$1,0)),"2010-T3")=0,"",SUMIFS(INDEX(Indices!$A:$P,0,MATCH("ICC",Indices!$1:$1,0)+1),INDEX(Indices!$A:$P,0,MATCH("ICC",Indices!$1:$1,0)),"2010-T3")),""))</f>
        <v/>
      </c>
      <c r="M13" s="29">
        <f>IF(OR("2010-T4"="","ICC"=""),"",IFERROR(IF(SUMIFS(INDEX(Indices!$A:$P,0,MATCH("ICC",Indices!$1:$1,0)+1),INDEX(Indices!$A:$P,0,MATCH("ICC",Indices!$1:$1,0)),"2010-T4")=0,"",SUMIFS(INDEX(Indices!$A:$P,0,MATCH("ICC",Indices!$1:$1,0)+1),INDEX(Indices!$A:$P,0,MATCH("ICC",Indices!$1:$1,0)),"2010-T4")),""))</f>
        <v/>
      </c>
      <c r="N13" s="28">
        <f>IF(OR("2010-T1"="","IRL"=""),"",IFERROR(IF(SUMIFS(INDEX(Indices!$A:$P,0,MATCH("IRL",Indices!$1:$1,0)+1),INDEX(Indices!$A:$P,0,MATCH("IRL",Indices!$1:$1,0)),"2010-T1")=0,"",SUMIFS(INDEX(Indices!$A:$P,0,MATCH("IRL",Indices!$1:$1,0)+1),INDEX(Indices!$A:$P,0,MATCH("IRL",Indices!$1:$1,0)),"2010-T1")),""))</f>
        <v/>
      </c>
      <c r="O13" s="28">
        <f>IF(OR("2010-T2"="","IRL"=""),"",IFERROR(IF(SUMIFS(INDEX(Indices!$A:$P,0,MATCH("IRL",Indices!$1:$1,0)+1),INDEX(Indices!$A:$P,0,MATCH("IRL",Indices!$1:$1,0)),"2010-T2")=0,"",SUMIFS(INDEX(Indices!$A:$P,0,MATCH("IRL",Indices!$1:$1,0)+1),INDEX(Indices!$A:$P,0,MATCH("IRL",Indices!$1:$1,0)),"2010-T2")),""))</f>
        <v/>
      </c>
      <c r="P13" s="28">
        <f>IF(OR("2010-T3"="","IRL"=""),"",IFERROR(IF(SUMIFS(INDEX(Indices!$A:$P,0,MATCH("IRL",Indices!$1:$1,0)+1),INDEX(Indices!$A:$P,0,MATCH("IRL",Indices!$1:$1,0)),"2010-T3")=0,"",SUMIFS(INDEX(Indices!$A:$P,0,MATCH("IRL",Indices!$1:$1,0)+1),INDEX(Indices!$A:$P,0,MATCH("IRL",Indices!$1:$1,0)),"2010-T3")),""))</f>
        <v/>
      </c>
      <c r="Q13" s="28">
        <f>IF(OR("2010-T4"="","IRL"=""),"",IFERROR(IF(SUMIFS(INDEX(Indices!$A:$P,0,MATCH("IRL",Indices!$1:$1,0)+1),INDEX(Indices!$A:$P,0,MATCH("IRL",Indices!$1:$1,0)),"2010-T4")=0,"",SUMIFS(INDEX(Indices!$A:$P,0,MATCH("IRL",Indices!$1:$1,0)+1),INDEX(Indices!$A:$P,0,MATCH("IRL",Indices!$1:$1,0)),"2010-T4")),""))</f>
        <v/>
      </c>
    </row>
    <row r="14">
      <c r="A14" s="5" t="n">
        <v>2011</v>
      </c>
      <c r="B14" s="28">
        <f>IF(OR("2011-T1"="","ILC"=""),"",IFERROR(IF(SUMIFS(INDEX(Indices!$A:$P,0,MATCH("ILC",Indices!$1:$1,0)+1),INDEX(Indices!$A:$P,0,MATCH("ILC",Indices!$1:$1,0)),"2011-T1")=0,"",SUMIFS(INDEX(Indices!$A:$P,0,MATCH("ILC",Indices!$1:$1,0)+1),INDEX(Indices!$A:$P,0,MATCH("ILC",Indices!$1:$1,0)),"2011-T1")),""))</f>
        <v/>
      </c>
      <c r="C14" s="28">
        <f>IF(OR("2011-T2"="","ILC"=""),"",IFERROR(IF(SUMIFS(INDEX(Indices!$A:$P,0,MATCH("ILC",Indices!$1:$1,0)+1),INDEX(Indices!$A:$P,0,MATCH("ILC",Indices!$1:$1,0)),"2011-T2")=0,"",SUMIFS(INDEX(Indices!$A:$P,0,MATCH("ILC",Indices!$1:$1,0)+1),INDEX(Indices!$A:$P,0,MATCH("ILC",Indices!$1:$1,0)),"2011-T2")),""))</f>
        <v/>
      </c>
      <c r="D14" s="28">
        <f>IF(OR("2011-T3"="","ILC"=""),"",IFERROR(IF(SUMIFS(INDEX(Indices!$A:$P,0,MATCH("ILC",Indices!$1:$1,0)+1),INDEX(Indices!$A:$P,0,MATCH("ILC",Indices!$1:$1,0)),"2011-T3")=0,"",SUMIFS(INDEX(Indices!$A:$P,0,MATCH("ILC",Indices!$1:$1,0)+1),INDEX(Indices!$A:$P,0,MATCH("ILC",Indices!$1:$1,0)),"2011-T3")),""))</f>
        <v/>
      </c>
      <c r="E14" s="28">
        <f>IF(OR("2011-T4"="","ILC"=""),"",IFERROR(IF(SUMIFS(INDEX(Indices!$A:$P,0,MATCH("ILC",Indices!$1:$1,0)+1),INDEX(Indices!$A:$P,0,MATCH("ILC",Indices!$1:$1,0)),"2011-T4")=0,"",SUMIFS(INDEX(Indices!$A:$P,0,MATCH("ILC",Indices!$1:$1,0)+1),INDEX(Indices!$A:$P,0,MATCH("ILC",Indices!$1:$1,0)),"2011-T4")),""))</f>
        <v/>
      </c>
      <c r="F14" s="28">
        <f>IF(OR("2011-T1"="","ILAT"=""),"",IFERROR(IF(SUMIFS(INDEX(Indices!$A:$P,0,MATCH("ILAT",Indices!$1:$1,0)+1),INDEX(Indices!$A:$P,0,MATCH("ILAT",Indices!$1:$1,0)),"2011-T1")=0,"",SUMIFS(INDEX(Indices!$A:$P,0,MATCH("ILAT",Indices!$1:$1,0)+1),INDEX(Indices!$A:$P,0,MATCH("ILAT",Indices!$1:$1,0)),"2011-T1")),""))</f>
        <v/>
      </c>
      <c r="G14" s="28">
        <f>IF(OR("2011-T2"="","ILAT"=""),"",IFERROR(IF(SUMIFS(INDEX(Indices!$A:$P,0,MATCH("ILAT",Indices!$1:$1,0)+1),INDEX(Indices!$A:$P,0,MATCH("ILAT",Indices!$1:$1,0)),"2011-T2")=0,"",SUMIFS(INDEX(Indices!$A:$P,0,MATCH("ILAT",Indices!$1:$1,0)+1),INDEX(Indices!$A:$P,0,MATCH("ILAT",Indices!$1:$1,0)),"2011-T2")),""))</f>
        <v/>
      </c>
      <c r="H14" s="28">
        <f>IF(OR("2011-T3"="","ILAT"=""),"",IFERROR(IF(SUMIFS(INDEX(Indices!$A:$P,0,MATCH("ILAT",Indices!$1:$1,0)+1),INDEX(Indices!$A:$P,0,MATCH("ILAT",Indices!$1:$1,0)),"2011-T3")=0,"",SUMIFS(INDEX(Indices!$A:$P,0,MATCH("ILAT",Indices!$1:$1,0)+1),INDEX(Indices!$A:$P,0,MATCH("ILAT",Indices!$1:$1,0)),"2011-T3")),""))</f>
        <v/>
      </c>
      <c r="I14" s="28">
        <f>IF(OR("2011-T4"="","ILAT"=""),"",IFERROR(IF(SUMIFS(INDEX(Indices!$A:$P,0,MATCH("ILAT",Indices!$1:$1,0)+1),INDEX(Indices!$A:$P,0,MATCH("ILAT",Indices!$1:$1,0)),"2011-T4")=0,"",SUMIFS(INDEX(Indices!$A:$P,0,MATCH("ILAT",Indices!$1:$1,0)+1),INDEX(Indices!$A:$P,0,MATCH("ILAT",Indices!$1:$1,0)),"2011-T4")),""))</f>
        <v/>
      </c>
      <c r="J14" s="29">
        <f>IF(OR("2011-T1"="","ICC"=""),"",IFERROR(IF(SUMIFS(INDEX(Indices!$A:$P,0,MATCH("ICC",Indices!$1:$1,0)+1),INDEX(Indices!$A:$P,0,MATCH("ICC",Indices!$1:$1,0)),"2011-T1")=0,"",SUMIFS(INDEX(Indices!$A:$P,0,MATCH("ICC",Indices!$1:$1,0)+1),INDEX(Indices!$A:$P,0,MATCH("ICC",Indices!$1:$1,0)),"2011-T1")),""))</f>
        <v/>
      </c>
      <c r="K14" s="29">
        <f>IF(OR("2011-T2"="","ICC"=""),"",IFERROR(IF(SUMIFS(INDEX(Indices!$A:$P,0,MATCH("ICC",Indices!$1:$1,0)+1),INDEX(Indices!$A:$P,0,MATCH("ICC",Indices!$1:$1,0)),"2011-T2")=0,"",SUMIFS(INDEX(Indices!$A:$P,0,MATCH("ICC",Indices!$1:$1,0)+1),INDEX(Indices!$A:$P,0,MATCH("ICC",Indices!$1:$1,0)),"2011-T2")),""))</f>
        <v/>
      </c>
      <c r="L14" s="29">
        <f>IF(OR("2011-T3"="","ICC"=""),"",IFERROR(IF(SUMIFS(INDEX(Indices!$A:$P,0,MATCH("ICC",Indices!$1:$1,0)+1),INDEX(Indices!$A:$P,0,MATCH("ICC",Indices!$1:$1,0)),"2011-T3")=0,"",SUMIFS(INDEX(Indices!$A:$P,0,MATCH("ICC",Indices!$1:$1,0)+1),INDEX(Indices!$A:$P,0,MATCH("ICC",Indices!$1:$1,0)),"2011-T3")),""))</f>
        <v/>
      </c>
      <c r="M14" s="29">
        <f>IF(OR("2011-T4"="","ICC"=""),"",IFERROR(IF(SUMIFS(INDEX(Indices!$A:$P,0,MATCH("ICC",Indices!$1:$1,0)+1),INDEX(Indices!$A:$P,0,MATCH("ICC",Indices!$1:$1,0)),"2011-T4")=0,"",SUMIFS(INDEX(Indices!$A:$P,0,MATCH("ICC",Indices!$1:$1,0)+1),INDEX(Indices!$A:$P,0,MATCH("ICC",Indices!$1:$1,0)),"2011-T4")),""))</f>
        <v/>
      </c>
      <c r="N14" s="28">
        <f>IF(OR("2011-T1"="","IRL"=""),"",IFERROR(IF(SUMIFS(INDEX(Indices!$A:$P,0,MATCH("IRL",Indices!$1:$1,0)+1),INDEX(Indices!$A:$P,0,MATCH("IRL",Indices!$1:$1,0)),"2011-T1")=0,"",SUMIFS(INDEX(Indices!$A:$P,0,MATCH("IRL",Indices!$1:$1,0)+1),INDEX(Indices!$A:$P,0,MATCH("IRL",Indices!$1:$1,0)),"2011-T1")),""))</f>
        <v/>
      </c>
      <c r="O14" s="28">
        <f>IF(OR("2011-T2"="","IRL"=""),"",IFERROR(IF(SUMIFS(INDEX(Indices!$A:$P,0,MATCH("IRL",Indices!$1:$1,0)+1),INDEX(Indices!$A:$P,0,MATCH("IRL",Indices!$1:$1,0)),"2011-T2")=0,"",SUMIFS(INDEX(Indices!$A:$P,0,MATCH("IRL",Indices!$1:$1,0)+1),INDEX(Indices!$A:$P,0,MATCH("IRL",Indices!$1:$1,0)),"2011-T2")),""))</f>
        <v/>
      </c>
      <c r="P14" s="28">
        <f>IF(OR("2011-T3"="","IRL"=""),"",IFERROR(IF(SUMIFS(INDEX(Indices!$A:$P,0,MATCH("IRL",Indices!$1:$1,0)+1),INDEX(Indices!$A:$P,0,MATCH("IRL",Indices!$1:$1,0)),"2011-T3")=0,"",SUMIFS(INDEX(Indices!$A:$P,0,MATCH("IRL",Indices!$1:$1,0)+1),INDEX(Indices!$A:$P,0,MATCH("IRL",Indices!$1:$1,0)),"2011-T3")),""))</f>
        <v/>
      </c>
      <c r="Q14" s="28">
        <f>IF(OR("2011-T4"="","IRL"=""),"",IFERROR(IF(SUMIFS(INDEX(Indices!$A:$P,0,MATCH("IRL",Indices!$1:$1,0)+1),INDEX(Indices!$A:$P,0,MATCH("IRL",Indices!$1:$1,0)),"2011-T4")=0,"",SUMIFS(INDEX(Indices!$A:$P,0,MATCH("IRL",Indices!$1:$1,0)+1),INDEX(Indices!$A:$P,0,MATCH("IRL",Indices!$1:$1,0)),"2011-T4")),""))</f>
        <v/>
      </c>
    </row>
    <row r="15">
      <c r="A15" s="5" t="n">
        <v>2012</v>
      </c>
      <c r="B15" s="28">
        <f>IF(OR("2012-T1"="","ILC"=""),"",IFERROR(IF(SUMIFS(INDEX(Indices!$A:$P,0,MATCH("ILC",Indices!$1:$1,0)+1),INDEX(Indices!$A:$P,0,MATCH("ILC",Indices!$1:$1,0)),"2012-T1")=0,"",SUMIFS(INDEX(Indices!$A:$P,0,MATCH("ILC",Indices!$1:$1,0)+1),INDEX(Indices!$A:$P,0,MATCH("ILC",Indices!$1:$1,0)),"2012-T1")),""))</f>
        <v/>
      </c>
      <c r="C15" s="28">
        <f>IF(OR("2012-T2"="","ILC"=""),"",IFERROR(IF(SUMIFS(INDEX(Indices!$A:$P,0,MATCH("ILC",Indices!$1:$1,0)+1),INDEX(Indices!$A:$P,0,MATCH("ILC",Indices!$1:$1,0)),"2012-T2")=0,"",SUMIFS(INDEX(Indices!$A:$P,0,MATCH("ILC",Indices!$1:$1,0)+1),INDEX(Indices!$A:$P,0,MATCH("ILC",Indices!$1:$1,0)),"2012-T2")),""))</f>
        <v/>
      </c>
      <c r="D15" s="28">
        <f>IF(OR("2012-T3"="","ILC"=""),"",IFERROR(IF(SUMIFS(INDEX(Indices!$A:$P,0,MATCH("ILC",Indices!$1:$1,0)+1),INDEX(Indices!$A:$P,0,MATCH("ILC",Indices!$1:$1,0)),"2012-T3")=0,"",SUMIFS(INDEX(Indices!$A:$P,0,MATCH("ILC",Indices!$1:$1,0)+1),INDEX(Indices!$A:$P,0,MATCH("ILC",Indices!$1:$1,0)),"2012-T3")),""))</f>
        <v/>
      </c>
      <c r="E15" s="28">
        <f>IF(OR("2012-T4"="","ILC"=""),"",IFERROR(IF(SUMIFS(INDEX(Indices!$A:$P,0,MATCH("ILC",Indices!$1:$1,0)+1),INDEX(Indices!$A:$P,0,MATCH("ILC",Indices!$1:$1,0)),"2012-T4")=0,"",SUMIFS(INDEX(Indices!$A:$P,0,MATCH("ILC",Indices!$1:$1,0)+1),INDEX(Indices!$A:$P,0,MATCH("ILC",Indices!$1:$1,0)),"2012-T4")),""))</f>
        <v/>
      </c>
      <c r="F15" s="28">
        <f>IF(OR("2012-T1"="","ILAT"=""),"",IFERROR(IF(SUMIFS(INDEX(Indices!$A:$P,0,MATCH("ILAT",Indices!$1:$1,0)+1),INDEX(Indices!$A:$P,0,MATCH("ILAT",Indices!$1:$1,0)),"2012-T1")=0,"",SUMIFS(INDEX(Indices!$A:$P,0,MATCH("ILAT",Indices!$1:$1,0)+1),INDEX(Indices!$A:$P,0,MATCH("ILAT",Indices!$1:$1,0)),"2012-T1")),""))</f>
        <v/>
      </c>
      <c r="G15" s="28">
        <f>IF(OR("2012-T2"="","ILAT"=""),"",IFERROR(IF(SUMIFS(INDEX(Indices!$A:$P,0,MATCH("ILAT",Indices!$1:$1,0)+1),INDEX(Indices!$A:$P,0,MATCH("ILAT",Indices!$1:$1,0)),"2012-T2")=0,"",SUMIFS(INDEX(Indices!$A:$P,0,MATCH("ILAT",Indices!$1:$1,0)+1),INDEX(Indices!$A:$P,0,MATCH("ILAT",Indices!$1:$1,0)),"2012-T2")),""))</f>
        <v/>
      </c>
      <c r="H15" s="28">
        <f>IF(OR("2012-T3"="","ILAT"=""),"",IFERROR(IF(SUMIFS(INDEX(Indices!$A:$P,0,MATCH("ILAT",Indices!$1:$1,0)+1),INDEX(Indices!$A:$P,0,MATCH("ILAT",Indices!$1:$1,0)),"2012-T3")=0,"",SUMIFS(INDEX(Indices!$A:$P,0,MATCH("ILAT",Indices!$1:$1,0)+1),INDEX(Indices!$A:$P,0,MATCH("ILAT",Indices!$1:$1,0)),"2012-T3")),""))</f>
        <v/>
      </c>
      <c r="I15" s="28">
        <f>IF(OR("2012-T4"="","ILAT"=""),"",IFERROR(IF(SUMIFS(INDEX(Indices!$A:$P,0,MATCH("ILAT",Indices!$1:$1,0)+1),INDEX(Indices!$A:$P,0,MATCH("ILAT",Indices!$1:$1,0)),"2012-T4")=0,"",SUMIFS(INDEX(Indices!$A:$P,0,MATCH("ILAT",Indices!$1:$1,0)+1),INDEX(Indices!$A:$P,0,MATCH("ILAT",Indices!$1:$1,0)),"2012-T4")),""))</f>
        <v/>
      </c>
      <c r="J15" s="29">
        <f>IF(OR("2012-T1"="","ICC"=""),"",IFERROR(IF(SUMIFS(INDEX(Indices!$A:$P,0,MATCH("ICC",Indices!$1:$1,0)+1),INDEX(Indices!$A:$P,0,MATCH("ICC",Indices!$1:$1,0)),"2012-T1")=0,"",SUMIFS(INDEX(Indices!$A:$P,0,MATCH("ICC",Indices!$1:$1,0)+1),INDEX(Indices!$A:$P,0,MATCH("ICC",Indices!$1:$1,0)),"2012-T1")),""))</f>
        <v/>
      </c>
      <c r="K15" s="29">
        <f>IF(OR("2012-T2"="","ICC"=""),"",IFERROR(IF(SUMIFS(INDEX(Indices!$A:$P,0,MATCH("ICC",Indices!$1:$1,0)+1),INDEX(Indices!$A:$P,0,MATCH("ICC",Indices!$1:$1,0)),"2012-T2")=0,"",SUMIFS(INDEX(Indices!$A:$P,0,MATCH("ICC",Indices!$1:$1,0)+1),INDEX(Indices!$A:$P,0,MATCH("ICC",Indices!$1:$1,0)),"2012-T2")),""))</f>
        <v/>
      </c>
      <c r="L15" s="29">
        <f>IF(OR("2012-T3"="","ICC"=""),"",IFERROR(IF(SUMIFS(INDEX(Indices!$A:$P,0,MATCH("ICC",Indices!$1:$1,0)+1),INDEX(Indices!$A:$P,0,MATCH("ICC",Indices!$1:$1,0)),"2012-T3")=0,"",SUMIFS(INDEX(Indices!$A:$P,0,MATCH("ICC",Indices!$1:$1,0)+1),INDEX(Indices!$A:$P,0,MATCH("ICC",Indices!$1:$1,0)),"2012-T3")),""))</f>
        <v/>
      </c>
      <c r="M15" s="29">
        <f>IF(OR("2012-T4"="","ICC"=""),"",IFERROR(IF(SUMIFS(INDEX(Indices!$A:$P,0,MATCH("ICC",Indices!$1:$1,0)+1),INDEX(Indices!$A:$P,0,MATCH("ICC",Indices!$1:$1,0)),"2012-T4")=0,"",SUMIFS(INDEX(Indices!$A:$P,0,MATCH("ICC",Indices!$1:$1,0)+1),INDEX(Indices!$A:$P,0,MATCH("ICC",Indices!$1:$1,0)),"2012-T4")),""))</f>
        <v/>
      </c>
      <c r="N15" s="28">
        <f>IF(OR("2012-T1"="","IRL"=""),"",IFERROR(IF(SUMIFS(INDEX(Indices!$A:$P,0,MATCH("IRL",Indices!$1:$1,0)+1),INDEX(Indices!$A:$P,0,MATCH("IRL",Indices!$1:$1,0)),"2012-T1")=0,"",SUMIFS(INDEX(Indices!$A:$P,0,MATCH("IRL",Indices!$1:$1,0)+1),INDEX(Indices!$A:$P,0,MATCH("IRL",Indices!$1:$1,0)),"2012-T1")),""))</f>
        <v/>
      </c>
      <c r="O15" s="28">
        <f>IF(OR("2012-T2"="","IRL"=""),"",IFERROR(IF(SUMIFS(INDEX(Indices!$A:$P,0,MATCH("IRL",Indices!$1:$1,0)+1),INDEX(Indices!$A:$P,0,MATCH("IRL",Indices!$1:$1,0)),"2012-T2")=0,"",SUMIFS(INDEX(Indices!$A:$P,0,MATCH("IRL",Indices!$1:$1,0)+1),INDEX(Indices!$A:$P,0,MATCH("IRL",Indices!$1:$1,0)),"2012-T2")),""))</f>
        <v/>
      </c>
      <c r="P15" s="28">
        <f>IF(OR("2012-T3"="","IRL"=""),"",IFERROR(IF(SUMIFS(INDEX(Indices!$A:$P,0,MATCH("IRL",Indices!$1:$1,0)+1),INDEX(Indices!$A:$P,0,MATCH("IRL",Indices!$1:$1,0)),"2012-T3")=0,"",SUMIFS(INDEX(Indices!$A:$P,0,MATCH("IRL",Indices!$1:$1,0)+1),INDEX(Indices!$A:$P,0,MATCH("IRL",Indices!$1:$1,0)),"2012-T3")),""))</f>
        <v/>
      </c>
      <c r="Q15" s="28">
        <f>IF(OR("2012-T4"="","IRL"=""),"",IFERROR(IF(SUMIFS(INDEX(Indices!$A:$P,0,MATCH("IRL",Indices!$1:$1,0)+1),INDEX(Indices!$A:$P,0,MATCH("IRL",Indices!$1:$1,0)),"2012-T4")=0,"",SUMIFS(INDEX(Indices!$A:$P,0,MATCH("IRL",Indices!$1:$1,0)+1),INDEX(Indices!$A:$P,0,MATCH("IRL",Indices!$1:$1,0)),"2012-T4")),""))</f>
        <v/>
      </c>
    </row>
    <row r="16">
      <c r="A16" s="5" t="n">
        <v>2013</v>
      </c>
      <c r="B16" s="28">
        <f>IF(OR("2013-T1"="","ILC"=""),"",IFERROR(IF(SUMIFS(INDEX(Indices!$A:$P,0,MATCH("ILC",Indices!$1:$1,0)+1),INDEX(Indices!$A:$P,0,MATCH("ILC",Indices!$1:$1,0)),"2013-T1")=0,"",SUMIFS(INDEX(Indices!$A:$P,0,MATCH("ILC",Indices!$1:$1,0)+1),INDEX(Indices!$A:$P,0,MATCH("ILC",Indices!$1:$1,0)),"2013-T1")),""))</f>
        <v/>
      </c>
      <c r="C16" s="28">
        <f>IF(OR("2013-T2"="","ILC"=""),"",IFERROR(IF(SUMIFS(INDEX(Indices!$A:$P,0,MATCH("ILC",Indices!$1:$1,0)+1),INDEX(Indices!$A:$P,0,MATCH("ILC",Indices!$1:$1,0)),"2013-T2")=0,"",SUMIFS(INDEX(Indices!$A:$P,0,MATCH("ILC",Indices!$1:$1,0)+1),INDEX(Indices!$A:$P,0,MATCH("ILC",Indices!$1:$1,0)),"2013-T2")),""))</f>
        <v/>
      </c>
      <c r="D16" s="28">
        <f>IF(OR("2013-T3"="","ILC"=""),"",IFERROR(IF(SUMIFS(INDEX(Indices!$A:$P,0,MATCH("ILC",Indices!$1:$1,0)+1),INDEX(Indices!$A:$P,0,MATCH("ILC",Indices!$1:$1,0)),"2013-T3")=0,"",SUMIFS(INDEX(Indices!$A:$P,0,MATCH("ILC",Indices!$1:$1,0)+1),INDEX(Indices!$A:$P,0,MATCH("ILC",Indices!$1:$1,0)),"2013-T3")),""))</f>
        <v/>
      </c>
      <c r="E16" s="28">
        <f>IF(OR("2013-T4"="","ILC"=""),"",IFERROR(IF(SUMIFS(INDEX(Indices!$A:$P,0,MATCH("ILC",Indices!$1:$1,0)+1),INDEX(Indices!$A:$P,0,MATCH("ILC",Indices!$1:$1,0)),"2013-T4")=0,"",SUMIFS(INDEX(Indices!$A:$P,0,MATCH("ILC",Indices!$1:$1,0)+1),INDEX(Indices!$A:$P,0,MATCH("ILC",Indices!$1:$1,0)),"2013-T4")),""))</f>
        <v/>
      </c>
      <c r="F16" s="28">
        <f>IF(OR("2013-T1"="","ILAT"=""),"",IFERROR(IF(SUMIFS(INDEX(Indices!$A:$P,0,MATCH("ILAT",Indices!$1:$1,0)+1),INDEX(Indices!$A:$P,0,MATCH("ILAT",Indices!$1:$1,0)),"2013-T1")=0,"",SUMIFS(INDEX(Indices!$A:$P,0,MATCH("ILAT",Indices!$1:$1,0)+1),INDEX(Indices!$A:$P,0,MATCH("ILAT",Indices!$1:$1,0)),"2013-T1")),""))</f>
        <v/>
      </c>
      <c r="G16" s="28">
        <f>IF(OR("2013-T2"="","ILAT"=""),"",IFERROR(IF(SUMIFS(INDEX(Indices!$A:$P,0,MATCH("ILAT",Indices!$1:$1,0)+1),INDEX(Indices!$A:$P,0,MATCH("ILAT",Indices!$1:$1,0)),"2013-T2")=0,"",SUMIFS(INDEX(Indices!$A:$P,0,MATCH("ILAT",Indices!$1:$1,0)+1),INDEX(Indices!$A:$P,0,MATCH("ILAT",Indices!$1:$1,0)),"2013-T2")),""))</f>
        <v/>
      </c>
      <c r="H16" s="28">
        <f>IF(OR("2013-T3"="","ILAT"=""),"",IFERROR(IF(SUMIFS(INDEX(Indices!$A:$P,0,MATCH("ILAT",Indices!$1:$1,0)+1),INDEX(Indices!$A:$P,0,MATCH("ILAT",Indices!$1:$1,0)),"2013-T3")=0,"",SUMIFS(INDEX(Indices!$A:$P,0,MATCH("ILAT",Indices!$1:$1,0)+1),INDEX(Indices!$A:$P,0,MATCH("ILAT",Indices!$1:$1,0)),"2013-T3")),""))</f>
        <v/>
      </c>
      <c r="I16" s="28">
        <f>IF(OR("2013-T4"="","ILAT"=""),"",IFERROR(IF(SUMIFS(INDEX(Indices!$A:$P,0,MATCH("ILAT",Indices!$1:$1,0)+1),INDEX(Indices!$A:$P,0,MATCH("ILAT",Indices!$1:$1,0)),"2013-T4")=0,"",SUMIFS(INDEX(Indices!$A:$P,0,MATCH("ILAT",Indices!$1:$1,0)+1),INDEX(Indices!$A:$P,0,MATCH("ILAT",Indices!$1:$1,0)),"2013-T4")),""))</f>
        <v/>
      </c>
      <c r="J16" s="29">
        <f>IF(OR("2013-T1"="","ICC"=""),"",IFERROR(IF(SUMIFS(INDEX(Indices!$A:$P,0,MATCH("ICC",Indices!$1:$1,0)+1),INDEX(Indices!$A:$P,0,MATCH("ICC",Indices!$1:$1,0)),"2013-T1")=0,"",SUMIFS(INDEX(Indices!$A:$P,0,MATCH("ICC",Indices!$1:$1,0)+1),INDEX(Indices!$A:$P,0,MATCH("ICC",Indices!$1:$1,0)),"2013-T1")),""))</f>
        <v/>
      </c>
      <c r="K16" s="29">
        <f>IF(OR("2013-T2"="","ICC"=""),"",IFERROR(IF(SUMIFS(INDEX(Indices!$A:$P,0,MATCH("ICC",Indices!$1:$1,0)+1),INDEX(Indices!$A:$P,0,MATCH("ICC",Indices!$1:$1,0)),"2013-T2")=0,"",SUMIFS(INDEX(Indices!$A:$P,0,MATCH("ICC",Indices!$1:$1,0)+1),INDEX(Indices!$A:$P,0,MATCH("ICC",Indices!$1:$1,0)),"2013-T2")),""))</f>
        <v/>
      </c>
      <c r="L16" s="29">
        <f>IF(OR("2013-T3"="","ICC"=""),"",IFERROR(IF(SUMIFS(INDEX(Indices!$A:$P,0,MATCH("ICC",Indices!$1:$1,0)+1),INDEX(Indices!$A:$P,0,MATCH("ICC",Indices!$1:$1,0)),"2013-T3")=0,"",SUMIFS(INDEX(Indices!$A:$P,0,MATCH("ICC",Indices!$1:$1,0)+1),INDEX(Indices!$A:$P,0,MATCH("ICC",Indices!$1:$1,0)),"2013-T3")),""))</f>
        <v/>
      </c>
      <c r="M16" s="29">
        <f>IF(OR("2013-T4"="","ICC"=""),"",IFERROR(IF(SUMIFS(INDEX(Indices!$A:$P,0,MATCH("ICC",Indices!$1:$1,0)+1),INDEX(Indices!$A:$P,0,MATCH("ICC",Indices!$1:$1,0)),"2013-T4")=0,"",SUMIFS(INDEX(Indices!$A:$P,0,MATCH("ICC",Indices!$1:$1,0)+1),INDEX(Indices!$A:$P,0,MATCH("ICC",Indices!$1:$1,0)),"2013-T4")),""))</f>
        <v/>
      </c>
      <c r="N16" s="28">
        <f>IF(OR("2013-T1"="","IRL"=""),"",IFERROR(IF(SUMIFS(INDEX(Indices!$A:$P,0,MATCH("IRL",Indices!$1:$1,0)+1),INDEX(Indices!$A:$P,0,MATCH("IRL",Indices!$1:$1,0)),"2013-T1")=0,"",SUMIFS(INDEX(Indices!$A:$P,0,MATCH("IRL",Indices!$1:$1,0)+1),INDEX(Indices!$A:$P,0,MATCH("IRL",Indices!$1:$1,0)),"2013-T1")),""))</f>
        <v/>
      </c>
      <c r="O16" s="28">
        <f>IF(OR("2013-T2"="","IRL"=""),"",IFERROR(IF(SUMIFS(INDEX(Indices!$A:$P,0,MATCH("IRL",Indices!$1:$1,0)+1),INDEX(Indices!$A:$P,0,MATCH("IRL",Indices!$1:$1,0)),"2013-T2")=0,"",SUMIFS(INDEX(Indices!$A:$P,0,MATCH("IRL",Indices!$1:$1,0)+1),INDEX(Indices!$A:$P,0,MATCH("IRL",Indices!$1:$1,0)),"2013-T2")),""))</f>
        <v/>
      </c>
      <c r="P16" s="28">
        <f>IF(OR("2013-T3"="","IRL"=""),"",IFERROR(IF(SUMIFS(INDEX(Indices!$A:$P,0,MATCH("IRL",Indices!$1:$1,0)+1),INDEX(Indices!$A:$P,0,MATCH("IRL",Indices!$1:$1,0)),"2013-T3")=0,"",SUMIFS(INDEX(Indices!$A:$P,0,MATCH("IRL",Indices!$1:$1,0)+1),INDEX(Indices!$A:$P,0,MATCH("IRL",Indices!$1:$1,0)),"2013-T3")),""))</f>
        <v/>
      </c>
      <c r="Q16" s="28">
        <f>IF(OR("2013-T4"="","IRL"=""),"",IFERROR(IF(SUMIFS(INDEX(Indices!$A:$P,0,MATCH("IRL",Indices!$1:$1,0)+1),INDEX(Indices!$A:$P,0,MATCH("IRL",Indices!$1:$1,0)),"2013-T4")=0,"",SUMIFS(INDEX(Indices!$A:$P,0,MATCH("IRL",Indices!$1:$1,0)+1),INDEX(Indices!$A:$P,0,MATCH("IRL",Indices!$1:$1,0)),"2013-T4")),""))</f>
        <v/>
      </c>
    </row>
    <row r="17">
      <c r="A17" s="5" t="n">
        <v>2014</v>
      </c>
      <c r="B17" s="28">
        <f>IF(OR("2014-T1"="","ILC"=""),"",IFERROR(IF(SUMIFS(INDEX(Indices!$A:$P,0,MATCH("ILC",Indices!$1:$1,0)+1),INDEX(Indices!$A:$P,0,MATCH("ILC",Indices!$1:$1,0)),"2014-T1")=0,"",SUMIFS(INDEX(Indices!$A:$P,0,MATCH("ILC",Indices!$1:$1,0)+1),INDEX(Indices!$A:$P,0,MATCH("ILC",Indices!$1:$1,0)),"2014-T1")),""))</f>
        <v/>
      </c>
      <c r="C17" s="28">
        <f>IF(OR("2014-T2"="","ILC"=""),"",IFERROR(IF(SUMIFS(INDEX(Indices!$A:$P,0,MATCH("ILC",Indices!$1:$1,0)+1),INDEX(Indices!$A:$P,0,MATCH("ILC",Indices!$1:$1,0)),"2014-T2")=0,"",SUMIFS(INDEX(Indices!$A:$P,0,MATCH("ILC",Indices!$1:$1,0)+1),INDEX(Indices!$A:$P,0,MATCH("ILC",Indices!$1:$1,0)),"2014-T2")),""))</f>
        <v/>
      </c>
      <c r="D17" s="28">
        <f>IF(OR("2014-T3"="","ILC"=""),"",IFERROR(IF(SUMIFS(INDEX(Indices!$A:$P,0,MATCH("ILC",Indices!$1:$1,0)+1),INDEX(Indices!$A:$P,0,MATCH("ILC",Indices!$1:$1,0)),"2014-T3")=0,"",SUMIFS(INDEX(Indices!$A:$P,0,MATCH("ILC",Indices!$1:$1,0)+1),INDEX(Indices!$A:$P,0,MATCH("ILC",Indices!$1:$1,0)),"2014-T3")),""))</f>
        <v/>
      </c>
      <c r="E17" s="28">
        <f>IF(OR("2014-T4"="","ILC"=""),"",IFERROR(IF(SUMIFS(INDEX(Indices!$A:$P,0,MATCH("ILC",Indices!$1:$1,0)+1),INDEX(Indices!$A:$P,0,MATCH("ILC",Indices!$1:$1,0)),"2014-T4")=0,"",SUMIFS(INDEX(Indices!$A:$P,0,MATCH("ILC",Indices!$1:$1,0)+1),INDEX(Indices!$A:$P,0,MATCH("ILC",Indices!$1:$1,0)),"2014-T4")),""))</f>
        <v/>
      </c>
      <c r="F17" s="28">
        <f>IF(OR("2014-T1"="","ILAT"=""),"",IFERROR(IF(SUMIFS(INDEX(Indices!$A:$P,0,MATCH("ILAT",Indices!$1:$1,0)+1),INDEX(Indices!$A:$P,0,MATCH("ILAT",Indices!$1:$1,0)),"2014-T1")=0,"",SUMIFS(INDEX(Indices!$A:$P,0,MATCH("ILAT",Indices!$1:$1,0)+1),INDEX(Indices!$A:$P,0,MATCH("ILAT",Indices!$1:$1,0)),"2014-T1")),""))</f>
        <v/>
      </c>
      <c r="G17" s="28">
        <f>IF(OR("2014-T2"="","ILAT"=""),"",IFERROR(IF(SUMIFS(INDEX(Indices!$A:$P,0,MATCH("ILAT",Indices!$1:$1,0)+1),INDEX(Indices!$A:$P,0,MATCH("ILAT",Indices!$1:$1,0)),"2014-T2")=0,"",SUMIFS(INDEX(Indices!$A:$P,0,MATCH("ILAT",Indices!$1:$1,0)+1),INDEX(Indices!$A:$P,0,MATCH("ILAT",Indices!$1:$1,0)),"2014-T2")),""))</f>
        <v/>
      </c>
      <c r="H17" s="28">
        <f>IF(OR("2014-T3"="","ILAT"=""),"",IFERROR(IF(SUMIFS(INDEX(Indices!$A:$P,0,MATCH("ILAT",Indices!$1:$1,0)+1),INDEX(Indices!$A:$P,0,MATCH("ILAT",Indices!$1:$1,0)),"2014-T3")=0,"",SUMIFS(INDEX(Indices!$A:$P,0,MATCH("ILAT",Indices!$1:$1,0)+1),INDEX(Indices!$A:$P,0,MATCH("ILAT",Indices!$1:$1,0)),"2014-T3")),""))</f>
        <v/>
      </c>
      <c r="I17" s="28">
        <f>IF(OR("2014-T4"="","ILAT"=""),"",IFERROR(IF(SUMIFS(INDEX(Indices!$A:$P,0,MATCH("ILAT",Indices!$1:$1,0)+1),INDEX(Indices!$A:$P,0,MATCH("ILAT",Indices!$1:$1,0)),"2014-T4")=0,"",SUMIFS(INDEX(Indices!$A:$P,0,MATCH("ILAT",Indices!$1:$1,0)+1),INDEX(Indices!$A:$P,0,MATCH("ILAT",Indices!$1:$1,0)),"2014-T4")),""))</f>
        <v/>
      </c>
      <c r="J17" s="29">
        <f>IF(OR("2014-T1"="","ICC"=""),"",IFERROR(IF(SUMIFS(INDEX(Indices!$A:$P,0,MATCH("ICC",Indices!$1:$1,0)+1),INDEX(Indices!$A:$P,0,MATCH("ICC",Indices!$1:$1,0)),"2014-T1")=0,"",SUMIFS(INDEX(Indices!$A:$P,0,MATCH("ICC",Indices!$1:$1,0)+1),INDEX(Indices!$A:$P,0,MATCH("ICC",Indices!$1:$1,0)),"2014-T1")),""))</f>
        <v/>
      </c>
      <c r="K17" s="29">
        <f>IF(OR("2014-T2"="","ICC"=""),"",IFERROR(IF(SUMIFS(INDEX(Indices!$A:$P,0,MATCH("ICC",Indices!$1:$1,0)+1),INDEX(Indices!$A:$P,0,MATCH("ICC",Indices!$1:$1,0)),"2014-T2")=0,"",SUMIFS(INDEX(Indices!$A:$P,0,MATCH("ICC",Indices!$1:$1,0)+1),INDEX(Indices!$A:$P,0,MATCH("ICC",Indices!$1:$1,0)),"2014-T2")),""))</f>
        <v/>
      </c>
      <c r="L17" s="29">
        <f>IF(OR("2014-T3"="","ICC"=""),"",IFERROR(IF(SUMIFS(INDEX(Indices!$A:$P,0,MATCH("ICC",Indices!$1:$1,0)+1),INDEX(Indices!$A:$P,0,MATCH("ICC",Indices!$1:$1,0)),"2014-T3")=0,"",SUMIFS(INDEX(Indices!$A:$P,0,MATCH("ICC",Indices!$1:$1,0)+1),INDEX(Indices!$A:$P,0,MATCH("ICC",Indices!$1:$1,0)),"2014-T3")),""))</f>
        <v/>
      </c>
      <c r="M17" s="29">
        <f>IF(OR("2014-T4"="","ICC"=""),"",IFERROR(IF(SUMIFS(INDEX(Indices!$A:$P,0,MATCH("ICC",Indices!$1:$1,0)+1),INDEX(Indices!$A:$P,0,MATCH("ICC",Indices!$1:$1,0)),"2014-T4")=0,"",SUMIFS(INDEX(Indices!$A:$P,0,MATCH("ICC",Indices!$1:$1,0)+1),INDEX(Indices!$A:$P,0,MATCH("ICC",Indices!$1:$1,0)),"2014-T4")),""))</f>
        <v/>
      </c>
      <c r="N17" s="28">
        <f>IF(OR("2014-T1"="","IRL"=""),"",IFERROR(IF(SUMIFS(INDEX(Indices!$A:$P,0,MATCH("IRL",Indices!$1:$1,0)+1),INDEX(Indices!$A:$P,0,MATCH("IRL",Indices!$1:$1,0)),"2014-T1")=0,"",SUMIFS(INDEX(Indices!$A:$P,0,MATCH("IRL",Indices!$1:$1,0)+1),INDEX(Indices!$A:$P,0,MATCH("IRL",Indices!$1:$1,0)),"2014-T1")),""))</f>
        <v/>
      </c>
      <c r="O17" s="28">
        <f>IF(OR("2014-T2"="","IRL"=""),"",IFERROR(IF(SUMIFS(INDEX(Indices!$A:$P,0,MATCH("IRL",Indices!$1:$1,0)+1),INDEX(Indices!$A:$P,0,MATCH("IRL",Indices!$1:$1,0)),"2014-T2")=0,"",SUMIFS(INDEX(Indices!$A:$P,0,MATCH("IRL",Indices!$1:$1,0)+1),INDEX(Indices!$A:$P,0,MATCH("IRL",Indices!$1:$1,0)),"2014-T2")),""))</f>
        <v/>
      </c>
      <c r="P17" s="28">
        <f>IF(OR("2014-T3"="","IRL"=""),"",IFERROR(IF(SUMIFS(INDEX(Indices!$A:$P,0,MATCH("IRL",Indices!$1:$1,0)+1),INDEX(Indices!$A:$P,0,MATCH("IRL",Indices!$1:$1,0)),"2014-T3")=0,"",SUMIFS(INDEX(Indices!$A:$P,0,MATCH("IRL",Indices!$1:$1,0)+1),INDEX(Indices!$A:$P,0,MATCH("IRL",Indices!$1:$1,0)),"2014-T3")),""))</f>
        <v/>
      </c>
      <c r="Q17" s="28">
        <f>IF(OR("2014-T4"="","IRL"=""),"",IFERROR(IF(SUMIFS(INDEX(Indices!$A:$P,0,MATCH("IRL",Indices!$1:$1,0)+1),INDEX(Indices!$A:$P,0,MATCH("IRL",Indices!$1:$1,0)),"2014-T4")=0,"",SUMIFS(INDEX(Indices!$A:$P,0,MATCH("IRL",Indices!$1:$1,0)+1),INDEX(Indices!$A:$P,0,MATCH("IRL",Indices!$1:$1,0)),"2014-T4")),""))</f>
        <v/>
      </c>
    </row>
    <row r="18">
      <c r="A18" s="5" t="n">
        <v>2015</v>
      </c>
      <c r="B18" s="28">
        <f>IF(OR("2015-T1"="","ILC"=""),"",IFERROR(IF(SUMIFS(INDEX(Indices!$A:$P,0,MATCH("ILC",Indices!$1:$1,0)+1),INDEX(Indices!$A:$P,0,MATCH("ILC",Indices!$1:$1,0)),"2015-T1")=0,"",SUMIFS(INDEX(Indices!$A:$P,0,MATCH("ILC",Indices!$1:$1,0)+1),INDEX(Indices!$A:$P,0,MATCH("ILC",Indices!$1:$1,0)),"2015-T1")),""))</f>
        <v/>
      </c>
      <c r="C18" s="28">
        <f>IF(OR("2015-T2"="","ILC"=""),"",IFERROR(IF(SUMIFS(INDEX(Indices!$A:$P,0,MATCH("ILC",Indices!$1:$1,0)+1),INDEX(Indices!$A:$P,0,MATCH("ILC",Indices!$1:$1,0)),"2015-T2")=0,"",SUMIFS(INDEX(Indices!$A:$P,0,MATCH("ILC",Indices!$1:$1,0)+1),INDEX(Indices!$A:$P,0,MATCH("ILC",Indices!$1:$1,0)),"2015-T2")),""))</f>
        <v/>
      </c>
      <c r="D18" s="28">
        <f>IF(OR("2015-T3"="","ILC"=""),"",IFERROR(IF(SUMIFS(INDEX(Indices!$A:$P,0,MATCH("ILC",Indices!$1:$1,0)+1),INDEX(Indices!$A:$P,0,MATCH("ILC",Indices!$1:$1,0)),"2015-T3")=0,"",SUMIFS(INDEX(Indices!$A:$P,0,MATCH("ILC",Indices!$1:$1,0)+1),INDEX(Indices!$A:$P,0,MATCH("ILC",Indices!$1:$1,0)),"2015-T3")),""))</f>
        <v/>
      </c>
      <c r="E18" s="28">
        <f>IF(OR("2015-T4"="","ILC"=""),"",IFERROR(IF(SUMIFS(INDEX(Indices!$A:$P,0,MATCH("ILC",Indices!$1:$1,0)+1),INDEX(Indices!$A:$P,0,MATCH("ILC",Indices!$1:$1,0)),"2015-T4")=0,"",SUMIFS(INDEX(Indices!$A:$P,0,MATCH("ILC",Indices!$1:$1,0)+1),INDEX(Indices!$A:$P,0,MATCH("ILC",Indices!$1:$1,0)),"2015-T4")),""))</f>
        <v/>
      </c>
      <c r="F18" s="28">
        <f>IF(OR("2015-T1"="","ILAT"=""),"",IFERROR(IF(SUMIFS(INDEX(Indices!$A:$P,0,MATCH("ILAT",Indices!$1:$1,0)+1),INDEX(Indices!$A:$P,0,MATCH("ILAT",Indices!$1:$1,0)),"2015-T1")=0,"",SUMIFS(INDEX(Indices!$A:$P,0,MATCH("ILAT",Indices!$1:$1,0)+1),INDEX(Indices!$A:$P,0,MATCH("ILAT",Indices!$1:$1,0)),"2015-T1")),""))</f>
        <v/>
      </c>
      <c r="G18" s="28">
        <f>IF(OR("2015-T2"="","ILAT"=""),"",IFERROR(IF(SUMIFS(INDEX(Indices!$A:$P,0,MATCH("ILAT",Indices!$1:$1,0)+1),INDEX(Indices!$A:$P,0,MATCH("ILAT",Indices!$1:$1,0)),"2015-T2")=0,"",SUMIFS(INDEX(Indices!$A:$P,0,MATCH("ILAT",Indices!$1:$1,0)+1),INDEX(Indices!$A:$P,0,MATCH("ILAT",Indices!$1:$1,0)),"2015-T2")),""))</f>
        <v/>
      </c>
      <c r="H18" s="28">
        <f>IF(OR("2015-T3"="","ILAT"=""),"",IFERROR(IF(SUMIFS(INDEX(Indices!$A:$P,0,MATCH("ILAT",Indices!$1:$1,0)+1),INDEX(Indices!$A:$P,0,MATCH("ILAT",Indices!$1:$1,0)),"2015-T3")=0,"",SUMIFS(INDEX(Indices!$A:$P,0,MATCH("ILAT",Indices!$1:$1,0)+1),INDEX(Indices!$A:$P,0,MATCH("ILAT",Indices!$1:$1,0)),"2015-T3")),""))</f>
        <v/>
      </c>
      <c r="I18" s="28">
        <f>IF(OR("2015-T4"="","ILAT"=""),"",IFERROR(IF(SUMIFS(INDEX(Indices!$A:$P,0,MATCH("ILAT",Indices!$1:$1,0)+1),INDEX(Indices!$A:$P,0,MATCH("ILAT",Indices!$1:$1,0)),"2015-T4")=0,"",SUMIFS(INDEX(Indices!$A:$P,0,MATCH("ILAT",Indices!$1:$1,0)+1),INDEX(Indices!$A:$P,0,MATCH("ILAT",Indices!$1:$1,0)),"2015-T4")),""))</f>
        <v/>
      </c>
      <c r="J18" s="29">
        <f>IF(OR("2015-T1"="","ICC"=""),"",IFERROR(IF(SUMIFS(INDEX(Indices!$A:$P,0,MATCH("ICC",Indices!$1:$1,0)+1),INDEX(Indices!$A:$P,0,MATCH("ICC",Indices!$1:$1,0)),"2015-T1")=0,"",SUMIFS(INDEX(Indices!$A:$P,0,MATCH("ICC",Indices!$1:$1,0)+1),INDEX(Indices!$A:$P,0,MATCH("ICC",Indices!$1:$1,0)),"2015-T1")),""))</f>
        <v/>
      </c>
      <c r="K18" s="29">
        <f>IF(OR("2015-T2"="","ICC"=""),"",IFERROR(IF(SUMIFS(INDEX(Indices!$A:$P,0,MATCH("ICC",Indices!$1:$1,0)+1),INDEX(Indices!$A:$P,0,MATCH("ICC",Indices!$1:$1,0)),"2015-T2")=0,"",SUMIFS(INDEX(Indices!$A:$P,0,MATCH("ICC",Indices!$1:$1,0)+1),INDEX(Indices!$A:$P,0,MATCH("ICC",Indices!$1:$1,0)),"2015-T2")),""))</f>
        <v/>
      </c>
      <c r="L18" s="29">
        <f>IF(OR("2015-T3"="","ICC"=""),"",IFERROR(IF(SUMIFS(INDEX(Indices!$A:$P,0,MATCH("ICC",Indices!$1:$1,0)+1),INDEX(Indices!$A:$P,0,MATCH("ICC",Indices!$1:$1,0)),"2015-T3")=0,"",SUMIFS(INDEX(Indices!$A:$P,0,MATCH("ICC",Indices!$1:$1,0)+1),INDEX(Indices!$A:$P,0,MATCH("ICC",Indices!$1:$1,0)),"2015-T3")),""))</f>
        <v/>
      </c>
      <c r="M18" s="29">
        <f>IF(OR("2015-T4"="","ICC"=""),"",IFERROR(IF(SUMIFS(INDEX(Indices!$A:$P,0,MATCH("ICC",Indices!$1:$1,0)+1),INDEX(Indices!$A:$P,0,MATCH("ICC",Indices!$1:$1,0)),"2015-T4")=0,"",SUMIFS(INDEX(Indices!$A:$P,0,MATCH("ICC",Indices!$1:$1,0)+1),INDEX(Indices!$A:$P,0,MATCH("ICC",Indices!$1:$1,0)),"2015-T4")),""))</f>
        <v/>
      </c>
      <c r="N18" s="28">
        <f>IF(OR("2015-T1"="","IRL"=""),"",IFERROR(IF(SUMIFS(INDEX(Indices!$A:$P,0,MATCH("IRL",Indices!$1:$1,0)+1),INDEX(Indices!$A:$P,0,MATCH("IRL",Indices!$1:$1,0)),"2015-T1")=0,"",SUMIFS(INDEX(Indices!$A:$P,0,MATCH("IRL",Indices!$1:$1,0)+1),INDEX(Indices!$A:$P,0,MATCH("IRL",Indices!$1:$1,0)),"2015-T1")),""))</f>
        <v/>
      </c>
      <c r="O18" s="28">
        <f>IF(OR("2015-T2"="","IRL"=""),"",IFERROR(IF(SUMIFS(INDEX(Indices!$A:$P,0,MATCH("IRL",Indices!$1:$1,0)+1),INDEX(Indices!$A:$P,0,MATCH("IRL",Indices!$1:$1,0)),"2015-T2")=0,"",SUMIFS(INDEX(Indices!$A:$P,0,MATCH("IRL",Indices!$1:$1,0)+1),INDEX(Indices!$A:$P,0,MATCH("IRL",Indices!$1:$1,0)),"2015-T2")),""))</f>
        <v/>
      </c>
      <c r="P18" s="28">
        <f>IF(OR("2015-T3"="","IRL"=""),"",IFERROR(IF(SUMIFS(INDEX(Indices!$A:$P,0,MATCH("IRL",Indices!$1:$1,0)+1),INDEX(Indices!$A:$P,0,MATCH("IRL",Indices!$1:$1,0)),"2015-T3")=0,"",SUMIFS(INDEX(Indices!$A:$P,0,MATCH("IRL",Indices!$1:$1,0)+1),INDEX(Indices!$A:$P,0,MATCH("IRL",Indices!$1:$1,0)),"2015-T3")),""))</f>
        <v/>
      </c>
      <c r="Q18" s="28">
        <f>IF(OR("2015-T4"="","IRL"=""),"",IFERROR(IF(SUMIFS(INDEX(Indices!$A:$P,0,MATCH("IRL",Indices!$1:$1,0)+1),INDEX(Indices!$A:$P,0,MATCH("IRL",Indices!$1:$1,0)),"2015-T4")=0,"",SUMIFS(INDEX(Indices!$A:$P,0,MATCH("IRL",Indices!$1:$1,0)+1),INDEX(Indices!$A:$P,0,MATCH("IRL",Indices!$1:$1,0)),"2015-T4")),""))</f>
        <v/>
      </c>
    </row>
    <row r="19">
      <c r="A19" s="5" t="n">
        <v>2016</v>
      </c>
      <c r="B19" s="28">
        <f>IF(OR("2016-T1"="","ILC"=""),"",IFERROR(IF(SUMIFS(INDEX(Indices!$A:$P,0,MATCH("ILC",Indices!$1:$1,0)+1),INDEX(Indices!$A:$P,0,MATCH("ILC",Indices!$1:$1,0)),"2016-T1")=0,"",SUMIFS(INDEX(Indices!$A:$P,0,MATCH("ILC",Indices!$1:$1,0)+1),INDEX(Indices!$A:$P,0,MATCH("ILC",Indices!$1:$1,0)),"2016-T1")),""))</f>
        <v/>
      </c>
      <c r="C19" s="28">
        <f>IF(OR("2016-T2"="","ILC"=""),"",IFERROR(IF(SUMIFS(INDEX(Indices!$A:$P,0,MATCH("ILC",Indices!$1:$1,0)+1),INDEX(Indices!$A:$P,0,MATCH("ILC",Indices!$1:$1,0)),"2016-T2")=0,"",SUMIFS(INDEX(Indices!$A:$P,0,MATCH("ILC",Indices!$1:$1,0)+1),INDEX(Indices!$A:$P,0,MATCH("ILC",Indices!$1:$1,0)),"2016-T2")),""))</f>
        <v/>
      </c>
      <c r="D19" s="28">
        <f>IF(OR("2016-T3"="","ILC"=""),"",IFERROR(IF(SUMIFS(INDEX(Indices!$A:$P,0,MATCH("ILC",Indices!$1:$1,0)+1),INDEX(Indices!$A:$P,0,MATCH("ILC",Indices!$1:$1,0)),"2016-T3")=0,"",SUMIFS(INDEX(Indices!$A:$P,0,MATCH("ILC",Indices!$1:$1,0)+1),INDEX(Indices!$A:$P,0,MATCH("ILC",Indices!$1:$1,0)),"2016-T3")),""))</f>
        <v/>
      </c>
      <c r="E19" s="28">
        <f>IF(OR("2016-T4"="","ILC"=""),"",IFERROR(IF(SUMIFS(INDEX(Indices!$A:$P,0,MATCH("ILC",Indices!$1:$1,0)+1),INDEX(Indices!$A:$P,0,MATCH("ILC",Indices!$1:$1,0)),"2016-T4")=0,"",SUMIFS(INDEX(Indices!$A:$P,0,MATCH("ILC",Indices!$1:$1,0)+1),INDEX(Indices!$A:$P,0,MATCH("ILC",Indices!$1:$1,0)),"2016-T4")),""))</f>
        <v/>
      </c>
      <c r="F19" s="28">
        <f>IF(OR("2016-T1"="","ILAT"=""),"",IFERROR(IF(SUMIFS(INDEX(Indices!$A:$P,0,MATCH("ILAT",Indices!$1:$1,0)+1),INDEX(Indices!$A:$P,0,MATCH("ILAT",Indices!$1:$1,0)),"2016-T1")=0,"",SUMIFS(INDEX(Indices!$A:$P,0,MATCH("ILAT",Indices!$1:$1,0)+1),INDEX(Indices!$A:$P,0,MATCH("ILAT",Indices!$1:$1,0)),"2016-T1")),""))</f>
        <v/>
      </c>
      <c r="G19" s="28">
        <f>IF(OR("2016-T2"="","ILAT"=""),"",IFERROR(IF(SUMIFS(INDEX(Indices!$A:$P,0,MATCH("ILAT",Indices!$1:$1,0)+1),INDEX(Indices!$A:$P,0,MATCH("ILAT",Indices!$1:$1,0)),"2016-T2")=0,"",SUMIFS(INDEX(Indices!$A:$P,0,MATCH("ILAT",Indices!$1:$1,0)+1),INDEX(Indices!$A:$P,0,MATCH("ILAT",Indices!$1:$1,0)),"2016-T2")),""))</f>
        <v/>
      </c>
      <c r="H19" s="28">
        <f>IF(OR("2016-T3"="","ILAT"=""),"",IFERROR(IF(SUMIFS(INDEX(Indices!$A:$P,0,MATCH("ILAT",Indices!$1:$1,0)+1),INDEX(Indices!$A:$P,0,MATCH("ILAT",Indices!$1:$1,0)),"2016-T3")=0,"",SUMIFS(INDEX(Indices!$A:$P,0,MATCH("ILAT",Indices!$1:$1,0)+1),INDEX(Indices!$A:$P,0,MATCH("ILAT",Indices!$1:$1,0)),"2016-T3")),""))</f>
        <v/>
      </c>
      <c r="I19" s="28">
        <f>IF(OR("2016-T4"="","ILAT"=""),"",IFERROR(IF(SUMIFS(INDEX(Indices!$A:$P,0,MATCH("ILAT",Indices!$1:$1,0)+1),INDEX(Indices!$A:$P,0,MATCH("ILAT",Indices!$1:$1,0)),"2016-T4")=0,"",SUMIFS(INDEX(Indices!$A:$P,0,MATCH("ILAT",Indices!$1:$1,0)+1),INDEX(Indices!$A:$P,0,MATCH("ILAT",Indices!$1:$1,0)),"2016-T4")),""))</f>
        <v/>
      </c>
      <c r="J19" s="29">
        <f>IF(OR("2016-T1"="","ICC"=""),"",IFERROR(IF(SUMIFS(INDEX(Indices!$A:$P,0,MATCH("ICC",Indices!$1:$1,0)+1),INDEX(Indices!$A:$P,0,MATCH("ICC",Indices!$1:$1,0)),"2016-T1")=0,"",SUMIFS(INDEX(Indices!$A:$P,0,MATCH("ICC",Indices!$1:$1,0)+1),INDEX(Indices!$A:$P,0,MATCH("ICC",Indices!$1:$1,0)),"2016-T1")),""))</f>
        <v/>
      </c>
      <c r="K19" s="29">
        <f>IF(OR("2016-T2"="","ICC"=""),"",IFERROR(IF(SUMIFS(INDEX(Indices!$A:$P,0,MATCH("ICC",Indices!$1:$1,0)+1),INDEX(Indices!$A:$P,0,MATCH("ICC",Indices!$1:$1,0)),"2016-T2")=0,"",SUMIFS(INDEX(Indices!$A:$P,0,MATCH("ICC",Indices!$1:$1,0)+1),INDEX(Indices!$A:$P,0,MATCH("ICC",Indices!$1:$1,0)),"2016-T2")),""))</f>
        <v/>
      </c>
      <c r="L19" s="29">
        <f>IF(OR("2016-T3"="","ICC"=""),"",IFERROR(IF(SUMIFS(INDEX(Indices!$A:$P,0,MATCH("ICC",Indices!$1:$1,0)+1),INDEX(Indices!$A:$P,0,MATCH("ICC",Indices!$1:$1,0)),"2016-T3")=0,"",SUMIFS(INDEX(Indices!$A:$P,0,MATCH("ICC",Indices!$1:$1,0)+1),INDEX(Indices!$A:$P,0,MATCH("ICC",Indices!$1:$1,0)),"2016-T3")),""))</f>
        <v/>
      </c>
      <c r="M19" s="29">
        <f>IF(OR("2016-T4"="","ICC"=""),"",IFERROR(IF(SUMIFS(INDEX(Indices!$A:$P,0,MATCH("ICC",Indices!$1:$1,0)+1),INDEX(Indices!$A:$P,0,MATCH("ICC",Indices!$1:$1,0)),"2016-T4")=0,"",SUMIFS(INDEX(Indices!$A:$P,0,MATCH("ICC",Indices!$1:$1,0)+1),INDEX(Indices!$A:$P,0,MATCH("ICC",Indices!$1:$1,0)),"2016-T4")),""))</f>
        <v/>
      </c>
      <c r="N19" s="28">
        <f>IF(OR("2016-T1"="","IRL"=""),"",IFERROR(IF(SUMIFS(INDEX(Indices!$A:$P,0,MATCH("IRL",Indices!$1:$1,0)+1),INDEX(Indices!$A:$P,0,MATCH("IRL",Indices!$1:$1,0)),"2016-T1")=0,"",SUMIFS(INDEX(Indices!$A:$P,0,MATCH("IRL",Indices!$1:$1,0)+1),INDEX(Indices!$A:$P,0,MATCH("IRL",Indices!$1:$1,0)),"2016-T1")),""))</f>
        <v/>
      </c>
      <c r="O19" s="28">
        <f>IF(OR("2016-T2"="","IRL"=""),"",IFERROR(IF(SUMIFS(INDEX(Indices!$A:$P,0,MATCH("IRL",Indices!$1:$1,0)+1),INDEX(Indices!$A:$P,0,MATCH("IRL",Indices!$1:$1,0)),"2016-T2")=0,"",SUMIFS(INDEX(Indices!$A:$P,0,MATCH("IRL",Indices!$1:$1,0)+1),INDEX(Indices!$A:$P,0,MATCH("IRL",Indices!$1:$1,0)),"2016-T2")),""))</f>
        <v/>
      </c>
      <c r="P19" s="28">
        <f>IF(OR("2016-T3"="","IRL"=""),"",IFERROR(IF(SUMIFS(INDEX(Indices!$A:$P,0,MATCH("IRL",Indices!$1:$1,0)+1),INDEX(Indices!$A:$P,0,MATCH("IRL",Indices!$1:$1,0)),"2016-T3")=0,"",SUMIFS(INDEX(Indices!$A:$P,0,MATCH("IRL",Indices!$1:$1,0)+1),INDEX(Indices!$A:$P,0,MATCH("IRL",Indices!$1:$1,0)),"2016-T3")),""))</f>
        <v/>
      </c>
      <c r="Q19" s="28">
        <f>IF(OR("2016-T4"="","IRL"=""),"",IFERROR(IF(SUMIFS(INDEX(Indices!$A:$P,0,MATCH("IRL",Indices!$1:$1,0)+1),INDEX(Indices!$A:$P,0,MATCH("IRL",Indices!$1:$1,0)),"2016-T4")=0,"",SUMIFS(INDEX(Indices!$A:$P,0,MATCH("IRL",Indices!$1:$1,0)+1),INDEX(Indices!$A:$P,0,MATCH("IRL",Indices!$1:$1,0)),"2016-T4")),""))</f>
        <v/>
      </c>
    </row>
    <row r="20">
      <c r="A20" s="5" t="n">
        <v>2017</v>
      </c>
      <c r="B20" s="28">
        <f>IF(OR("2017-T1"="","ILC"=""),"",IFERROR(IF(SUMIFS(INDEX(Indices!$A:$P,0,MATCH("ILC",Indices!$1:$1,0)+1),INDEX(Indices!$A:$P,0,MATCH("ILC",Indices!$1:$1,0)),"2017-T1")=0,"",SUMIFS(INDEX(Indices!$A:$P,0,MATCH("ILC",Indices!$1:$1,0)+1),INDEX(Indices!$A:$P,0,MATCH("ILC",Indices!$1:$1,0)),"2017-T1")),""))</f>
        <v/>
      </c>
      <c r="C20" s="28">
        <f>IF(OR("2017-T2"="","ILC"=""),"",IFERROR(IF(SUMIFS(INDEX(Indices!$A:$P,0,MATCH("ILC",Indices!$1:$1,0)+1),INDEX(Indices!$A:$P,0,MATCH("ILC",Indices!$1:$1,0)),"2017-T2")=0,"",SUMIFS(INDEX(Indices!$A:$P,0,MATCH("ILC",Indices!$1:$1,0)+1),INDEX(Indices!$A:$P,0,MATCH("ILC",Indices!$1:$1,0)),"2017-T2")),""))</f>
        <v/>
      </c>
      <c r="D20" s="28">
        <f>IF(OR("2017-T3"="","ILC"=""),"",IFERROR(IF(SUMIFS(INDEX(Indices!$A:$P,0,MATCH("ILC",Indices!$1:$1,0)+1),INDEX(Indices!$A:$P,0,MATCH("ILC",Indices!$1:$1,0)),"2017-T3")=0,"",SUMIFS(INDEX(Indices!$A:$P,0,MATCH("ILC",Indices!$1:$1,0)+1),INDEX(Indices!$A:$P,0,MATCH("ILC",Indices!$1:$1,0)),"2017-T3")),""))</f>
        <v/>
      </c>
      <c r="E20" s="28">
        <f>IF(OR("2017-T4"="","ILC"=""),"",IFERROR(IF(SUMIFS(INDEX(Indices!$A:$P,0,MATCH("ILC",Indices!$1:$1,0)+1),INDEX(Indices!$A:$P,0,MATCH("ILC",Indices!$1:$1,0)),"2017-T4")=0,"",SUMIFS(INDEX(Indices!$A:$P,0,MATCH("ILC",Indices!$1:$1,0)+1),INDEX(Indices!$A:$P,0,MATCH("ILC",Indices!$1:$1,0)),"2017-T4")),""))</f>
        <v/>
      </c>
      <c r="F20" s="28">
        <f>IF(OR("2017-T1"="","ILAT"=""),"",IFERROR(IF(SUMIFS(INDEX(Indices!$A:$P,0,MATCH("ILAT",Indices!$1:$1,0)+1),INDEX(Indices!$A:$P,0,MATCH("ILAT",Indices!$1:$1,0)),"2017-T1")=0,"",SUMIFS(INDEX(Indices!$A:$P,0,MATCH("ILAT",Indices!$1:$1,0)+1),INDEX(Indices!$A:$P,0,MATCH("ILAT",Indices!$1:$1,0)),"2017-T1")),""))</f>
        <v/>
      </c>
      <c r="G20" s="28">
        <f>IF(OR("2017-T2"="","ILAT"=""),"",IFERROR(IF(SUMIFS(INDEX(Indices!$A:$P,0,MATCH("ILAT",Indices!$1:$1,0)+1),INDEX(Indices!$A:$P,0,MATCH("ILAT",Indices!$1:$1,0)),"2017-T2")=0,"",SUMIFS(INDEX(Indices!$A:$P,0,MATCH("ILAT",Indices!$1:$1,0)+1),INDEX(Indices!$A:$P,0,MATCH("ILAT",Indices!$1:$1,0)),"2017-T2")),""))</f>
        <v/>
      </c>
      <c r="H20" s="28">
        <f>IF(OR("2017-T3"="","ILAT"=""),"",IFERROR(IF(SUMIFS(INDEX(Indices!$A:$P,0,MATCH("ILAT",Indices!$1:$1,0)+1),INDEX(Indices!$A:$P,0,MATCH("ILAT",Indices!$1:$1,0)),"2017-T3")=0,"",SUMIFS(INDEX(Indices!$A:$P,0,MATCH("ILAT",Indices!$1:$1,0)+1),INDEX(Indices!$A:$P,0,MATCH("ILAT",Indices!$1:$1,0)),"2017-T3")),""))</f>
        <v/>
      </c>
      <c r="I20" s="28">
        <f>IF(OR("2017-T4"="","ILAT"=""),"",IFERROR(IF(SUMIFS(INDEX(Indices!$A:$P,0,MATCH("ILAT",Indices!$1:$1,0)+1),INDEX(Indices!$A:$P,0,MATCH("ILAT",Indices!$1:$1,0)),"2017-T4")=0,"",SUMIFS(INDEX(Indices!$A:$P,0,MATCH("ILAT",Indices!$1:$1,0)+1),INDEX(Indices!$A:$P,0,MATCH("ILAT",Indices!$1:$1,0)),"2017-T4")),""))</f>
        <v/>
      </c>
      <c r="J20" s="29">
        <f>IF(OR("2017-T1"="","ICC"=""),"",IFERROR(IF(SUMIFS(INDEX(Indices!$A:$P,0,MATCH("ICC",Indices!$1:$1,0)+1),INDEX(Indices!$A:$P,0,MATCH("ICC",Indices!$1:$1,0)),"2017-T1")=0,"",SUMIFS(INDEX(Indices!$A:$P,0,MATCH("ICC",Indices!$1:$1,0)+1),INDEX(Indices!$A:$P,0,MATCH("ICC",Indices!$1:$1,0)),"2017-T1")),""))</f>
        <v/>
      </c>
      <c r="K20" s="29">
        <f>IF(OR("2017-T2"="","ICC"=""),"",IFERROR(IF(SUMIFS(INDEX(Indices!$A:$P,0,MATCH("ICC",Indices!$1:$1,0)+1),INDEX(Indices!$A:$P,0,MATCH("ICC",Indices!$1:$1,0)),"2017-T2")=0,"",SUMIFS(INDEX(Indices!$A:$P,0,MATCH("ICC",Indices!$1:$1,0)+1),INDEX(Indices!$A:$P,0,MATCH("ICC",Indices!$1:$1,0)),"2017-T2")),""))</f>
        <v/>
      </c>
      <c r="L20" s="29">
        <f>IF(OR("2017-T3"="","ICC"=""),"",IFERROR(IF(SUMIFS(INDEX(Indices!$A:$P,0,MATCH("ICC",Indices!$1:$1,0)+1),INDEX(Indices!$A:$P,0,MATCH("ICC",Indices!$1:$1,0)),"2017-T3")=0,"",SUMIFS(INDEX(Indices!$A:$P,0,MATCH("ICC",Indices!$1:$1,0)+1),INDEX(Indices!$A:$P,0,MATCH("ICC",Indices!$1:$1,0)),"2017-T3")),""))</f>
        <v/>
      </c>
      <c r="M20" s="29">
        <f>IF(OR("2017-T4"="","ICC"=""),"",IFERROR(IF(SUMIFS(INDEX(Indices!$A:$P,0,MATCH("ICC",Indices!$1:$1,0)+1),INDEX(Indices!$A:$P,0,MATCH("ICC",Indices!$1:$1,0)),"2017-T4")=0,"",SUMIFS(INDEX(Indices!$A:$P,0,MATCH("ICC",Indices!$1:$1,0)+1),INDEX(Indices!$A:$P,0,MATCH("ICC",Indices!$1:$1,0)),"2017-T4")),""))</f>
        <v/>
      </c>
      <c r="N20" s="28">
        <f>IF(OR("2017-T1"="","IRL"=""),"",IFERROR(IF(SUMIFS(INDEX(Indices!$A:$P,0,MATCH("IRL",Indices!$1:$1,0)+1),INDEX(Indices!$A:$P,0,MATCH("IRL",Indices!$1:$1,0)),"2017-T1")=0,"",SUMIFS(INDEX(Indices!$A:$P,0,MATCH("IRL",Indices!$1:$1,0)+1),INDEX(Indices!$A:$P,0,MATCH("IRL",Indices!$1:$1,0)),"2017-T1")),""))</f>
        <v/>
      </c>
      <c r="O20" s="28">
        <f>IF(OR("2017-T2"="","IRL"=""),"",IFERROR(IF(SUMIFS(INDEX(Indices!$A:$P,0,MATCH("IRL",Indices!$1:$1,0)+1),INDEX(Indices!$A:$P,0,MATCH("IRL",Indices!$1:$1,0)),"2017-T2")=0,"",SUMIFS(INDEX(Indices!$A:$P,0,MATCH("IRL",Indices!$1:$1,0)+1),INDEX(Indices!$A:$P,0,MATCH("IRL",Indices!$1:$1,0)),"2017-T2")),""))</f>
        <v/>
      </c>
      <c r="P20" s="28">
        <f>IF(OR("2017-T3"="","IRL"=""),"",IFERROR(IF(SUMIFS(INDEX(Indices!$A:$P,0,MATCH("IRL",Indices!$1:$1,0)+1),INDEX(Indices!$A:$P,0,MATCH("IRL",Indices!$1:$1,0)),"2017-T3")=0,"",SUMIFS(INDEX(Indices!$A:$P,0,MATCH("IRL",Indices!$1:$1,0)+1),INDEX(Indices!$A:$P,0,MATCH("IRL",Indices!$1:$1,0)),"2017-T3")),""))</f>
        <v/>
      </c>
      <c r="Q20" s="28">
        <f>IF(OR("2017-T4"="","IRL"=""),"",IFERROR(IF(SUMIFS(INDEX(Indices!$A:$P,0,MATCH("IRL",Indices!$1:$1,0)+1),INDEX(Indices!$A:$P,0,MATCH("IRL",Indices!$1:$1,0)),"2017-T4")=0,"",SUMIFS(INDEX(Indices!$A:$P,0,MATCH("IRL",Indices!$1:$1,0)+1),INDEX(Indices!$A:$P,0,MATCH("IRL",Indices!$1:$1,0)),"2017-T4")),""))</f>
        <v/>
      </c>
    </row>
    <row r="21">
      <c r="A21" s="5" t="n">
        <v>2018</v>
      </c>
      <c r="B21" s="28">
        <f>IF(OR("2018-T1"="","ILC"=""),"",IFERROR(IF(SUMIFS(INDEX(Indices!$A:$P,0,MATCH("ILC",Indices!$1:$1,0)+1),INDEX(Indices!$A:$P,0,MATCH("ILC",Indices!$1:$1,0)),"2018-T1")=0,"",SUMIFS(INDEX(Indices!$A:$P,0,MATCH("ILC",Indices!$1:$1,0)+1),INDEX(Indices!$A:$P,0,MATCH("ILC",Indices!$1:$1,0)),"2018-T1")),""))</f>
        <v/>
      </c>
      <c r="C21" s="28">
        <f>IF(OR("2018-T2"="","ILC"=""),"",IFERROR(IF(SUMIFS(INDEX(Indices!$A:$P,0,MATCH("ILC",Indices!$1:$1,0)+1),INDEX(Indices!$A:$P,0,MATCH("ILC",Indices!$1:$1,0)),"2018-T2")=0,"",SUMIFS(INDEX(Indices!$A:$P,0,MATCH("ILC",Indices!$1:$1,0)+1),INDEX(Indices!$A:$P,0,MATCH("ILC",Indices!$1:$1,0)),"2018-T2")),""))</f>
        <v/>
      </c>
      <c r="D21" s="28">
        <f>IF(OR("2018-T3"="","ILC"=""),"",IFERROR(IF(SUMIFS(INDEX(Indices!$A:$P,0,MATCH("ILC",Indices!$1:$1,0)+1),INDEX(Indices!$A:$P,0,MATCH("ILC",Indices!$1:$1,0)),"2018-T3")=0,"",SUMIFS(INDEX(Indices!$A:$P,0,MATCH("ILC",Indices!$1:$1,0)+1),INDEX(Indices!$A:$P,0,MATCH("ILC",Indices!$1:$1,0)),"2018-T3")),""))</f>
        <v/>
      </c>
      <c r="E21" s="28">
        <f>IF(OR("2018-T4"="","ILC"=""),"",IFERROR(IF(SUMIFS(INDEX(Indices!$A:$P,0,MATCH("ILC",Indices!$1:$1,0)+1),INDEX(Indices!$A:$P,0,MATCH("ILC",Indices!$1:$1,0)),"2018-T4")=0,"",SUMIFS(INDEX(Indices!$A:$P,0,MATCH("ILC",Indices!$1:$1,0)+1),INDEX(Indices!$A:$P,0,MATCH("ILC",Indices!$1:$1,0)),"2018-T4")),""))</f>
        <v/>
      </c>
      <c r="F21" s="28">
        <f>IF(OR("2018-T1"="","ILAT"=""),"",IFERROR(IF(SUMIFS(INDEX(Indices!$A:$P,0,MATCH("ILAT",Indices!$1:$1,0)+1),INDEX(Indices!$A:$P,0,MATCH("ILAT",Indices!$1:$1,0)),"2018-T1")=0,"",SUMIFS(INDEX(Indices!$A:$P,0,MATCH("ILAT",Indices!$1:$1,0)+1),INDEX(Indices!$A:$P,0,MATCH("ILAT",Indices!$1:$1,0)),"2018-T1")),""))</f>
        <v/>
      </c>
      <c r="G21" s="28">
        <f>IF(OR("2018-T2"="","ILAT"=""),"",IFERROR(IF(SUMIFS(INDEX(Indices!$A:$P,0,MATCH("ILAT",Indices!$1:$1,0)+1),INDEX(Indices!$A:$P,0,MATCH("ILAT",Indices!$1:$1,0)),"2018-T2")=0,"",SUMIFS(INDEX(Indices!$A:$P,0,MATCH("ILAT",Indices!$1:$1,0)+1),INDEX(Indices!$A:$P,0,MATCH("ILAT",Indices!$1:$1,0)),"2018-T2")),""))</f>
        <v/>
      </c>
      <c r="H21" s="28">
        <f>IF(OR("2018-T3"="","ILAT"=""),"",IFERROR(IF(SUMIFS(INDEX(Indices!$A:$P,0,MATCH("ILAT",Indices!$1:$1,0)+1),INDEX(Indices!$A:$P,0,MATCH("ILAT",Indices!$1:$1,0)),"2018-T3")=0,"",SUMIFS(INDEX(Indices!$A:$P,0,MATCH("ILAT",Indices!$1:$1,0)+1),INDEX(Indices!$A:$P,0,MATCH("ILAT",Indices!$1:$1,0)),"2018-T3")),""))</f>
        <v/>
      </c>
      <c r="I21" s="28">
        <f>IF(OR("2018-T4"="","ILAT"=""),"",IFERROR(IF(SUMIFS(INDEX(Indices!$A:$P,0,MATCH("ILAT",Indices!$1:$1,0)+1),INDEX(Indices!$A:$P,0,MATCH("ILAT",Indices!$1:$1,0)),"2018-T4")=0,"",SUMIFS(INDEX(Indices!$A:$P,0,MATCH("ILAT",Indices!$1:$1,0)+1),INDEX(Indices!$A:$P,0,MATCH("ILAT",Indices!$1:$1,0)),"2018-T4")),""))</f>
        <v/>
      </c>
      <c r="J21" s="29">
        <f>IF(OR("2018-T1"="","ICC"=""),"",IFERROR(IF(SUMIFS(INDEX(Indices!$A:$P,0,MATCH("ICC",Indices!$1:$1,0)+1),INDEX(Indices!$A:$P,0,MATCH("ICC",Indices!$1:$1,0)),"2018-T1")=0,"",SUMIFS(INDEX(Indices!$A:$P,0,MATCH("ICC",Indices!$1:$1,0)+1),INDEX(Indices!$A:$P,0,MATCH("ICC",Indices!$1:$1,0)),"2018-T1")),""))</f>
        <v/>
      </c>
      <c r="K21" s="29">
        <f>IF(OR("2018-T2"="","ICC"=""),"",IFERROR(IF(SUMIFS(INDEX(Indices!$A:$P,0,MATCH("ICC",Indices!$1:$1,0)+1),INDEX(Indices!$A:$P,0,MATCH("ICC",Indices!$1:$1,0)),"2018-T2")=0,"",SUMIFS(INDEX(Indices!$A:$P,0,MATCH("ICC",Indices!$1:$1,0)+1),INDEX(Indices!$A:$P,0,MATCH("ICC",Indices!$1:$1,0)),"2018-T2")),""))</f>
        <v/>
      </c>
      <c r="L21" s="29">
        <f>IF(OR("2018-T3"="","ICC"=""),"",IFERROR(IF(SUMIFS(INDEX(Indices!$A:$P,0,MATCH("ICC",Indices!$1:$1,0)+1),INDEX(Indices!$A:$P,0,MATCH("ICC",Indices!$1:$1,0)),"2018-T3")=0,"",SUMIFS(INDEX(Indices!$A:$P,0,MATCH("ICC",Indices!$1:$1,0)+1),INDEX(Indices!$A:$P,0,MATCH("ICC",Indices!$1:$1,0)),"2018-T3")),""))</f>
        <v/>
      </c>
      <c r="M21" s="29">
        <f>IF(OR("2018-T4"="","ICC"=""),"",IFERROR(IF(SUMIFS(INDEX(Indices!$A:$P,0,MATCH("ICC",Indices!$1:$1,0)+1),INDEX(Indices!$A:$P,0,MATCH("ICC",Indices!$1:$1,0)),"2018-T4")=0,"",SUMIFS(INDEX(Indices!$A:$P,0,MATCH("ICC",Indices!$1:$1,0)+1),INDEX(Indices!$A:$P,0,MATCH("ICC",Indices!$1:$1,0)),"2018-T4")),""))</f>
        <v/>
      </c>
      <c r="N21" s="28">
        <f>IF(OR("2018-T1"="","IRL"=""),"",IFERROR(IF(SUMIFS(INDEX(Indices!$A:$P,0,MATCH("IRL",Indices!$1:$1,0)+1),INDEX(Indices!$A:$P,0,MATCH("IRL",Indices!$1:$1,0)),"2018-T1")=0,"",SUMIFS(INDEX(Indices!$A:$P,0,MATCH("IRL",Indices!$1:$1,0)+1),INDEX(Indices!$A:$P,0,MATCH("IRL",Indices!$1:$1,0)),"2018-T1")),""))</f>
        <v/>
      </c>
      <c r="O21" s="28">
        <f>IF(OR("2018-T2"="","IRL"=""),"",IFERROR(IF(SUMIFS(INDEX(Indices!$A:$P,0,MATCH("IRL",Indices!$1:$1,0)+1),INDEX(Indices!$A:$P,0,MATCH("IRL",Indices!$1:$1,0)),"2018-T2")=0,"",SUMIFS(INDEX(Indices!$A:$P,0,MATCH("IRL",Indices!$1:$1,0)+1),INDEX(Indices!$A:$P,0,MATCH("IRL",Indices!$1:$1,0)),"2018-T2")),""))</f>
        <v/>
      </c>
      <c r="P21" s="28">
        <f>IF(OR("2018-T3"="","IRL"=""),"",IFERROR(IF(SUMIFS(INDEX(Indices!$A:$P,0,MATCH("IRL",Indices!$1:$1,0)+1),INDEX(Indices!$A:$P,0,MATCH("IRL",Indices!$1:$1,0)),"2018-T3")=0,"",SUMIFS(INDEX(Indices!$A:$P,0,MATCH("IRL",Indices!$1:$1,0)+1),INDEX(Indices!$A:$P,0,MATCH("IRL",Indices!$1:$1,0)),"2018-T3")),""))</f>
        <v/>
      </c>
      <c r="Q21" s="28">
        <f>IF(OR("2018-T4"="","IRL"=""),"",IFERROR(IF(SUMIFS(INDEX(Indices!$A:$P,0,MATCH("IRL",Indices!$1:$1,0)+1),INDEX(Indices!$A:$P,0,MATCH("IRL",Indices!$1:$1,0)),"2018-T4")=0,"",SUMIFS(INDEX(Indices!$A:$P,0,MATCH("IRL",Indices!$1:$1,0)+1),INDEX(Indices!$A:$P,0,MATCH("IRL",Indices!$1:$1,0)),"2018-T4")),""))</f>
        <v/>
      </c>
    </row>
    <row r="22">
      <c r="A22" s="5" t="n">
        <v>2019</v>
      </c>
      <c r="B22" s="28">
        <f>IF(OR("2019-T1"="","ILC"=""),"",IFERROR(IF(SUMIFS(INDEX(Indices!$A:$P,0,MATCH("ILC",Indices!$1:$1,0)+1),INDEX(Indices!$A:$P,0,MATCH("ILC",Indices!$1:$1,0)),"2019-T1")=0,"",SUMIFS(INDEX(Indices!$A:$P,0,MATCH("ILC",Indices!$1:$1,0)+1),INDEX(Indices!$A:$P,0,MATCH("ILC",Indices!$1:$1,0)),"2019-T1")),""))</f>
        <v/>
      </c>
      <c r="C22" s="28">
        <f>IF(OR("2019-T2"="","ILC"=""),"",IFERROR(IF(SUMIFS(INDEX(Indices!$A:$P,0,MATCH("ILC",Indices!$1:$1,0)+1),INDEX(Indices!$A:$P,0,MATCH("ILC",Indices!$1:$1,0)),"2019-T2")=0,"",SUMIFS(INDEX(Indices!$A:$P,0,MATCH("ILC",Indices!$1:$1,0)+1),INDEX(Indices!$A:$P,0,MATCH("ILC",Indices!$1:$1,0)),"2019-T2")),""))</f>
        <v/>
      </c>
      <c r="D22" s="28">
        <f>IF(OR("2019-T3"="","ILC"=""),"",IFERROR(IF(SUMIFS(INDEX(Indices!$A:$P,0,MATCH("ILC",Indices!$1:$1,0)+1),INDEX(Indices!$A:$P,0,MATCH("ILC",Indices!$1:$1,0)),"2019-T3")=0,"",SUMIFS(INDEX(Indices!$A:$P,0,MATCH("ILC",Indices!$1:$1,0)+1),INDEX(Indices!$A:$P,0,MATCH("ILC",Indices!$1:$1,0)),"2019-T3")),""))</f>
        <v/>
      </c>
      <c r="E22" s="28">
        <f>IF(OR("2019-T4"="","ILC"=""),"",IFERROR(IF(SUMIFS(INDEX(Indices!$A:$P,0,MATCH("ILC",Indices!$1:$1,0)+1),INDEX(Indices!$A:$P,0,MATCH("ILC",Indices!$1:$1,0)),"2019-T4")=0,"",SUMIFS(INDEX(Indices!$A:$P,0,MATCH("ILC",Indices!$1:$1,0)+1),INDEX(Indices!$A:$P,0,MATCH("ILC",Indices!$1:$1,0)),"2019-T4")),""))</f>
        <v/>
      </c>
      <c r="F22" s="28">
        <f>IF(OR("2019-T1"="","ILAT"=""),"",IFERROR(IF(SUMIFS(INDEX(Indices!$A:$P,0,MATCH("ILAT",Indices!$1:$1,0)+1),INDEX(Indices!$A:$P,0,MATCH("ILAT",Indices!$1:$1,0)),"2019-T1")=0,"",SUMIFS(INDEX(Indices!$A:$P,0,MATCH("ILAT",Indices!$1:$1,0)+1),INDEX(Indices!$A:$P,0,MATCH("ILAT",Indices!$1:$1,0)),"2019-T1")),""))</f>
        <v/>
      </c>
      <c r="G22" s="28">
        <f>IF(OR("2019-T2"="","ILAT"=""),"",IFERROR(IF(SUMIFS(INDEX(Indices!$A:$P,0,MATCH("ILAT",Indices!$1:$1,0)+1),INDEX(Indices!$A:$P,0,MATCH("ILAT",Indices!$1:$1,0)),"2019-T2")=0,"",SUMIFS(INDEX(Indices!$A:$P,0,MATCH("ILAT",Indices!$1:$1,0)+1),INDEX(Indices!$A:$P,0,MATCH("ILAT",Indices!$1:$1,0)),"2019-T2")),""))</f>
        <v/>
      </c>
      <c r="H22" s="28">
        <f>IF(OR("2019-T3"="","ILAT"=""),"",IFERROR(IF(SUMIFS(INDEX(Indices!$A:$P,0,MATCH("ILAT",Indices!$1:$1,0)+1),INDEX(Indices!$A:$P,0,MATCH("ILAT",Indices!$1:$1,0)),"2019-T3")=0,"",SUMIFS(INDEX(Indices!$A:$P,0,MATCH("ILAT",Indices!$1:$1,0)+1),INDEX(Indices!$A:$P,0,MATCH("ILAT",Indices!$1:$1,0)),"2019-T3")),""))</f>
        <v/>
      </c>
      <c r="I22" s="28">
        <f>IF(OR("2019-T4"="","ILAT"=""),"",IFERROR(IF(SUMIFS(INDEX(Indices!$A:$P,0,MATCH("ILAT",Indices!$1:$1,0)+1),INDEX(Indices!$A:$P,0,MATCH("ILAT",Indices!$1:$1,0)),"2019-T4")=0,"",SUMIFS(INDEX(Indices!$A:$P,0,MATCH("ILAT",Indices!$1:$1,0)+1),INDEX(Indices!$A:$P,0,MATCH("ILAT",Indices!$1:$1,0)),"2019-T4")),""))</f>
        <v/>
      </c>
      <c r="J22" s="29">
        <f>IF(OR("2019-T1"="","ICC"=""),"",IFERROR(IF(SUMIFS(INDEX(Indices!$A:$P,0,MATCH("ICC",Indices!$1:$1,0)+1),INDEX(Indices!$A:$P,0,MATCH("ICC",Indices!$1:$1,0)),"2019-T1")=0,"",SUMIFS(INDEX(Indices!$A:$P,0,MATCH("ICC",Indices!$1:$1,0)+1),INDEX(Indices!$A:$P,0,MATCH("ICC",Indices!$1:$1,0)),"2019-T1")),""))</f>
        <v/>
      </c>
      <c r="K22" s="29">
        <f>IF(OR("2019-T2"="","ICC"=""),"",IFERROR(IF(SUMIFS(INDEX(Indices!$A:$P,0,MATCH("ICC",Indices!$1:$1,0)+1),INDEX(Indices!$A:$P,0,MATCH("ICC",Indices!$1:$1,0)),"2019-T2")=0,"",SUMIFS(INDEX(Indices!$A:$P,0,MATCH("ICC",Indices!$1:$1,0)+1),INDEX(Indices!$A:$P,0,MATCH("ICC",Indices!$1:$1,0)),"2019-T2")),""))</f>
        <v/>
      </c>
      <c r="L22" s="29">
        <f>IF(OR("2019-T3"="","ICC"=""),"",IFERROR(IF(SUMIFS(INDEX(Indices!$A:$P,0,MATCH("ICC",Indices!$1:$1,0)+1),INDEX(Indices!$A:$P,0,MATCH("ICC",Indices!$1:$1,0)),"2019-T3")=0,"",SUMIFS(INDEX(Indices!$A:$P,0,MATCH("ICC",Indices!$1:$1,0)+1),INDEX(Indices!$A:$P,0,MATCH("ICC",Indices!$1:$1,0)),"2019-T3")),""))</f>
        <v/>
      </c>
      <c r="M22" s="29">
        <f>IF(OR("2019-T4"="","ICC"=""),"",IFERROR(IF(SUMIFS(INDEX(Indices!$A:$P,0,MATCH("ICC",Indices!$1:$1,0)+1),INDEX(Indices!$A:$P,0,MATCH("ICC",Indices!$1:$1,0)),"2019-T4")=0,"",SUMIFS(INDEX(Indices!$A:$P,0,MATCH("ICC",Indices!$1:$1,0)+1),INDEX(Indices!$A:$P,0,MATCH("ICC",Indices!$1:$1,0)),"2019-T4")),""))</f>
        <v/>
      </c>
      <c r="N22" s="28">
        <f>IF(OR("2019-T1"="","IRL"=""),"",IFERROR(IF(SUMIFS(INDEX(Indices!$A:$P,0,MATCH("IRL",Indices!$1:$1,0)+1),INDEX(Indices!$A:$P,0,MATCH("IRL",Indices!$1:$1,0)),"2019-T1")=0,"",SUMIFS(INDEX(Indices!$A:$P,0,MATCH("IRL",Indices!$1:$1,0)+1),INDEX(Indices!$A:$P,0,MATCH("IRL",Indices!$1:$1,0)),"2019-T1")),""))</f>
        <v/>
      </c>
      <c r="O22" s="28">
        <f>IF(OR("2019-T2"="","IRL"=""),"",IFERROR(IF(SUMIFS(INDEX(Indices!$A:$P,0,MATCH("IRL",Indices!$1:$1,0)+1),INDEX(Indices!$A:$P,0,MATCH("IRL",Indices!$1:$1,0)),"2019-T2")=0,"",SUMIFS(INDEX(Indices!$A:$P,0,MATCH("IRL",Indices!$1:$1,0)+1),INDEX(Indices!$A:$P,0,MATCH("IRL",Indices!$1:$1,0)),"2019-T2")),""))</f>
        <v/>
      </c>
      <c r="P22" s="28">
        <f>IF(OR("2019-T3"="","IRL"=""),"",IFERROR(IF(SUMIFS(INDEX(Indices!$A:$P,0,MATCH("IRL",Indices!$1:$1,0)+1),INDEX(Indices!$A:$P,0,MATCH("IRL",Indices!$1:$1,0)),"2019-T3")=0,"",SUMIFS(INDEX(Indices!$A:$P,0,MATCH("IRL",Indices!$1:$1,0)+1),INDEX(Indices!$A:$P,0,MATCH("IRL",Indices!$1:$1,0)),"2019-T3")),""))</f>
        <v/>
      </c>
      <c r="Q22" s="28">
        <f>IF(OR("2019-T4"="","IRL"=""),"",IFERROR(IF(SUMIFS(INDEX(Indices!$A:$P,0,MATCH("IRL",Indices!$1:$1,0)+1),INDEX(Indices!$A:$P,0,MATCH("IRL",Indices!$1:$1,0)),"2019-T4")=0,"",SUMIFS(INDEX(Indices!$A:$P,0,MATCH("IRL",Indices!$1:$1,0)+1),INDEX(Indices!$A:$P,0,MATCH("IRL",Indices!$1:$1,0)),"2019-T4")),""))</f>
        <v/>
      </c>
    </row>
    <row r="23">
      <c r="A23" s="5" t="n">
        <v>2020</v>
      </c>
      <c r="B23" s="28">
        <f>IF(OR("2020-T1"="","ILC"=""),"",IFERROR(IF(SUMIFS(INDEX(Indices!$A:$P,0,MATCH("ILC",Indices!$1:$1,0)+1),INDEX(Indices!$A:$P,0,MATCH("ILC",Indices!$1:$1,0)),"2020-T1")=0,"",SUMIFS(INDEX(Indices!$A:$P,0,MATCH("ILC",Indices!$1:$1,0)+1),INDEX(Indices!$A:$P,0,MATCH("ILC",Indices!$1:$1,0)),"2020-T1")),""))</f>
        <v/>
      </c>
      <c r="C23" s="28">
        <f>IF(OR("2020-T2"="","ILC"=""),"",IFERROR(IF(SUMIFS(INDEX(Indices!$A:$P,0,MATCH("ILC",Indices!$1:$1,0)+1),INDEX(Indices!$A:$P,0,MATCH("ILC",Indices!$1:$1,0)),"2020-T2")=0,"",SUMIFS(INDEX(Indices!$A:$P,0,MATCH("ILC",Indices!$1:$1,0)+1),INDEX(Indices!$A:$P,0,MATCH("ILC",Indices!$1:$1,0)),"2020-T2")),""))</f>
        <v/>
      </c>
      <c r="D23" s="28">
        <f>IF(OR("2020-T3"="","ILC"=""),"",IFERROR(IF(SUMIFS(INDEX(Indices!$A:$P,0,MATCH("ILC",Indices!$1:$1,0)+1),INDEX(Indices!$A:$P,0,MATCH("ILC",Indices!$1:$1,0)),"2020-T3")=0,"",SUMIFS(INDEX(Indices!$A:$P,0,MATCH("ILC",Indices!$1:$1,0)+1),INDEX(Indices!$A:$P,0,MATCH("ILC",Indices!$1:$1,0)),"2020-T3")),""))</f>
        <v/>
      </c>
      <c r="E23" s="28">
        <f>IF(OR("2020-T4"="","ILC"=""),"",IFERROR(IF(SUMIFS(INDEX(Indices!$A:$P,0,MATCH("ILC",Indices!$1:$1,0)+1),INDEX(Indices!$A:$P,0,MATCH("ILC",Indices!$1:$1,0)),"2020-T4")=0,"",SUMIFS(INDEX(Indices!$A:$P,0,MATCH("ILC",Indices!$1:$1,0)+1),INDEX(Indices!$A:$P,0,MATCH("ILC",Indices!$1:$1,0)),"2020-T4")),""))</f>
        <v/>
      </c>
      <c r="F23" s="28">
        <f>IF(OR("2020-T1"="","ILAT"=""),"",IFERROR(IF(SUMIFS(INDEX(Indices!$A:$P,0,MATCH("ILAT",Indices!$1:$1,0)+1),INDEX(Indices!$A:$P,0,MATCH("ILAT",Indices!$1:$1,0)),"2020-T1")=0,"",SUMIFS(INDEX(Indices!$A:$P,0,MATCH("ILAT",Indices!$1:$1,0)+1),INDEX(Indices!$A:$P,0,MATCH("ILAT",Indices!$1:$1,0)),"2020-T1")),""))</f>
        <v/>
      </c>
      <c r="G23" s="28">
        <f>IF(OR("2020-T2"="","ILAT"=""),"",IFERROR(IF(SUMIFS(INDEX(Indices!$A:$P,0,MATCH("ILAT",Indices!$1:$1,0)+1),INDEX(Indices!$A:$P,0,MATCH("ILAT",Indices!$1:$1,0)),"2020-T2")=0,"",SUMIFS(INDEX(Indices!$A:$P,0,MATCH("ILAT",Indices!$1:$1,0)+1),INDEX(Indices!$A:$P,0,MATCH("ILAT",Indices!$1:$1,0)),"2020-T2")),""))</f>
        <v/>
      </c>
      <c r="H23" s="28">
        <f>IF(OR("2020-T3"="","ILAT"=""),"",IFERROR(IF(SUMIFS(INDEX(Indices!$A:$P,0,MATCH("ILAT",Indices!$1:$1,0)+1),INDEX(Indices!$A:$P,0,MATCH("ILAT",Indices!$1:$1,0)),"2020-T3")=0,"",SUMIFS(INDEX(Indices!$A:$P,0,MATCH("ILAT",Indices!$1:$1,0)+1),INDEX(Indices!$A:$P,0,MATCH("ILAT",Indices!$1:$1,0)),"2020-T3")),""))</f>
        <v/>
      </c>
      <c r="I23" s="28">
        <f>IF(OR("2020-T4"="","ILAT"=""),"",IFERROR(IF(SUMIFS(INDEX(Indices!$A:$P,0,MATCH("ILAT",Indices!$1:$1,0)+1),INDEX(Indices!$A:$P,0,MATCH("ILAT",Indices!$1:$1,0)),"2020-T4")=0,"",SUMIFS(INDEX(Indices!$A:$P,0,MATCH("ILAT",Indices!$1:$1,0)+1),INDEX(Indices!$A:$P,0,MATCH("ILAT",Indices!$1:$1,0)),"2020-T4")),""))</f>
        <v/>
      </c>
      <c r="J23" s="29">
        <f>IF(OR("2020-T1"="","ICC"=""),"",IFERROR(IF(SUMIFS(INDEX(Indices!$A:$P,0,MATCH("ICC",Indices!$1:$1,0)+1),INDEX(Indices!$A:$P,0,MATCH("ICC",Indices!$1:$1,0)),"2020-T1")=0,"",SUMIFS(INDEX(Indices!$A:$P,0,MATCH("ICC",Indices!$1:$1,0)+1),INDEX(Indices!$A:$P,0,MATCH("ICC",Indices!$1:$1,0)),"2020-T1")),""))</f>
        <v/>
      </c>
      <c r="K23" s="29">
        <f>IF(OR("2020-T2"="","ICC"=""),"",IFERROR(IF(SUMIFS(INDEX(Indices!$A:$P,0,MATCH("ICC",Indices!$1:$1,0)+1),INDEX(Indices!$A:$P,0,MATCH("ICC",Indices!$1:$1,0)),"2020-T2")=0,"",SUMIFS(INDEX(Indices!$A:$P,0,MATCH("ICC",Indices!$1:$1,0)+1),INDEX(Indices!$A:$P,0,MATCH("ICC",Indices!$1:$1,0)),"2020-T2")),""))</f>
        <v/>
      </c>
      <c r="L23" s="29">
        <f>IF(OR("2020-T3"="","ICC"=""),"",IFERROR(IF(SUMIFS(INDEX(Indices!$A:$P,0,MATCH("ICC",Indices!$1:$1,0)+1),INDEX(Indices!$A:$P,0,MATCH("ICC",Indices!$1:$1,0)),"2020-T3")=0,"",SUMIFS(INDEX(Indices!$A:$P,0,MATCH("ICC",Indices!$1:$1,0)+1),INDEX(Indices!$A:$P,0,MATCH("ICC",Indices!$1:$1,0)),"2020-T3")),""))</f>
        <v/>
      </c>
      <c r="M23" s="29">
        <f>IF(OR("2020-T4"="","ICC"=""),"",IFERROR(IF(SUMIFS(INDEX(Indices!$A:$P,0,MATCH("ICC",Indices!$1:$1,0)+1),INDEX(Indices!$A:$P,0,MATCH("ICC",Indices!$1:$1,0)),"2020-T4")=0,"",SUMIFS(INDEX(Indices!$A:$P,0,MATCH("ICC",Indices!$1:$1,0)+1),INDEX(Indices!$A:$P,0,MATCH("ICC",Indices!$1:$1,0)),"2020-T4")),""))</f>
        <v/>
      </c>
      <c r="N23" s="28">
        <f>IF(OR("2020-T1"="","IRL"=""),"",IFERROR(IF(SUMIFS(INDEX(Indices!$A:$P,0,MATCH("IRL",Indices!$1:$1,0)+1),INDEX(Indices!$A:$P,0,MATCH("IRL",Indices!$1:$1,0)),"2020-T1")=0,"",SUMIFS(INDEX(Indices!$A:$P,0,MATCH("IRL",Indices!$1:$1,0)+1),INDEX(Indices!$A:$P,0,MATCH("IRL",Indices!$1:$1,0)),"2020-T1")),""))</f>
        <v/>
      </c>
      <c r="O23" s="28">
        <f>IF(OR("2020-T2"="","IRL"=""),"",IFERROR(IF(SUMIFS(INDEX(Indices!$A:$P,0,MATCH("IRL",Indices!$1:$1,0)+1),INDEX(Indices!$A:$P,0,MATCH("IRL",Indices!$1:$1,0)),"2020-T2")=0,"",SUMIFS(INDEX(Indices!$A:$P,0,MATCH("IRL",Indices!$1:$1,0)+1),INDEX(Indices!$A:$P,0,MATCH("IRL",Indices!$1:$1,0)),"2020-T2")),""))</f>
        <v/>
      </c>
      <c r="P23" s="28">
        <f>IF(OR("2020-T3"="","IRL"=""),"",IFERROR(IF(SUMIFS(INDEX(Indices!$A:$P,0,MATCH("IRL",Indices!$1:$1,0)+1),INDEX(Indices!$A:$P,0,MATCH("IRL",Indices!$1:$1,0)),"2020-T3")=0,"",SUMIFS(INDEX(Indices!$A:$P,0,MATCH("IRL",Indices!$1:$1,0)+1),INDEX(Indices!$A:$P,0,MATCH("IRL",Indices!$1:$1,0)),"2020-T3")),""))</f>
        <v/>
      </c>
      <c r="Q23" s="28">
        <f>IF(OR("2020-T4"="","IRL"=""),"",IFERROR(IF(SUMIFS(INDEX(Indices!$A:$P,0,MATCH("IRL",Indices!$1:$1,0)+1),INDEX(Indices!$A:$P,0,MATCH("IRL",Indices!$1:$1,0)),"2020-T4")=0,"",SUMIFS(INDEX(Indices!$A:$P,0,MATCH("IRL",Indices!$1:$1,0)+1),INDEX(Indices!$A:$P,0,MATCH("IRL",Indices!$1:$1,0)),"2020-T4")),""))</f>
        <v/>
      </c>
    </row>
    <row r="24">
      <c r="A24" s="5" t="n">
        <v>2021</v>
      </c>
      <c r="B24" s="28">
        <f>IF(OR("2021-T1"="","ILC"=""),"",IFERROR(IF(SUMIFS(INDEX(Indices!$A:$P,0,MATCH("ILC",Indices!$1:$1,0)+1),INDEX(Indices!$A:$P,0,MATCH("ILC",Indices!$1:$1,0)),"2021-T1")=0,"",SUMIFS(INDEX(Indices!$A:$P,0,MATCH("ILC",Indices!$1:$1,0)+1),INDEX(Indices!$A:$P,0,MATCH("ILC",Indices!$1:$1,0)),"2021-T1")),""))</f>
        <v/>
      </c>
      <c r="C24" s="28">
        <f>IF(OR("2021-T2"="","ILC"=""),"",IFERROR(IF(SUMIFS(INDEX(Indices!$A:$P,0,MATCH("ILC",Indices!$1:$1,0)+1),INDEX(Indices!$A:$P,0,MATCH("ILC",Indices!$1:$1,0)),"2021-T2")=0,"",SUMIFS(INDEX(Indices!$A:$P,0,MATCH("ILC",Indices!$1:$1,0)+1),INDEX(Indices!$A:$P,0,MATCH("ILC",Indices!$1:$1,0)),"2021-T2")),""))</f>
        <v/>
      </c>
      <c r="D24" s="28">
        <f>IF(OR("2021-T3"="","ILC"=""),"",IFERROR(IF(SUMIFS(INDEX(Indices!$A:$P,0,MATCH("ILC",Indices!$1:$1,0)+1),INDEX(Indices!$A:$P,0,MATCH("ILC",Indices!$1:$1,0)),"2021-T3")=0,"",SUMIFS(INDEX(Indices!$A:$P,0,MATCH("ILC",Indices!$1:$1,0)+1),INDEX(Indices!$A:$P,0,MATCH("ILC",Indices!$1:$1,0)),"2021-T3")),""))</f>
        <v/>
      </c>
      <c r="E24" s="28">
        <f>IF(OR("2021-T4"="","ILC"=""),"",IFERROR(IF(SUMIFS(INDEX(Indices!$A:$P,0,MATCH("ILC",Indices!$1:$1,0)+1),INDEX(Indices!$A:$P,0,MATCH("ILC",Indices!$1:$1,0)),"2021-T4")=0,"",SUMIFS(INDEX(Indices!$A:$P,0,MATCH("ILC",Indices!$1:$1,0)+1),INDEX(Indices!$A:$P,0,MATCH("ILC",Indices!$1:$1,0)),"2021-T4")),""))</f>
        <v/>
      </c>
      <c r="F24" s="28">
        <f>IF(OR("2021-T1"="","ILAT"=""),"",IFERROR(IF(SUMIFS(INDEX(Indices!$A:$P,0,MATCH("ILAT",Indices!$1:$1,0)+1),INDEX(Indices!$A:$P,0,MATCH("ILAT",Indices!$1:$1,0)),"2021-T1")=0,"",SUMIFS(INDEX(Indices!$A:$P,0,MATCH("ILAT",Indices!$1:$1,0)+1),INDEX(Indices!$A:$P,0,MATCH("ILAT",Indices!$1:$1,0)),"2021-T1")),""))</f>
        <v/>
      </c>
      <c r="G24" s="28">
        <f>IF(OR("2021-T2"="","ILAT"=""),"",IFERROR(IF(SUMIFS(INDEX(Indices!$A:$P,0,MATCH("ILAT",Indices!$1:$1,0)+1),INDEX(Indices!$A:$P,0,MATCH("ILAT",Indices!$1:$1,0)),"2021-T2")=0,"",SUMIFS(INDEX(Indices!$A:$P,0,MATCH("ILAT",Indices!$1:$1,0)+1),INDEX(Indices!$A:$P,0,MATCH("ILAT",Indices!$1:$1,0)),"2021-T2")),""))</f>
        <v/>
      </c>
      <c r="H24" s="28">
        <f>IF(OR("2021-T3"="","ILAT"=""),"",IFERROR(IF(SUMIFS(INDEX(Indices!$A:$P,0,MATCH("ILAT",Indices!$1:$1,0)+1),INDEX(Indices!$A:$P,0,MATCH("ILAT",Indices!$1:$1,0)),"2021-T3")=0,"",SUMIFS(INDEX(Indices!$A:$P,0,MATCH("ILAT",Indices!$1:$1,0)+1),INDEX(Indices!$A:$P,0,MATCH("ILAT",Indices!$1:$1,0)),"2021-T3")),""))</f>
        <v/>
      </c>
      <c r="I24" s="28">
        <f>IF(OR("2021-T4"="","ILAT"=""),"",IFERROR(IF(SUMIFS(INDEX(Indices!$A:$P,0,MATCH("ILAT",Indices!$1:$1,0)+1),INDEX(Indices!$A:$P,0,MATCH("ILAT",Indices!$1:$1,0)),"2021-T4")=0,"",SUMIFS(INDEX(Indices!$A:$P,0,MATCH("ILAT",Indices!$1:$1,0)+1),INDEX(Indices!$A:$P,0,MATCH("ILAT",Indices!$1:$1,0)),"2021-T4")),""))</f>
        <v/>
      </c>
      <c r="J24" s="29">
        <f>IF(OR("2021-T1"="","ICC"=""),"",IFERROR(IF(SUMIFS(INDEX(Indices!$A:$P,0,MATCH("ICC",Indices!$1:$1,0)+1),INDEX(Indices!$A:$P,0,MATCH("ICC",Indices!$1:$1,0)),"2021-T1")=0,"",SUMIFS(INDEX(Indices!$A:$P,0,MATCH("ICC",Indices!$1:$1,0)+1),INDEX(Indices!$A:$P,0,MATCH("ICC",Indices!$1:$1,0)),"2021-T1")),""))</f>
        <v/>
      </c>
      <c r="K24" s="29">
        <f>IF(OR("2021-T2"="","ICC"=""),"",IFERROR(IF(SUMIFS(INDEX(Indices!$A:$P,0,MATCH("ICC",Indices!$1:$1,0)+1),INDEX(Indices!$A:$P,0,MATCH("ICC",Indices!$1:$1,0)),"2021-T2")=0,"",SUMIFS(INDEX(Indices!$A:$P,0,MATCH("ICC",Indices!$1:$1,0)+1),INDEX(Indices!$A:$P,0,MATCH("ICC",Indices!$1:$1,0)),"2021-T2")),""))</f>
        <v/>
      </c>
      <c r="L24" s="29">
        <f>IF(OR("2021-T3"="","ICC"=""),"",IFERROR(IF(SUMIFS(INDEX(Indices!$A:$P,0,MATCH("ICC",Indices!$1:$1,0)+1),INDEX(Indices!$A:$P,0,MATCH("ICC",Indices!$1:$1,0)),"2021-T3")=0,"",SUMIFS(INDEX(Indices!$A:$P,0,MATCH("ICC",Indices!$1:$1,0)+1),INDEX(Indices!$A:$P,0,MATCH("ICC",Indices!$1:$1,0)),"2021-T3")),""))</f>
        <v/>
      </c>
      <c r="M24" s="29">
        <f>IF(OR("2021-T4"="","ICC"=""),"",IFERROR(IF(SUMIFS(INDEX(Indices!$A:$P,0,MATCH("ICC",Indices!$1:$1,0)+1),INDEX(Indices!$A:$P,0,MATCH("ICC",Indices!$1:$1,0)),"2021-T4")=0,"",SUMIFS(INDEX(Indices!$A:$P,0,MATCH("ICC",Indices!$1:$1,0)+1),INDEX(Indices!$A:$P,0,MATCH("ICC",Indices!$1:$1,0)),"2021-T4")),""))</f>
        <v/>
      </c>
      <c r="N24" s="28">
        <f>IF(OR("2021-T1"="","IRL"=""),"",IFERROR(IF(SUMIFS(INDEX(Indices!$A:$P,0,MATCH("IRL",Indices!$1:$1,0)+1),INDEX(Indices!$A:$P,0,MATCH("IRL",Indices!$1:$1,0)),"2021-T1")=0,"",SUMIFS(INDEX(Indices!$A:$P,0,MATCH("IRL",Indices!$1:$1,0)+1),INDEX(Indices!$A:$P,0,MATCH("IRL",Indices!$1:$1,0)),"2021-T1")),""))</f>
        <v/>
      </c>
      <c r="O24" s="28">
        <f>IF(OR("2021-T2"="","IRL"=""),"",IFERROR(IF(SUMIFS(INDEX(Indices!$A:$P,0,MATCH("IRL",Indices!$1:$1,0)+1),INDEX(Indices!$A:$P,0,MATCH("IRL",Indices!$1:$1,0)),"2021-T2")=0,"",SUMIFS(INDEX(Indices!$A:$P,0,MATCH("IRL",Indices!$1:$1,0)+1),INDEX(Indices!$A:$P,0,MATCH("IRL",Indices!$1:$1,0)),"2021-T2")),""))</f>
        <v/>
      </c>
      <c r="P24" s="28">
        <f>IF(OR("2021-T3"="","IRL"=""),"",IFERROR(IF(SUMIFS(INDEX(Indices!$A:$P,0,MATCH("IRL",Indices!$1:$1,0)+1),INDEX(Indices!$A:$P,0,MATCH("IRL",Indices!$1:$1,0)),"2021-T3")=0,"",SUMIFS(INDEX(Indices!$A:$P,0,MATCH("IRL",Indices!$1:$1,0)+1),INDEX(Indices!$A:$P,0,MATCH("IRL",Indices!$1:$1,0)),"2021-T3")),""))</f>
        <v/>
      </c>
      <c r="Q24" s="28">
        <f>IF(OR("2021-T4"="","IRL"=""),"",IFERROR(IF(SUMIFS(INDEX(Indices!$A:$P,0,MATCH("IRL",Indices!$1:$1,0)+1),INDEX(Indices!$A:$P,0,MATCH("IRL",Indices!$1:$1,0)),"2021-T4")=0,"",SUMIFS(INDEX(Indices!$A:$P,0,MATCH("IRL",Indices!$1:$1,0)+1),INDEX(Indices!$A:$P,0,MATCH("IRL",Indices!$1:$1,0)),"2021-T4")),""))</f>
        <v/>
      </c>
    </row>
    <row r="25">
      <c r="A25" s="5" t="n">
        <v>2022</v>
      </c>
      <c r="B25" s="28">
        <f>IF(OR("2022-T1"="","ILC"=""),"",IFERROR(IF(SUMIFS(INDEX(Indices!$A:$P,0,MATCH("ILC",Indices!$1:$1,0)+1),INDEX(Indices!$A:$P,0,MATCH("ILC",Indices!$1:$1,0)),"2022-T1")=0,"",SUMIFS(INDEX(Indices!$A:$P,0,MATCH("ILC",Indices!$1:$1,0)+1),INDEX(Indices!$A:$P,0,MATCH("ILC",Indices!$1:$1,0)),"2022-T1")),""))</f>
        <v/>
      </c>
      <c r="C25" s="28">
        <f>IF(OR("2022-T2"="","ILC"=""),"",IFERROR(IF(SUMIFS(INDEX(Indices!$A:$P,0,MATCH("ILC",Indices!$1:$1,0)+1),INDEX(Indices!$A:$P,0,MATCH("ILC",Indices!$1:$1,0)),"2022-T2")=0,"",SUMIFS(INDEX(Indices!$A:$P,0,MATCH("ILC",Indices!$1:$1,0)+1),INDEX(Indices!$A:$P,0,MATCH("ILC",Indices!$1:$1,0)),"2022-T2")),""))</f>
        <v/>
      </c>
      <c r="D25" s="28">
        <f>IF(OR("2022-T3"="","ILC"=""),"",IFERROR(IF(SUMIFS(INDEX(Indices!$A:$P,0,MATCH("ILC",Indices!$1:$1,0)+1),INDEX(Indices!$A:$P,0,MATCH("ILC",Indices!$1:$1,0)),"2022-T3")=0,"",SUMIFS(INDEX(Indices!$A:$P,0,MATCH("ILC",Indices!$1:$1,0)+1),INDEX(Indices!$A:$P,0,MATCH("ILC",Indices!$1:$1,0)),"2022-T3")),""))</f>
        <v/>
      </c>
      <c r="E25" s="28">
        <f>IF(OR("2022-T4"="","ILC"=""),"",IFERROR(IF(SUMIFS(INDEX(Indices!$A:$P,0,MATCH("ILC",Indices!$1:$1,0)+1),INDEX(Indices!$A:$P,0,MATCH("ILC",Indices!$1:$1,0)),"2022-T4")=0,"",SUMIFS(INDEX(Indices!$A:$P,0,MATCH("ILC",Indices!$1:$1,0)+1),INDEX(Indices!$A:$P,0,MATCH("ILC",Indices!$1:$1,0)),"2022-T4")),""))</f>
        <v/>
      </c>
      <c r="F25" s="28">
        <f>IF(OR("2022-T1"="","ILAT"=""),"",IFERROR(IF(SUMIFS(INDEX(Indices!$A:$P,0,MATCH("ILAT",Indices!$1:$1,0)+1),INDEX(Indices!$A:$P,0,MATCH("ILAT",Indices!$1:$1,0)),"2022-T1")=0,"",SUMIFS(INDEX(Indices!$A:$P,0,MATCH("ILAT",Indices!$1:$1,0)+1),INDEX(Indices!$A:$P,0,MATCH("ILAT",Indices!$1:$1,0)),"2022-T1")),""))</f>
        <v/>
      </c>
      <c r="G25" s="28">
        <f>IF(OR("2022-T2"="","ILAT"=""),"",IFERROR(IF(SUMIFS(INDEX(Indices!$A:$P,0,MATCH("ILAT",Indices!$1:$1,0)+1),INDEX(Indices!$A:$P,0,MATCH("ILAT",Indices!$1:$1,0)),"2022-T2")=0,"",SUMIFS(INDEX(Indices!$A:$P,0,MATCH("ILAT",Indices!$1:$1,0)+1),INDEX(Indices!$A:$P,0,MATCH("ILAT",Indices!$1:$1,0)),"2022-T2")),""))</f>
        <v/>
      </c>
      <c r="H25" s="28">
        <f>IF(OR("2022-T3"="","ILAT"=""),"",IFERROR(IF(SUMIFS(INDEX(Indices!$A:$P,0,MATCH("ILAT",Indices!$1:$1,0)+1),INDEX(Indices!$A:$P,0,MATCH("ILAT",Indices!$1:$1,0)),"2022-T3")=0,"",SUMIFS(INDEX(Indices!$A:$P,0,MATCH("ILAT",Indices!$1:$1,0)+1),INDEX(Indices!$A:$P,0,MATCH("ILAT",Indices!$1:$1,0)),"2022-T3")),""))</f>
        <v/>
      </c>
      <c r="I25" s="28">
        <f>IF(OR("2022-T4"="","ILAT"=""),"",IFERROR(IF(SUMIFS(INDEX(Indices!$A:$P,0,MATCH("ILAT",Indices!$1:$1,0)+1),INDEX(Indices!$A:$P,0,MATCH("ILAT",Indices!$1:$1,0)),"2022-T4")=0,"",SUMIFS(INDEX(Indices!$A:$P,0,MATCH("ILAT",Indices!$1:$1,0)+1),INDEX(Indices!$A:$P,0,MATCH("ILAT",Indices!$1:$1,0)),"2022-T4")),""))</f>
        <v/>
      </c>
      <c r="J25" s="29">
        <f>IF(OR("2022-T1"="","ICC"=""),"",IFERROR(IF(SUMIFS(INDEX(Indices!$A:$P,0,MATCH("ICC",Indices!$1:$1,0)+1),INDEX(Indices!$A:$P,0,MATCH("ICC",Indices!$1:$1,0)),"2022-T1")=0,"",SUMIFS(INDEX(Indices!$A:$P,0,MATCH("ICC",Indices!$1:$1,0)+1),INDEX(Indices!$A:$P,0,MATCH("ICC",Indices!$1:$1,0)),"2022-T1")),""))</f>
        <v/>
      </c>
      <c r="K25" s="29">
        <f>IF(OR("2022-T2"="","ICC"=""),"",IFERROR(IF(SUMIFS(INDEX(Indices!$A:$P,0,MATCH("ICC",Indices!$1:$1,0)+1),INDEX(Indices!$A:$P,0,MATCH("ICC",Indices!$1:$1,0)),"2022-T2")=0,"",SUMIFS(INDEX(Indices!$A:$P,0,MATCH("ICC",Indices!$1:$1,0)+1),INDEX(Indices!$A:$P,0,MATCH("ICC",Indices!$1:$1,0)),"2022-T2")),""))</f>
        <v/>
      </c>
      <c r="L25" s="29">
        <f>IF(OR("2022-T3"="","ICC"=""),"",IFERROR(IF(SUMIFS(INDEX(Indices!$A:$P,0,MATCH("ICC",Indices!$1:$1,0)+1),INDEX(Indices!$A:$P,0,MATCH("ICC",Indices!$1:$1,0)),"2022-T3")=0,"",SUMIFS(INDEX(Indices!$A:$P,0,MATCH("ICC",Indices!$1:$1,0)+1),INDEX(Indices!$A:$P,0,MATCH("ICC",Indices!$1:$1,0)),"2022-T3")),""))</f>
        <v/>
      </c>
      <c r="M25" s="29">
        <f>IF(OR("2022-T4"="","ICC"=""),"",IFERROR(IF(SUMIFS(INDEX(Indices!$A:$P,0,MATCH("ICC",Indices!$1:$1,0)+1),INDEX(Indices!$A:$P,0,MATCH("ICC",Indices!$1:$1,0)),"2022-T4")=0,"",SUMIFS(INDEX(Indices!$A:$P,0,MATCH("ICC",Indices!$1:$1,0)+1),INDEX(Indices!$A:$P,0,MATCH("ICC",Indices!$1:$1,0)),"2022-T4")),""))</f>
        <v/>
      </c>
      <c r="N25" s="28">
        <f>IF(OR("2022-T1"="","IRL"=""),"",IFERROR(IF(SUMIFS(INDEX(Indices!$A:$P,0,MATCH("IRL",Indices!$1:$1,0)+1),INDEX(Indices!$A:$P,0,MATCH("IRL",Indices!$1:$1,0)),"2022-T1")=0,"",SUMIFS(INDEX(Indices!$A:$P,0,MATCH("IRL",Indices!$1:$1,0)+1),INDEX(Indices!$A:$P,0,MATCH("IRL",Indices!$1:$1,0)),"2022-T1")),""))</f>
        <v/>
      </c>
      <c r="O25" s="28">
        <f>IF(OR("2022-T2"="","IRL"=""),"",IFERROR(IF(SUMIFS(INDEX(Indices!$A:$P,0,MATCH("IRL",Indices!$1:$1,0)+1),INDEX(Indices!$A:$P,0,MATCH("IRL",Indices!$1:$1,0)),"2022-T2")=0,"",SUMIFS(INDEX(Indices!$A:$P,0,MATCH("IRL",Indices!$1:$1,0)+1),INDEX(Indices!$A:$P,0,MATCH("IRL",Indices!$1:$1,0)),"2022-T2")),""))</f>
        <v/>
      </c>
      <c r="P25" s="28">
        <f>IF(OR("2022-T3"="","IRL"=""),"",IFERROR(IF(SUMIFS(INDEX(Indices!$A:$P,0,MATCH("IRL",Indices!$1:$1,0)+1),INDEX(Indices!$A:$P,0,MATCH("IRL",Indices!$1:$1,0)),"2022-T3")=0,"",SUMIFS(INDEX(Indices!$A:$P,0,MATCH("IRL",Indices!$1:$1,0)+1),INDEX(Indices!$A:$P,0,MATCH("IRL",Indices!$1:$1,0)),"2022-T3")),""))</f>
        <v/>
      </c>
      <c r="Q25" s="28">
        <f>IF(OR("2022-T4"="","IRL"=""),"",IFERROR(IF(SUMIFS(INDEX(Indices!$A:$P,0,MATCH("IRL",Indices!$1:$1,0)+1),INDEX(Indices!$A:$P,0,MATCH("IRL",Indices!$1:$1,0)),"2022-T4")=0,"",SUMIFS(INDEX(Indices!$A:$P,0,MATCH("IRL",Indices!$1:$1,0)+1),INDEX(Indices!$A:$P,0,MATCH("IRL",Indices!$1:$1,0)),"2022-T4")),""))</f>
        <v/>
      </c>
    </row>
    <row r="26">
      <c r="A26" s="5" t="n">
        <v>2023</v>
      </c>
      <c r="B26" s="28">
        <f>IF(OR("2023-T1"="","ILC"=""),"",IFERROR(IF(SUMIFS(INDEX(Indices!$A:$P,0,MATCH("ILC",Indices!$1:$1,0)+1),INDEX(Indices!$A:$P,0,MATCH("ILC",Indices!$1:$1,0)),"2023-T1")=0,"",SUMIFS(INDEX(Indices!$A:$P,0,MATCH("ILC",Indices!$1:$1,0)+1),INDEX(Indices!$A:$P,0,MATCH("ILC",Indices!$1:$1,0)),"2023-T1")),""))</f>
        <v/>
      </c>
      <c r="C26" s="28">
        <f>IF(OR("2023-T2"="","ILC"=""),"",IFERROR(IF(SUMIFS(INDEX(Indices!$A:$P,0,MATCH("ILC",Indices!$1:$1,0)+1),INDEX(Indices!$A:$P,0,MATCH("ILC",Indices!$1:$1,0)),"2023-T2")=0,"",SUMIFS(INDEX(Indices!$A:$P,0,MATCH("ILC",Indices!$1:$1,0)+1),INDEX(Indices!$A:$P,0,MATCH("ILC",Indices!$1:$1,0)),"2023-T2")),""))</f>
        <v/>
      </c>
      <c r="D26" s="28">
        <f>IF(OR("2023-T3"="","ILC"=""),"",IFERROR(IF(SUMIFS(INDEX(Indices!$A:$P,0,MATCH("ILC",Indices!$1:$1,0)+1),INDEX(Indices!$A:$P,0,MATCH("ILC",Indices!$1:$1,0)),"2023-T3")=0,"",SUMIFS(INDEX(Indices!$A:$P,0,MATCH("ILC",Indices!$1:$1,0)+1),INDEX(Indices!$A:$P,0,MATCH("ILC",Indices!$1:$1,0)),"2023-T3")),""))</f>
        <v/>
      </c>
      <c r="E26" s="28">
        <f>IF(OR("2023-T4"="","ILC"=""),"",IFERROR(IF(SUMIFS(INDEX(Indices!$A:$P,0,MATCH("ILC",Indices!$1:$1,0)+1),INDEX(Indices!$A:$P,0,MATCH("ILC",Indices!$1:$1,0)),"2023-T4")=0,"",SUMIFS(INDEX(Indices!$A:$P,0,MATCH("ILC",Indices!$1:$1,0)+1),INDEX(Indices!$A:$P,0,MATCH("ILC",Indices!$1:$1,0)),"2023-T4")),""))</f>
        <v/>
      </c>
      <c r="F26" s="28">
        <f>IF(OR("2023-T1"="","ILAT"=""),"",IFERROR(IF(SUMIFS(INDEX(Indices!$A:$P,0,MATCH("ILAT",Indices!$1:$1,0)+1),INDEX(Indices!$A:$P,0,MATCH("ILAT",Indices!$1:$1,0)),"2023-T1")=0,"",SUMIFS(INDEX(Indices!$A:$P,0,MATCH("ILAT",Indices!$1:$1,0)+1),INDEX(Indices!$A:$P,0,MATCH("ILAT",Indices!$1:$1,0)),"2023-T1")),""))</f>
        <v/>
      </c>
      <c r="G26" s="28">
        <f>IF(OR("2023-T2"="","ILAT"=""),"",IFERROR(IF(SUMIFS(INDEX(Indices!$A:$P,0,MATCH("ILAT",Indices!$1:$1,0)+1),INDEX(Indices!$A:$P,0,MATCH("ILAT",Indices!$1:$1,0)),"2023-T2")=0,"",SUMIFS(INDEX(Indices!$A:$P,0,MATCH("ILAT",Indices!$1:$1,0)+1),INDEX(Indices!$A:$P,0,MATCH("ILAT",Indices!$1:$1,0)),"2023-T2")),""))</f>
        <v/>
      </c>
      <c r="H26" s="28">
        <f>IF(OR("2023-T3"="","ILAT"=""),"",IFERROR(IF(SUMIFS(INDEX(Indices!$A:$P,0,MATCH("ILAT",Indices!$1:$1,0)+1),INDEX(Indices!$A:$P,0,MATCH("ILAT",Indices!$1:$1,0)),"2023-T3")=0,"",SUMIFS(INDEX(Indices!$A:$P,0,MATCH("ILAT",Indices!$1:$1,0)+1),INDEX(Indices!$A:$P,0,MATCH("ILAT",Indices!$1:$1,0)),"2023-T3")),""))</f>
        <v/>
      </c>
      <c r="I26" s="28">
        <f>IF(OR("2023-T4"="","ILAT"=""),"",IFERROR(IF(SUMIFS(INDEX(Indices!$A:$P,0,MATCH("ILAT",Indices!$1:$1,0)+1),INDEX(Indices!$A:$P,0,MATCH("ILAT",Indices!$1:$1,0)),"2023-T4")=0,"",SUMIFS(INDEX(Indices!$A:$P,0,MATCH("ILAT",Indices!$1:$1,0)+1),INDEX(Indices!$A:$P,0,MATCH("ILAT",Indices!$1:$1,0)),"2023-T4")),""))</f>
        <v/>
      </c>
      <c r="J26" s="29">
        <f>IF(OR("2023-T1"="","ICC"=""),"",IFERROR(IF(SUMIFS(INDEX(Indices!$A:$P,0,MATCH("ICC",Indices!$1:$1,0)+1),INDEX(Indices!$A:$P,0,MATCH("ICC",Indices!$1:$1,0)),"2023-T1")=0,"",SUMIFS(INDEX(Indices!$A:$P,0,MATCH("ICC",Indices!$1:$1,0)+1),INDEX(Indices!$A:$P,0,MATCH("ICC",Indices!$1:$1,0)),"2023-T1")),""))</f>
        <v/>
      </c>
      <c r="K26" s="29">
        <f>IF(OR("2023-T2"="","ICC"=""),"",IFERROR(IF(SUMIFS(INDEX(Indices!$A:$P,0,MATCH("ICC",Indices!$1:$1,0)+1),INDEX(Indices!$A:$P,0,MATCH("ICC",Indices!$1:$1,0)),"2023-T2")=0,"",SUMIFS(INDEX(Indices!$A:$P,0,MATCH("ICC",Indices!$1:$1,0)+1),INDEX(Indices!$A:$P,0,MATCH("ICC",Indices!$1:$1,0)),"2023-T2")),""))</f>
        <v/>
      </c>
      <c r="L26" s="29">
        <f>IF(OR("2023-T3"="","ICC"=""),"",IFERROR(IF(SUMIFS(INDEX(Indices!$A:$P,0,MATCH("ICC",Indices!$1:$1,0)+1),INDEX(Indices!$A:$P,0,MATCH("ICC",Indices!$1:$1,0)),"2023-T3")=0,"",SUMIFS(INDEX(Indices!$A:$P,0,MATCH("ICC",Indices!$1:$1,0)+1),INDEX(Indices!$A:$P,0,MATCH("ICC",Indices!$1:$1,0)),"2023-T3")),""))</f>
        <v/>
      </c>
      <c r="M26" s="29">
        <f>IF(OR("2023-T4"="","ICC"=""),"",IFERROR(IF(SUMIFS(INDEX(Indices!$A:$P,0,MATCH("ICC",Indices!$1:$1,0)+1),INDEX(Indices!$A:$P,0,MATCH("ICC",Indices!$1:$1,0)),"2023-T4")=0,"",SUMIFS(INDEX(Indices!$A:$P,0,MATCH("ICC",Indices!$1:$1,0)+1),INDEX(Indices!$A:$P,0,MATCH("ICC",Indices!$1:$1,0)),"2023-T4")),""))</f>
        <v/>
      </c>
      <c r="N26" s="28">
        <f>IF(OR("2023-T1"="","IRL"=""),"",IFERROR(IF(SUMIFS(INDEX(Indices!$A:$P,0,MATCH("IRL",Indices!$1:$1,0)+1),INDEX(Indices!$A:$P,0,MATCH("IRL",Indices!$1:$1,0)),"2023-T1")=0,"",SUMIFS(INDEX(Indices!$A:$P,0,MATCH("IRL",Indices!$1:$1,0)+1),INDEX(Indices!$A:$P,0,MATCH("IRL",Indices!$1:$1,0)),"2023-T1")),""))</f>
        <v/>
      </c>
      <c r="O26" s="28">
        <f>IF(OR("2023-T2"="","IRL"=""),"",IFERROR(IF(SUMIFS(INDEX(Indices!$A:$P,0,MATCH("IRL",Indices!$1:$1,0)+1),INDEX(Indices!$A:$P,0,MATCH("IRL",Indices!$1:$1,0)),"2023-T2")=0,"",SUMIFS(INDEX(Indices!$A:$P,0,MATCH("IRL",Indices!$1:$1,0)+1),INDEX(Indices!$A:$P,0,MATCH("IRL",Indices!$1:$1,0)),"2023-T2")),""))</f>
        <v/>
      </c>
      <c r="P26" s="28">
        <f>IF(OR("2023-T3"="","IRL"=""),"",IFERROR(IF(SUMIFS(INDEX(Indices!$A:$P,0,MATCH("IRL",Indices!$1:$1,0)+1),INDEX(Indices!$A:$P,0,MATCH("IRL",Indices!$1:$1,0)),"2023-T3")=0,"",SUMIFS(INDEX(Indices!$A:$P,0,MATCH("IRL",Indices!$1:$1,0)+1),INDEX(Indices!$A:$P,0,MATCH("IRL",Indices!$1:$1,0)),"2023-T3")),""))</f>
        <v/>
      </c>
      <c r="Q26" s="28">
        <f>IF(OR("2023-T4"="","IRL"=""),"",IFERROR(IF(SUMIFS(INDEX(Indices!$A:$P,0,MATCH("IRL",Indices!$1:$1,0)+1),INDEX(Indices!$A:$P,0,MATCH("IRL",Indices!$1:$1,0)),"2023-T4")=0,"",SUMIFS(INDEX(Indices!$A:$P,0,MATCH("IRL",Indices!$1:$1,0)+1),INDEX(Indices!$A:$P,0,MATCH("IRL",Indices!$1:$1,0)),"2023-T4")),""))</f>
        <v/>
      </c>
    </row>
    <row r="27">
      <c r="A27" s="5" t="n">
        <v>2024</v>
      </c>
      <c r="B27" s="28">
        <f>IF(OR("2024-T1"="","ILC"=""),"",IFERROR(IF(SUMIFS(INDEX(Indices!$A:$P,0,MATCH("ILC",Indices!$1:$1,0)+1),INDEX(Indices!$A:$P,0,MATCH("ILC",Indices!$1:$1,0)),"2024-T1")=0,"",SUMIFS(INDEX(Indices!$A:$P,0,MATCH("ILC",Indices!$1:$1,0)+1),INDEX(Indices!$A:$P,0,MATCH("ILC",Indices!$1:$1,0)),"2024-T1")),""))</f>
        <v/>
      </c>
      <c r="C27" s="28">
        <f>IF(OR("2024-T2"="","ILC"=""),"",IFERROR(IF(SUMIFS(INDEX(Indices!$A:$P,0,MATCH("ILC",Indices!$1:$1,0)+1),INDEX(Indices!$A:$P,0,MATCH("ILC",Indices!$1:$1,0)),"2024-T2")=0,"",SUMIFS(INDEX(Indices!$A:$P,0,MATCH("ILC",Indices!$1:$1,0)+1),INDEX(Indices!$A:$P,0,MATCH("ILC",Indices!$1:$1,0)),"2024-T2")),""))</f>
        <v/>
      </c>
      <c r="D27" s="28">
        <f>IF(OR("2024-T3"="","ILC"=""),"",IFERROR(IF(SUMIFS(INDEX(Indices!$A:$P,0,MATCH("ILC",Indices!$1:$1,0)+1),INDEX(Indices!$A:$P,0,MATCH("ILC",Indices!$1:$1,0)),"2024-T3")=0,"",SUMIFS(INDEX(Indices!$A:$P,0,MATCH("ILC",Indices!$1:$1,0)+1),INDEX(Indices!$A:$P,0,MATCH("ILC",Indices!$1:$1,0)),"2024-T3")),""))</f>
        <v/>
      </c>
      <c r="E27" s="28">
        <f>IF(OR("2024-T4"="","ILC"=""),"",IFERROR(IF(SUMIFS(INDEX(Indices!$A:$P,0,MATCH("ILC",Indices!$1:$1,0)+1),INDEX(Indices!$A:$P,0,MATCH("ILC",Indices!$1:$1,0)),"2024-T4")=0,"",SUMIFS(INDEX(Indices!$A:$P,0,MATCH("ILC",Indices!$1:$1,0)+1),INDEX(Indices!$A:$P,0,MATCH("ILC",Indices!$1:$1,0)),"2024-T4")),""))</f>
        <v/>
      </c>
      <c r="F27" s="28">
        <f>IF(OR("2024-T1"="","ILAT"=""),"",IFERROR(IF(SUMIFS(INDEX(Indices!$A:$P,0,MATCH("ILAT",Indices!$1:$1,0)+1),INDEX(Indices!$A:$P,0,MATCH("ILAT",Indices!$1:$1,0)),"2024-T1")=0,"",SUMIFS(INDEX(Indices!$A:$P,0,MATCH("ILAT",Indices!$1:$1,0)+1),INDEX(Indices!$A:$P,0,MATCH("ILAT",Indices!$1:$1,0)),"2024-T1")),""))</f>
        <v/>
      </c>
      <c r="G27" s="28">
        <f>IF(OR("2024-T2"="","ILAT"=""),"",IFERROR(IF(SUMIFS(INDEX(Indices!$A:$P,0,MATCH("ILAT",Indices!$1:$1,0)+1),INDEX(Indices!$A:$P,0,MATCH("ILAT",Indices!$1:$1,0)),"2024-T2")=0,"",SUMIFS(INDEX(Indices!$A:$P,0,MATCH("ILAT",Indices!$1:$1,0)+1),INDEX(Indices!$A:$P,0,MATCH("ILAT",Indices!$1:$1,0)),"2024-T2")),""))</f>
        <v/>
      </c>
      <c r="H27" s="28">
        <f>IF(OR("2024-T3"="","ILAT"=""),"",IFERROR(IF(SUMIFS(INDEX(Indices!$A:$P,0,MATCH("ILAT",Indices!$1:$1,0)+1),INDEX(Indices!$A:$P,0,MATCH("ILAT",Indices!$1:$1,0)),"2024-T3")=0,"",SUMIFS(INDEX(Indices!$A:$P,0,MATCH("ILAT",Indices!$1:$1,0)+1),INDEX(Indices!$A:$P,0,MATCH("ILAT",Indices!$1:$1,0)),"2024-T3")),""))</f>
        <v/>
      </c>
      <c r="I27" s="28">
        <f>IF(OR("2024-T4"="","ILAT"=""),"",IFERROR(IF(SUMIFS(INDEX(Indices!$A:$P,0,MATCH("ILAT",Indices!$1:$1,0)+1),INDEX(Indices!$A:$P,0,MATCH("ILAT",Indices!$1:$1,0)),"2024-T4")=0,"",SUMIFS(INDEX(Indices!$A:$P,0,MATCH("ILAT",Indices!$1:$1,0)+1),INDEX(Indices!$A:$P,0,MATCH("ILAT",Indices!$1:$1,0)),"2024-T4")),""))</f>
        <v/>
      </c>
      <c r="J27" s="29">
        <f>IF(OR("2024-T1"="","ICC"=""),"",IFERROR(IF(SUMIFS(INDEX(Indices!$A:$P,0,MATCH("ICC",Indices!$1:$1,0)+1),INDEX(Indices!$A:$P,0,MATCH("ICC",Indices!$1:$1,0)),"2024-T1")=0,"",SUMIFS(INDEX(Indices!$A:$P,0,MATCH("ICC",Indices!$1:$1,0)+1),INDEX(Indices!$A:$P,0,MATCH("ICC",Indices!$1:$1,0)),"2024-T1")),""))</f>
        <v/>
      </c>
      <c r="K27" s="29">
        <f>IF(OR("2024-T2"="","ICC"=""),"",IFERROR(IF(SUMIFS(INDEX(Indices!$A:$P,0,MATCH("ICC",Indices!$1:$1,0)+1),INDEX(Indices!$A:$P,0,MATCH("ICC",Indices!$1:$1,0)),"2024-T2")=0,"",SUMIFS(INDEX(Indices!$A:$P,0,MATCH("ICC",Indices!$1:$1,0)+1),INDEX(Indices!$A:$P,0,MATCH("ICC",Indices!$1:$1,0)),"2024-T2")),""))</f>
        <v/>
      </c>
      <c r="L27" s="29">
        <f>IF(OR("2024-T3"="","ICC"=""),"",IFERROR(IF(SUMIFS(INDEX(Indices!$A:$P,0,MATCH("ICC",Indices!$1:$1,0)+1),INDEX(Indices!$A:$P,0,MATCH("ICC",Indices!$1:$1,0)),"2024-T3")=0,"",SUMIFS(INDEX(Indices!$A:$P,0,MATCH("ICC",Indices!$1:$1,0)+1),INDEX(Indices!$A:$P,0,MATCH("ICC",Indices!$1:$1,0)),"2024-T3")),""))</f>
        <v/>
      </c>
      <c r="M27" s="29">
        <f>IF(OR("2024-T4"="","ICC"=""),"",IFERROR(IF(SUMIFS(INDEX(Indices!$A:$P,0,MATCH("ICC",Indices!$1:$1,0)+1),INDEX(Indices!$A:$P,0,MATCH("ICC",Indices!$1:$1,0)),"2024-T4")=0,"",SUMIFS(INDEX(Indices!$A:$P,0,MATCH("ICC",Indices!$1:$1,0)+1),INDEX(Indices!$A:$P,0,MATCH("ICC",Indices!$1:$1,0)),"2024-T4")),""))</f>
        <v/>
      </c>
      <c r="N27" s="28">
        <f>IF(OR("2024-T1"="","IRL"=""),"",IFERROR(IF(SUMIFS(INDEX(Indices!$A:$P,0,MATCH("IRL",Indices!$1:$1,0)+1),INDEX(Indices!$A:$P,0,MATCH("IRL",Indices!$1:$1,0)),"2024-T1")=0,"",SUMIFS(INDEX(Indices!$A:$P,0,MATCH("IRL",Indices!$1:$1,0)+1),INDEX(Indices!$A:$P,0,MATCH("IRL",Indices!$1:$1,0)),"2024-T1")),""))</f>
        <v/>
      </c>
      <c r="O27" s="28">
        <f>IF(OR("2024-T2"="","IRL"=""),"",IFERROR(IF(SUMIFS(INDEX(Indices!$A:$P,0,MATCH("IRL",Indices!$1:$1,0)+1),INDEX(Indices!$A:$P,0,MATCH("IRL",Indices!$1:$1,0)),"2024-T2")=0,"",SUMIFS(INDEX(Indices!$A:$P,0,MATCH("IRL",Indices!$1:$1,0)+1),INDEX(Indices!$A:$P,0,MATCH("IRL",Indices!$1:$1,0)),"2024-T2")),""))</f>
        <v/>
      </c>
      <c r="P27" s="28">
        <f>IF(OR("2024-T3"="","IRL"=""),"",IFERROR(IF(SUMIFS(INDEX(Indices!$A:$P,0,MATCH("IRL",Indices!$1:$1,0)+1),INDEX(Indices!$A:$P,0,MATCH("IRL",Indices!$1:$1,0)),"2024-T3")=0,"",SUMIFS(INDEX(Indices!$A:$P,0,MATCH("IRL",Indices!$1:$1,0)+1),INDEX(Indices!$A:$P,0,MATCH("IRL",Indices!$1:$1,0)),"2024-T3")),""))</f>
        <v/>
      </c>
      <c r="Q27" s="28">
        <f>IF(OR("2024-T4"="","IRL"=""),"",IFERROR(IF(SUMIFS(INDEX(Indices!$A:$P,0,MATCH("IRL",Indices!$1:$1,0)+1),INDEX(Indices!$A:$P,0,MATCH("IRL",Indices!$1:$1,0)),"2024-T4")=0,"",SUMIFS(INDEX(Indices!$A:$P,0,MATCH("IRL",Indices!$1:$1,0)+1),INDEX(Indices!$A:$P,0,MATCH("IRL",Indices!$1:$1,0)),"2024-T4")),""))</f>
        <v/>
      </c>
    </row>
    <row r="28">
      <c r="A28" s="5" t="n">
        <v>2025</v>
      </c>
      <c r="B28" s="28">
        <f>IF(OR("2025-T1"="","ILC"=""),"",IFERROR(IF(SUMIFS(INDEX(Indices!$A:$P,0,MATCH("ILC",Indices!$1:$1,0)+1),INDEX(Indices!$A:$P,0,MATCH("ILC",Indices!$1:$1,0)),"2025-T1")=0,"",SUMIFS(INDEX(Indices!$A:$P,0,MATCH("ILC",Indices!$1:$1,0)+1),INDEX(Indices!$A:$P,0,MATCH("ILC",Indices!$1:$1,0)),"2025-T1")),""))</f>
        <v/>
      </c>
      <c r="C28" s="28">
        <f>IF(OR("2025-T2"="","ILC"=""),"",IFERROR(IF(SUMIFS(INDEX(Indices!$A:$P,0,MATCH("ILC",Indices!$1:$1,0)+1),INDEX(Indices!$A:$P,0,MATCH("ILC",Indices!$1:$1,0)),"2025-T2")=0,"",SUMIFS(INDEX(Indices!$A:$P,0,MATCH("ILC",Indices!$1:$1,0)+1),INDEX(Indices!$A:$P,0,MATCH("ILC",Indices!$1:$1,0)),"2025-T2")),""))</f>
        <v/>
      </c>
      <c r="D28" s="28">
        <f>IF(OR("2025-T3"="","ILC"=""),"",IFERROR(IF(SUMIFS(INDEX(Indices!$A:$P,0,MATCH("ILC",Indices!$1:$1,0)+1),INDEX(Indices!$A:$P,0,MATCH("ILC",Indices!$1:$1,0)),"2025-T3")=0,"",SUMIFS(INDEX(Indices!$A:$P,0,MATCH("ILC",Indices!$1:$1,0)+1),INDEX(Indices!$A:$P,0,MATCH("ILC",Indices!$1:$1,0)),"2025-T3")),""))</f>
        <v/>
      </c>
      <c r="E28" s="28">
        <f>IF(OR("2025-T4"="","ILC"=""),"",IFERROR(IF(SUMIFS(INDEX(Indices!$A:$P,0,MATCH("ILC",Indices!$1:$1,0)+1),INDEX(Indices!$A:$P,0,MATCH("ILC",Indices!$1:$1,0)),"2025-T4")=0,"",SUMIFS(INDEX(Indices!$A:$P,0,MATCH("ILC",Indices!$1:$1,0)+1),INDEX(Indices!$A:$P,0,MATCH("ILC",Indices!$1:$1,0)),"2025-T4")),""))</f>
        <v/>
      </c>
      <c r="F28" s="28">
        <f>IF(OR("2025-T1"="","ILAT"=""),"",IFERROR(IF(SUMIFS(INDEX(Indices!$A:$P,0,MATCH("ILAT",Indices!$1:$1,0)+1),INDEX(Indices!$A:$P,0,MATCH("ILAT",Indices!$1:$1,0)),"2025-T1")=0,"",SUMIFS(INDEX(Indices!$A:$P,0,MATCH("ILAT",Indices!$1:$1,0)+1),INDEX(Indices!$A:$P,0,MATCH("ILAT",Indices!$1:$1,0)),"2025-T1")),""))</f>
        <v/>
      </c>
      <c r="G28" s="28">
        <f>IF(OR("2025-T2"="","ILAT"=""),"",IFERROR(IF(SUMIFS(INDEX(Indices!$A:$P,0,MATCH("ILAT",Indices!$1:$1,0)+1),INDEX(Indices!$A:$P,0,MATCH("ILAT",Indices!$1:$1,0)),"2025-T2")=0,"",SUMIFS(INDEX(Indices!$A:$P,0,MATCH("ILAT",Indices!$1:$1,0)+1),INDEX(Indices!$A:$P,0,MATCH("ILAT",Indices!$1:$1,0)),"2025-T2")),""))</f>
        <v/>
      </c>
      <c r="H28" s="28">
        <f>IF(OR("2025-T3"="","ILAT"=""),"",IFERROR(IF(SUMIFS(INDEX(Indices!$A:$P,0,MATCH("ILAT",Indices!$1:$1,0)+1),INDEX(Indices!$A:$P,0,MATCH("ILAT",Indices!$1:$1,0)),"2025-T3")=0,"",SUMIFS(INDEX(Indices!$A:$P,0,MATCH("ILAT",Indices!$1:$1,0)+1),INDEX(Indices!$A:$P,0,MATCH("ILAT",Indices!$1:$1,0)),"2025-T3")),""))</f>
        <v/>
      </c>
      <c r="I28" s="28">
        <f>IF(OR("2025-T4"="","ILAT"=""),"",IFERROR(IF(SUMIFS(INDEX(Indices!$A:$P,0,MATCH("ILAT",Indices!$1:$1,0)+1),INDEX(Indices!$A:$P,0,MATCH("ILAT",Indices!$1:$1,0)),"2025-T4")=0,"",SUMIFS(INDEX(Indices!$A:$P,0,MATCH("ILAT",Indices!$1:$1,0)+1),INDEX(Indices!$A:$P,0,MATCH("ILAT",Indices!$1:$1,0)),"2025-T4")),""))</f>
        <v/>
      </c>
      <c r="J28" s="29">
        <f>IF(OR("2025-T1"="","ICC"=""),"",IFERROR(IF(SUMIFS(INDEX(Indices!$A:$P,0,MATCH("ICC",Indices!$1:$1,0)+1),INDEX(Indices!$A:$P,0,MATCH("ICC",Indices!$1:$1,0)),"2025-T1")=0,"",SUMIFS(INDEX(Indices!$A:$P,0,MATCH("ICC",Indices!$1:$1,0)+1),INDEX(Indices!$A:$P,0,MATCH("ICC",Indices!$1:$1,0)),"2025-T1")),""))</f>
        <v/>
      </c>
      <c r="K28" s="29">
        <f>IF(OR("2025-T2"="","ICC"=""),"",IFERROR(IF(SUMIFS(INDEX(Indices!$A:$P,0,MATCH("ICC",Indices!$1:$1,0)+1),INDEX(Indices!$A:$P,0,MATCH("ICC",Indices!$1:$1,0)),"2025-T2")=0,"",SUMIFS(INDEX(Indices!$A:$P,0,MATCH("ICC",Indices!$1:$1,0)+1),INDEX(Indices!$A:$P,0,MATCH("ICC",Indices!$1:$1,0)),"2025-T2")),""))</f>
        <v/>
      </c>
      <c r="L28" s="29">
        <f>IF(OR("2025-T3"="","ICC"=""),"",IFERROR(IF(SUMIFS(INDEX(Indices!$A:$P,0,MATCH("ICC",Indices!$1:$1,0)+1),INDEX(Indices!$A:$P,0,MATCH("ICC",Indices!$1:$1,0)),"2025-T3")=0,"",SUMIFS(INDEX(Indices!$A:$P,0,MATCH("ICC",Indices!$1:$1,0)+1),INDEX(Indices!$A:$P,0,MATCH("ICC",Indices!$1:$1,0)),"2025-T3")),""))</f>
        <v/>
      </c>
      <c r="M28" s="29">
        <f>IF(OR("2025-T4"="","ICC"=""),"",IFERROR(IF(SUMIFS(INDEX(Indices!$A:$P,0,MATCH("ICC",Indices!$1:$1,0)+1),INDEX(Indices!$A:$P,0,MATCH("ICC",Indices!$1:$1,0)),"2025-T4")=0,"",SUMIFS(INDEX(Indices!$A:$P,0,MATCH("ICC",Indices!$1:$1,0)+1),INDEX(Indices!$A:$P,0,MATCH("ICC",Indices!$1:$1,0)),"2025-T4")),""))</f>
        <v/>
      </c>
      <c r="N28" s="28">
        <f>IF(OR("2025-T1"="","IRL"=""),"",IFERROR(IF(SUMIFS(INDEX(Indices!$A:$P,0,MATCH("IRL",Indices!$1:$1,0)+1),INDEX(Indices!$A:$P,0,MATCH("IRL",Indices!$1:$1,0)),"2025-T1")=0,"",SUMIFS(INDEX(Indices!$A:$P,0,MATCH("IRL",Indices!$1:$1,0)+1),INDEX(Indices!$A:$P,0,MATCH("IRL",Indices!$1:$1,0)),"2025-T1")),""))</f>
        <v/>
      </c>
      <c r="O28" s="28">
        <f>IF(OR("2025-T2"="","IRL"=""),"",IFERROR(IF(SUMIFS(INDEX(Indices!$A:$P,0,MATCH("IRL",Indices!$1:$1,0)+1),INDEX(Indices!$A:$P,0,MATCH("IRL",Indices!$1:$1,0)),"2025-T2")=0,"",SUMIFS(INDEX(Indices!$A:$P,0,MATCH("IRL",Indices!$1:$1,0)+1),INDEX(Indices!$A:$P,0,MATCH("IRL",Indices!$1:$1,0)),"2025-T2")),""))</f>
        <v/>
      </c>
      <c r="P28" s="28">
        <f>IF(OR("2025-T3"="","IRL"=""),"",IFERROR(IF(SUMIFS(INDEX(Indices!$A:$P,0,MATCH("IRL",Indices!$1:$1,0)+1),INDEX(Indices!$A:$P,0,MATCH("IRL",Indices!$1:$1,0)),"2025-T3")=0,"",SUMIFS(INDEX(Indices!$A:$P,0,MATCH("IRL",Indices!$1:$1,0)+1),INDEX(Indices!$A:$P,0,MATCH("IRL",Indices!$1:$1,0)),"2025-T3")),""))</f>
        <v/>
      </c>
      <c r="Q28" s="28">
        <f>IF(OR("2025-T4"="","IRL"=""),"",IFERROR(IF(SUMIFS(INDEX(Indices!$A:$P,0,MATCH("IRL",Indices!$1:$1,0)+1),INDEX(Indices!$A:$P,0,MATCH("IRL",Indices!$1:$1,0)),"2025-T4")=0,"",SUMIFS(INDEX(Indices!$A:$P,0,MATCH("IRL",Indices!$1:$1,0)+1),INDEX(Indices!$A:$P,0,MATCH("IRL",Indices!$1:$1,0)),"2025-T4")),""))</f>
        <v/>
      </c>
    </row>
    <row r="29">
      <c r="A29" s="5" t="n">
        <v>2026</v>
      </c>
      <c r="B29" s="28">
        <f>IF(OR("2026-T1"="","ILC"=""),"",IFERROR(IF(SUMIFS(INDEX(Indices!$A:$P,0,MATCH("ILC",Indices!$1:$1,0)+1),INDEX(Indices!$A:$P,0,MATCH("ILC",Indices!$1:$1,0)),"2026-T1")=0,"",SUMIFS(INDEX(Indices!$A:$P,0,MATCH("ILC",Indices!$1:$1,0)+1),INDEX(Indices!$A:$P,0,MATCH("ILC",Indices!$1:$1,0)),"2026-T1")),""))</f>
        <v/>
      </c>
      <c r="C29" s="28">
        <f>IF(OR("2026-T2"="","ILC"=""),"",IFERROR(IF(SUMIFS(INDEX(Indices!$A:$P,0,MATCH("ILC",Indices!$1:$1,0)+1),INDEX(Indices!$A:$P,0,MATCH("ILC",Indices!$1:$1,0)),"2026-T2")=0,"",SUMIFS(INDEX(Indices!$A:$P,0,MATCH("ILC",Indices!$1:$1,0)+1),INDEX(Indices!$A:$P,0,MATCH("ILC",Indices!$1:$1,0)),"2026-T2")),""))</f>
        <v/>
      </c>
      <c r="D29" s="28">
        <f>IF(OR("2026-T3"="","ILC"=""),"",IFERROR(IF(SUMIFS(INDEX(Indices!$A:$P,0,MATCH("ILC",Indices!$1:$1,0)+1),INDEX(Indices!$A:$P,0,MATCH("ILC",Indices!$1:$1,0)),"2026-T3")=0,"",SUMIFS(INDEX(Indices!$A:$P,0,MATCH("ILC",Indices!$1:$1,0)+1),INDEX(Indices!$A:$P,0,MATCH("ILC",Indices!$1:$1,0)),"2026-T3")),""))</f>
        <v/>
      </c>
      <c r="E29" s="28">
        <f>IF(OR("2026-T4"="","ILC"=""),"",IFERROR(IF(SUMIFS(INDEX(Indices!$A:$P,0,MATCH("ILC",Indices!$1:$1,0)+1),INDEX(Indices!$A:$P,0,MATCH("ILC",Indices!$1:$1,0)),"2026-T4")=0,"",SUMIFS(INDEX(Indices!$A:$P,0,MATCH("ILC",Indices!$1:$1,0)+1),INDEX(Indices!$A:$P,0,MATCH("ILC",Indices!$1:$1,0)),"2026-T4")),""))</f>
        <v/>
      </c>
      <c r="F29" s="28">
        <f>IF(OR("2026-T1"="","ILAT"=""),"",IFERROR(IF(SUMIFS(INDEX(Indices!$A:$P,0,MATCH("ILAT",Indices!$1:$1,0)+1),INDEX(Indices!$A:$P,0,MATCH("ILAT",Indices!$1:$1,0)),"2026-T1")=0,"",SUMIFS(INDEX(Indices!$A:$P,0,MATCH("ILAT",Indices!$1:$1,0)+1),INDEX(Indices!$A:$P,0,MATCH("ILAT",Indices!$1:$1,0)),"2026-T1")),""))</f>
        <v/>
      </c>
      <c r="G29" s="28">
        <f>IF(OR("2026-T2"="","ILAT"=""),"",IFERROR(IF(SUMIFS(INDEX(Indices!$A:$P,0,MATCH("ILAT",Indices!$1:$1,0)+1),INDEX(Indices!$A:$P,0,MATCH("ILAT",Indices!$1:$1,0)),"2026-T2")=0,"",SUMIFS(INDEX(Indices!$A:$P,0,MATCH("ILAT",Indices!$1:$1,0)+1),INDEX(Indices!$A:$P,0,MATCH("ILAT",Indices!$1:$1,0)),"2026-T2")),""))</f>
        <v/>
      </c>
      <c r="H29" s="28">
        <f>IF(OR("2026-T3"="","ILAT"=""),"",IFERROR(IF(SUMIFS(INDEX(Indices!$A:$P,0,MATCH("ILAT",Indices!$1:$1,0)+1),INDEX(Indices!$A:$P,0,MATCH("ILAT",Indices!$1:$1,0)),"2026-T3")=0,"",SUMIFS(INDEX(Indices!$A:$P,0,MATCH("ILAT",Indices!$1:$1,0)+1),INDEX(Indices!$A:$P,0,MATCH("ILAT",Indices!$1:$1,0)),"2026-T3")),""))</f>
        <v/>
      </c>
      <c r="I29" s="28">
        <f>IF(OR("2026-T4"="","ILAT"=""),"",IFERROR(IF(SUMIFS(INDEX(Indices!$A:$P,0,MATCH("ILAT",Indices!$1:$1,0)+1),INDEX(Indices!$A:$P,0,MATCH("ILAT",Indices!$1:$1,0)),"2026-T4")=0,"",SUMIFS(INDEX(Indices!$A:$P,0,MATCH("ILAT",Indices!$1:$1,0)+1),INDEX(Indices!$A:$P,0,MATCH("ILAT",Indices!$1:$1,0)),"2026-T4")),""))</f>
        <v/>
      </c>
      <c r="J29" s="29">
        <f>IF(OR("2026-T1"="","ICC"=""),"",IFERROR(IF(SUMIFS(INDEX(Indices!$A:$P,0,MATCH("ICC",Indices!$1:$1,0)+1),INDEX(Indices!$A:$P,0,MATCH("ICC",Indices!$1:$1,0)),"2026-T1")=0,"",SUMIFS(INDEX(Indices!$A:$P,0,MATCH("ICC",Indices!$1:$1,0)+1),INDEX(Indices!$A:$P,0,MATCH("ICC",Indices!$1:$1,0)),"2026-T1")),""))</f>
        <v/>
      </c>
      <c r="K29" s="29">
        <f>IF(OR("2026-T2"="","ICC"=""),"",IFERROR(IF(SUMIFS(INDEX(Indices!$A:$P,0,MATCH("ICC",Indices!$1:$1,0)+1),INDEX(Indices!$A:$P,0,MATCH("ICC",Indices!$1:$1,0)),"2026-T2")=0,"",SUMIFS(INDEX(Indices!$A:$P,0,MATCH("ICC",Indices!$1:$1,0)+1),INDEX(Indices!$A:$P,0,MATCH("ICC",Indices!$1:$1,0)),"2026-T2")),""))</f>
        <v/>
      </c>
      <c r="L29" s="29">
        <f>IF(OR("2026-T3"="","ICC"=""),"",IFERROR(IF(SUMIFS(INDEX(Indices!$A:$P,0,MATCH("ICC",Indices!$1:$1,0)+1),INDEX(Indices!$A:$P,0,MATCH("ICC",Indices!$1:$1,0)),"2026-T3")=0,"",SUMIFS(INDEX(Indices!$A:$P,0,MATCH("ICC",Indices!$1:$1,0)+1),INDEX(Indices!$A:$P,0,MATCH("ICC",Indices!$1:$1,0)),"2026-T3")),""))</f>
        <v/>
      </c>
      <c r="M29" s="29">
        <f>IF(OR("2026-T4"="","ICC"=""),"",IFERROR(IF(SUMIFS(INDEX(Indices!$A:$P,0,MATCH("ICC",Indices!$1:$1,0)+1),INDEX(Indices!$A:$P,0,MATCH("ICC",Indices!$1:$1,0)),"2026-T4")=0,"",SUMIFS(INDEX(Indices!$A:$P,0,MATCH("ICC",Indices!$1:$1,0)+1),INDEX(Indices!$A:$P,0,MATCH("ICC",Indices!$1:$1,0)),"2026-T4")),""))</f>
        <v/>
      </c>
      <c r="N29" s="28">
        <f>IF(OR("2026-T1"="","IRL"=""),"",IFERROR(IF(SUMIFS(INDEX(Indices!$A:$P,0,MATCH("IRL",Indices!$1:$1,0)+1),INDEX(Indices!$A:$P,0,MATCH("IRL",Indices!$1:$1,0)),"2026-T1")=0,"",SUMIFS(INDEX(Indices!$A:$P,0,MATCH("IRL",Indices!$1:$1,0)+1),INDEX(Indices!$A:$P,0,MATCH("IRL",Indices!$1:$1,0)),"2026-T1")),""))</f>
        <v/>
      </c>
      <c r="O29" s="28">
        <f>IF(OR("2026-T2"="","IRL"=""),"",IFERROR(IF(SUMIFS(INDEX(Indices!$A:$P,0,MATCH("IRL",Indices!$1:$1,0)+1),INDEX(Indices!$A:$P,0,MATCH("IRL",Indices!$1:$1,0)),"2026-T2")=0,"",SUMIFS(INDEX(Indices!$A:$P,0,MATCH("IRL",Indices!$1:$1,0)+1),INDEX(Indices!$A:$P,0,MATCH("IRL",Indices!$1:$1,0)),"2026-T2")),""))</f>
        <v/>
      </c>
      <c r="P29" s="28">
        <f>IF(OR("2026-T3"="","IRL"=""),"",IFERROR(IF(SUMIFS(INDEX(Indices!$A:$P,0,MATCH("IRL",Indices!$1:$1,0)+1),INDEX(Indices!$A:$P,0,MATCH("IRL",Indices!$1:$1,0)),"2026-T3")=0,"",SUMIFS(INDEX(Indices!$A:$P,0,MATCH("IRL",Indices!$1:$1,0)+1),INDEX(Indices!$A:$P,0,MATCH("IRL",Indices!$1:$1,0)),"2026-T3")),""))</f>
        <v/>
      </c>
      <c r="Q29" s="28">
        <f>IF(OR("2026-T4"="","IRL"=""),"",IFERROR(IF(SUMIFS(INDEX(Indices!$A:$P,0,MATCH("IRL",Indices!$1:$1,0)+1),INDEX(Indices!$A:$P,0,MATCH("IRL",Indices!$1:$1,0)),"2026-T4")=0,"",SUMIFS(INDEX(Indices!$A:$P,0,MATCH("IRL",Indices!$1:$1,0)+1),INDEX(Indices!$A:$P,0,MATCH("IRL",Indices!$1:$1,0)),"2026-T4")),""))</f>
        <v/>
      </c>
    </row>
    <row r="30">
      <c r="A30" s="5" t="n">
        <v>2027</v>
      </c>
      <c r="B30" s="28">
        <f>IF(OR("2027-T1"="","ILC"=""),"",IFERROR(IF(SUMIFS(INDEX(Indices!$A:$P,0,MATCH("ILC",Indices!$1:$1,0)+1),INDEX(Indices!$A:$P,0,MATCH("ILC",Indices!$1:$1,0)),"2027-T1")=0,"",SUMIFS(INDEX(Indices!$A:$P,0,MATCH("ILC",Indices!$1:$1,0)+1),INDEX(Indices!$A:$P,0,MATCH("ILC",Indices!$1:$1,0)),"2027-T1")),""))</f>
        <v/>
      </c>
      <c r="C30" s="28">
        <f>IF(OR("2027-T2"="","ILC"=""),"",IFERROR(IF(SUMIFS(INDEX(Indices!$A:$P,0,MATCH("ILC",Indices!$1:$1,0)+1),INDEX(Indices!$A:$P,0,MATCH("ILC",Indices!$1:$1,0)),"2027-T2")=0,"",SUMIFS(INDEX(Indices!$A:$P,0,MATCH("ILC",Indices!$1:$1,0)+1),INDEX(Indices!$A:$P,0,MATCH("ILC",Indices!$1:$1,0)),"2027-T2")),""))</f>
        <v/>
      </c>
      <c r="D30" s="28">
        <f>IF(OR("2027-T3"="","ILC"=""),"",IFERROR(IF(SUMIFS(INDEX(Indices!$A:$P,0,MATCH("ILC",Indices!$1:$1,0)+1),INDEX(Indices!$A:$P,0,MATCH("ILC",Indices!$1:$1,0)),"2027-T3")=0,"",SUMIFS(INDEX(Indices!$A:$P,0,MATCH("ILC",Indices!$1:$1,0)+1),INDEX(Indices!$A:$P,0,MATCH("ILC",Indices!$1:$1,0)),"2027-T3")),""))</f>
        <v/>
      </c>
      <c r="E30" s="28">
        <f>IF(OR("2027-T4"="","ILC"=""),"",IFERROR(IF(SUMIFS(INDEX(Indices!$A:$P,0,MATCH("ILC",Indices!$1:$1,0)+1),INDEX(Indices!$A:$P,0,MATCH("ILC",Indices!$1:$1,0)),"2027-T4")=0,"",SUMIFS(INDEX(Indices!$A:$P,0,MATCH("ILC",Indices!$1:$1,0)+1),INDEX(Indices!$A:$P,0,MATCH("ILC",Indices!$1:$1,0)),"2027-T4")),""))</f>
        <v/>
      </c>
      <c r="F30" s="28">
        <f>IF(OR("2027-T1"="","ILAT"=""),"",IFERROR(IF(SUMIFS(INDEX(Indices!$A:$P,0,MATCH("ILAT",Indices!$1:$1,0)+1),INDEX(Indices!$A:$P,0,MATCH("ILAT",Indices!$1:$1,0)),"2027-T1")=0,"",SUMIFS(INDEX(Indices!$A:$P,0,MATCH("ILAT",Indices!$1:$1,0)+1),INDEX(Indices!$A:$P,0,MATCH("ILAT",Indices!$1:$1,0)),"2027-T1")),""))</f>
        <v/>
      </c>
      <c r="G30" s="28">
        <f>IF(OR("2027-T2"="","ILAT"=""),"",IFERROR(IF(SUMIFS(INDEX(Indices!$A:$P,0,MATCH("ILAT",Indices!$1:$1,0)+1),INDEX(Indices!$A:$P,0,MATCH("ILAT",Indices!$1:$1,0)),"2027-T2")=0,"",SUMIFS(INDEX(Indices!$A:$P,0,MATCH("ILAT",Indices!$1:$1,0)+1),INDEX(Indices!$A:$P,0,MATCH("ILAT",Indices!$1:$1,0)),"2027-T2")),""))</f>
        <v/>
      </c>
      <c r="H30" s="28">
        <f>IF(OR("2027-T3"="","ILAT"=""),"",IFERROR(IF(SUMIFS(INDEX(Indices!$A:$P,0,MATCH("ILAT",Indices!$1:$1,0)+1),INDEX(Indices!$A:$P,0,MATCH("ILAT",Indices!$1:$1,0)),"2027-T3")=0,"",SUMIFS(INDEX(Indices!$A:$P,0,MATCH("ILAT",Indices!$1:$1,0)+1),INDEX(Indices!$A:$P,0,MATCH("ILAT",Indices!$1:$1,0)),"2027-T3")),""))</f>
        <v/>
      </c>
      <c r="I30" s="28">
        <f>IF(OR("2027-T4"="","ILAT"=""),"",IFERROR(IF(SUMIFS(INDEX(Indices!$A:$P,0,MATCH("ILAT",Indices!$1:$1,0)+1),INDEX(Indices!$A:$P,0,MATCH("ILAT",Indices!$1:$1,0)),"2027-T4")=0,"",SUMIFS(INDEX(Indices!$A:$P,0,MATCH("ILAT",Indices!$1:$1,0)+1),INDEX(Indices!$A:$P,0,MATCH("ILAT",Indices!$1:$1,0)),"2027-T4")),""))</f>
        <v/>
      </c>
      <c r="J30" s="29">
        <f>IF(OR("2027-T1"="","ICC"=""),"",IFERROR(IF(SUMIFS(INDEX(Indices!$A:$P,0,MATCH("ICC",Indices!$1:$1,0)+1),INDEX(Indices!$A:$P,0,MATCH("ICC",Indices!$1:$1,0)),"2027-T1")=0,"",SUMIFS(INDEX(Indices!$A:$P,0,MATCH("ICC",Indices!$1:$1,0)+1),INDEX(Indices!$A:$P,0,MATCH("ICC",Indices!$1:$1,0)),"2027-T1")),""))</f>
        <v/>
      </c>
      <c r="K30" s="29">
        <f>IF(OR("2027-T2"="","ICC"=""),"",IFERROR(IF(SUMIFS(INDEX(Indices!$A:$P,0,MATCH("ICC",Indices!$1:$1,0)+1),INDEX(Indices!$A:$P,0,MATCH("ICC",Indices!$1:$1,0)),"2027-T2")=0,"",SUMIFS(INDEX(Indices!$A:$P,0,MATCH("ICC",Indices!$1:$1,0)+1),INDEX(Indices!$A:$P,0,MATCH("ICC",Indices!$1:$1,0)),"2027-T2")),""))</f>
        <v/>
      </c>
      <c r="L30" s="29">
        <f>IF(OR("2027-T3"="","ICC"=""),"",IFERROR(IF(SUMIFS(INDEX(Indices!$A:$P,0,MATCH("ICC",Indices!$1:$1,0)+1),INDEX(Indices!$A:$P,0,MATCH("ICC",Indices!$1:$1,0)),"2027-T3")=0,"",SUMIFS(INDEX(Indices!$A:$P,0,MATCH("ICC",Indices!$1:$1,0)+1),INDEX(Indices!$A:$P,0,MATCH("ICC",Indices!$1:$1,0)),"2027-T3")),""))</f>
        <v/>
      </c>
      <c r="M30" s="29">
        <f>IF(OR("2027-T4"="","ICC"=""),"",IFERROR(IF(SUMIFS(INDEX(Indices!$A:$P,0,MATCH("ICC",Indices!$1:$1,0)+1),INDEX(Indices!$A:$P,0,MATCH("ICC",Indices!$1:$1,0)),"2027-T4")=0,"",SUMIFS(INDEX(Indices!$A:$P,0,MATCH("ICC",Indices!$1:$1,0)+1),INDEX(Indices!$A:$P,0,MATCH("ICC",Indices!$1:$1,0)),"2027-T4")),""))</f>
        <v/>
      </c>
      <c r="N30" s="28">
        <f>IF(OR("2027-T1"="","IRL"=""),"",IFERROR(IF(SUMIFS(INDEX(Indices!$A:$P,0,MATCH("IRL",Indices!$1:$1,0)+1),INDEX(Indices!$A:$P,0,MATCH("IRL",Indices!$1:$1,0)),"2027-T1")=0,"",SUMIFS(INDEX(Indices!$A:$P,0,MATCH("IRL",Indices!$1:$1,0)+1),INDEX(Indices!$A:$P,0,MATCH("IRL",Indices!$1:$1,0)),"2027-T1")),""))</f>
        <v/>
      </c>
      <c r="O30" s="28">
        <f>IF(OR("2027-T2"="","IRL"=""),"",IFERROR(IF(SUMIFS(INDEX(Indices!$A:$P,0,MATCH("IRL",Indices!$1:$1,0)+1),INDEX(Indices!$A:$P,0,MATCH("IRL",Indices!$1:$1,0)),"2027-T2")=0,"",SUMIFS(INDEX(Indices!$A:$P,0,MATCH("IRL",Indices!$1:$1,0)+1),INDEX(Indices!$A:$P,0,MATCH("IRL",Indices!$1:$1,0)),"2027-T2")),""))</f>
        <v/>
      </c>
      <c r="P30" s="28">
        <f>IF(OR("2027-T3"="","IRL"=""),"",IFERROR(IF(SUMIFS(INDEX(Indices!$A:$P,0,MATCH("IRL",Indices!$1:$1,0)+1),INDEX(Indices!$A:$P,0,MATCH("IRL",Indices!$1:$1,0)),"2027-T3")=0,"",SUMIFS(INDEX(Indices!$A:$P,0,MATCH("IRL",Indices!$1:$1,0)+1),INDEX(Indices!$A:$P,0,MATCH("IRL",Indices!$1:$1,0)),"2027-T3")),""))</f>
        <v/>
      </c>
      <c r="Q30" s="28">
        <f>IF(OR("2027-T4"="","IRL"=""),"",IFERROR(IF(SUMIFS(INDEX(Indices!$A:$P,0,MATCH("IRL",Indices!$1:$1,0)+1),INDEX(Indices!$A:$P,0,MATCH("IRL",Indices!$1:$1,0)),"2027-T4")=0,"",SUMIFS(INDEX(Indices!$A:$P,0,MATCH("IRL",Indices!$1:$1,0)+1),INDEX(Indices!$A:$P,0,MATCH("IRL",Indices!$1:$1,0)),"2027-T4")),""))</f>
        <v/>
      </c>
    </row>
    <row r="31">
      <c r="A31" s="5" t="n">
        <v>2028</v>
      </c>
      <c r="B31" s="28">
        <f>IF(OR("2028-T1"="","ILC"=""),"",IFERROR(IF(SUMIFS(INDEX(Indices!$A:$P,0,MATCH("ILC",Indices!$1:$1,0)+1),INDEX(Indices!$A:$P,0,MATCH("ILC",Indices!$1:$1,0)),"2028-T1")=0,"",SUMIFS(INDEX(Indices!$A:$P,0,MATCH("ILC",Indices!$1:$1,0)+1),INDEX(Indices!$A:$P,0,MATCH("ILC",Indices!$1:$1,0)),"2028-T1")),""))</f>
        <v/>
      </c>
      <c r="C31" s="28">
        <f>IF(OR("2028-T2"="","ILC"=""),"",IFERROR(IF(SUMIFS(INDEX(Indices!$A:$P,0,MATCH("ILC",Indices!$1:$1,0)+1),INDEX(Indices!$A:$P,0,MATCH("ILC",Indices!$1:$1,0)),"2028-T2")=0,"",SUMIFS(INDEX(Indices!$A:$P,0,MATCH("ILC",Indices!$1:$1,0)+1),INDEX(Indices!$A:$P,0,MATCH("ILC",Indices!$1:$1,0)),"2028-T2")),""))</f>
        <v/>
      </c>
      <c r="D31" s="28">
        <f>IF(OR("2028-T3"="","ILC"=""),"",IFERROR(IF(SUMIFS(INDEX(Indices!$A:$P,0,MATCH("ILC",Indices!$1:$1,0)+1),INDEX(Indices!$A:$P,0,MATCH("ILC",Indices!$1:$1,0)),"2028-T3")=0,"",SUMIFS(INDEX(Indices!$A:$P,0,MATCH("ILC",Indices!$1:$1,0)+1),INDEX(Indices!$A:$P,0,MATCH("ILC",Indices!$1:$1,0)),"2028-T3")),""))</f>
        <v/>
      </c>
      <c r="E31" s="28">
        <f>IF(OR("2028-T4"="","ILC"=""),"",IFERROR(IF(SUMIFS(INDEX(Indices!$A:$P,0,MATCH("ILC",Indices!$1:$1,0)+1),INDEX(Indices!$A:$P,0,MATCH("ILC",Indices!$1:$1,0)),"2028-T4")=0,"",SUMIFS(INDEX(Indices!$A:$P,0,MATCH("ILC",Indices!$1:$1,0)+1),INDEX(Indices!$A:$P,0,MATCH("ILC",Indices!$1:$1,0)),"2028-T4")),""))</f>
        <v/>
      </c>
      <c r="F31" s="28">
        <f>IF(OR("2028-T1"="","ILAT"=""),"",IFERROR(IF(SUMIFS(INDEX(Indices!$A:$P,0,MATCH("ILAT",Indices!$1:$1,0)+1),INDEX(Indices!$A:$P,0,MATCH("ILAT",Indices!$1:$1,0)),"2028-T1")=0,"",SUMIFS(INDEX(Indices!$A:$P,0,MATCH("ILAT",Indices!$1:$1,0)+1),INDEX(Indices!$A:$P,0,MATCH("ILAT",Indices!$1:$1,0)),"2028-T1")),""))</f>
        <v/>
      </c>
      <c r="G31" s="28">
        <f>IF(OR("2028-T2"="","ILAT"=""),"",IFERROR(IF(SUMIFS(INDEX(Indices!$A:$P,0,MATCH("ILAT",Indices!$1:$1,0)+1),INDEX(Indices!$A:$P,0,MATCH("ILAT",Indices!$1:$1,0)),"2028-T2")=0,"",SUMIFS(INDEX(Indices!$A:$P,0,MATCH("ILAT",Indices!$1:$1,0)+1),INDEX(Indices!$A:$P,0,MATCH("ILAT",Indices!$1:$1,0)),"2028-T2")),""))</f>
        <v/>
      </c>
      <c r="H31" s="28">
        <f>IF(OR("2028-T3"="","ILAT"=""),"",IFERROR(IF(SUMIFS(INDEX(Indices!$A:$P,0,MATCH("ILAT",Indices!$1:$1,0)+1),INDEX(Indices!$A:$P,0,MATCH("ILAT",Indices!$1:$1,0)),"2028-T3")=0,"",SUMIFS(INDEX(Indices!$A:$P,0,MATCH("ILAT",Indices!$1:$1,0)+1),INDEX(Indices!$A:$P,0,MATCH("ILAT",Indices!$1:$1,0)),"2028-T3")),""))</f>
        <v/>
      </c>
      <c r="I31" s="28">
        <f>IF(OR("2028-T4"="","ILAT"=""),"",IFERROR(IF(SUMIFS(INDEX(Indices!$A:$P,0,MATCH("ILAT",Indices!$1:$1,0)+1),INDEX(Indices!$A:$P,0,MATCH("ILAT",Indices!$1:$1,0)),"2028-T4")=0,"",SUMIFS(INDEX(Indices!$A:$P,0,MATCH("ILAT",Indices!$1:$1,0)+1),INDEX(Indices!$A:$P,0,MATCH("ILAT",Indices!$1:$1,0)),"2028-T4")),""))</f>
        <v/>
      </c>
      <c r="J31" s="29">
        <f>IF(OR("2028-T1"="","ICC"=""),"",IFERROR(IF(SUMIFS(INDEX(Indices!$A:$P,0,MATCH("ICC",Indices!$1:$1,0)+1),INDEX(Indices!$A:$P,0,MATCH("ICC",Indices!$1:$1,0)),"2028-T1")=0,"",SUMIFS(INDEX(Indices!$A:$P,0,MATCH("ICC",Indices!$1:$1,0)+1),INDEX(Indices!$A:$P,0,MATCH("ICC",Indices!$1:$1,0)),"2028-T1")),""))</f>
        <v/>
      </c>
      <c r="K31" s="29">
        <f>IF(OR("2028-T2"="","ICC"=""),"",IFERROR(IF(SUMIFS(INDEX(Indices!$A:$P,0,MATCH("ICC",Indices!$1:$1,0)+1),INDEX(Indices!$A:$P,0,MATCH("ICC",Indices!$1:$1,0)),"2028-T2")=0,"",SUMIFS(INDEX(Indices!$A:$P,0,MATCH("ICC",Indices!$1:$1,0)+1),INDEX(Indices!$A:$P,0,MATCH("ICC",Indices!$1:$1,0)),"2028-T2")),""))</f>
        <v/>
      </c>
      <c r="L31" s="29">
        <f>IF(OR("2028-T3"="","ICC"=""),"",IFERROR(IF(SUMIFS(INDEX(Indices!$A:$P,0,MATCH("ICC",Indices!$1:$1,0)+1),INDEX(Indices!$A:$P,0,MATCH("ICC",Indices!$1:$1,0)),"2028-T3")=0,"",SUMIFS(INDEX(Indices!$A:$P,0,MATCH("ICC",Indices!$1:$1,0)+1),INDEX(Indices!$A:$P,0,MATCH("ICC",Indices!$1:$1,0)),"2028-T3")),""))</f>
        <v/>
      </c>
      <c r="M31" s="29">
        <f>IF(OR("2028-T4"="","ICC"=""),"",IFERROR(IF(SUMIFS(INDEX(Indices!$A:$P,0,MATCH("ICC",Indices!$1:$1,0)+1),INDEX(Indices!$A:$P,0,MATCH("ICC",Indices!$1:$1,0)),"2028-T4")=0,"",SUMIFS(INDEX(Indices!$A:$P,0,MATCH("ICC",Indices!$1:$1,0)+1),INDEX(Indices!$A:$P,0,MATCH("ICC",Indices!$1:$1,0)),"2028-T4")),""))</f>
        <v/>
      </c>
      <c r="N31" s="28">
        <f>IF(OR("2028-T1"="","IRL"=""),"",IFERROR(IF(SUMIFS(INDEX(Indices!$A:$P,0,MATCH("IRL",Indices!$1:$1,0)+1),INDEX(Indices!$A:$P,0,MATCH("IRL",Indices!$1:$1,0)),"2028-T1")=0,"",SUMIFS(INDEX(Indices!$A:$P,0,MATCH("IRL",Indices!$1:$1,0)+1),INDEX(Indices!$A:$P,0,MATCH("IRL",Indices!$1:$1,0)),"2028-T1")),""))</f>
        <v/>
      </c>
      <c r="O31" s="28">
        <f>IF(OR("2028-T2"="","IRL"=""),"",IFERROR(IF(SUMIFS(INDEX(Indices!$A:$P,0,MATCH("IRL",Indices!$1:$1,0)+1),INDEX(Indices!$A:$P,0,MATCH("IRL",Indices!$1:$1,0)),"2028-T2")=0,"",SUMIFS(INDEX(Indices!$A:$P,0,MATCH("IRL",Indices!$1:$1,0)+1),INDEX(Indices!$A:$P,0,MATCH("IRL",Indices!$1:$1,0)),"2028-T2")),""))</f>
        <v/>
      </c>
      <c r="P31" s="28">
        <f>IF(OR("2028-T3"="","IRL"=""),"",IFERROR(IF(SUMIFS(INDEX(Indices!$A:$P,0,MATCH("IRL",Indices!$1:$1,0)+1),INDEX(Indices!$A:$P,0,MATCH("IRL",Indices!$1:$1,0)),"2028-T3")=0,"",SUMIFS(INDEX(Indices!$A:$P,0,MATCH("IRL",Indices!$1:$1,0)+1),INDEX(Indices!$A:$P,0,MATCH("IRL",Indices!$1:$1,0)),"2028-T3")),""))</f>
        <v/>
      </c>
      <c r="Q31" s="28">
        <f>IF(OR("2028-T4"="","IRL"=""),"",IFERROR(IF(SUMIFS(INDEX(Indices!$A:$P,0,MATCH("IRL",Indices!$1:$1,0)+1),INDEX(Indices!$A:$P,0,MATCH("IRL",Indices!$1:$1,0)),"2028-T4")=0,"",SUMIFS(INDEX(Indices!$A:$P,0,MATCH("IRL",Indices!$1:$1,0)+1),INDEX(Indices!$A:$P,0,MATCH("IRL",Indices!$1:$1,0)),"2028-T4")),""))</f>
        <v/>
      </c>
    </row>
    <row r="32">
      <c r="A32" s="5" t="n">
        <v>2029</v>
      </c>
      <c r="B32" s="28">
        <f>IF(OR("2029-T1"="","ILC"=""),"",IFERROR(IF(SUMIFS(INDEX(Indices!$A:$P,0,MATCH("ILC",Indices!$1:$1,0)+1),INDEX(Indices!$A:$P,0,MATCH("ILC",Indices!$1:$1,0)),"2029-T1")=0,"",SUMIFS(INDEX(Indices!$A:$P,0,MATCH("ILC",Indices!$1:$1,0)+1),INDEX(Indices!$A:$P,0,MATCH("ILC",Indices!$1:$1,0)),"2029-T1")),""))</f>
        <v/>
      </c>
      <c r="C32" s="28">
        <f>IF(OR("2029-T2"="","ILC"=""),"",IFERROR(IF(SUMIFS(INDEX(Indices!$A:$P,0,MATCH("ILC",Indices!$1:$1,0)+1),INDEX(Indices!$A:$P,0,MATCH("ILC",Indices!$1:$1,0)),"2029-T2")=0,"",SUMIFS(INDEX(Indices!$A:$P,0,MATCH("ILC",Indices!$1:$1,0)+1),INDEX(Indices!$A:$P,0,MATCH("ILC",Indices!$1:$1,0)),"2029-T2")),""))</f>
        <v/>
      </c>
      <c r="D32" s="28">
        <f>IF(OR("2029-T3"="","ILC"=""),"",IFERROR(IF(SUMIFS(INDEX(Indices!$A:$P,0,MATCH("ILC",Indices!$1:$1,0)+1),INDEX(Indices!$A:$P,0,MATCH("ILC",Indices!$1:$1,0)),"2029-T3")=0,"",SUMIFS(INDEX(Indices!$A:$P,0,MATCH("ILC",Indices!$1:$1,0)+1),INDEX(Indices!$A:$P,0,MATCH("ILC",Indices!$1:$1,0)),"2029-T3")),""))</f>
        <v/>
      </c>
      <c r="E32" s="28">
        <f>IF(OR("2029-T4"="","ILC"=""),"",IFERROR(IF(SUMIFS(INDEX(Indices!$A:$P,0,MATCH("ILC",Indices!$1:$1,0)+1),INDEX(Indices!$A:$P,0,MATCH("ILC",Indices!$1:$1,0)),"2029-T4")=0,"",SUMIFS(INDEX(Indices!$A:$P,0,MATCH("ILC",Indices!$1:$1,0)+1),INDEX(Indices!$A:$P,0,MATCH("ILC",Indices!$1:$1,0)),"2029-T4")),""))</f>
        <v/>
      </c>
      <c r="F32" s="28">
        <f>IF(OR("2029-T1"="","ILAT"=""),"",IFERROR(IF(SUMIFS(INDEX(Indices!$A:$P,0,MATCH("ILAT",Indices!$1:$1,0)+1),INDEX(Indices!$A:$P,0,MATCH("ILAT",Indices!$1:$1,0)),"2029-T1")=0,"",SUMIFS(INDEX(Indices!$A:$P,0,MATCH("ILAT",Indices!$1:$1,0)+1),INDEX(Indices!$A:$P,0,MATCH("ILAT",Indices!$1:$1,0)),"2029-T1")),""))</f>
        <v/>
      </c>
      <c r="G32" s="28">
        <f>IF(OR("2029-T2"="","ILAT"=""),"",IFERROR(IF(SUMIFS(INDEX(Indices!$A:$P,0,MATCH("ILAT",Indices!$1:$1,0)+1),INDEX(Indices!$A:$P,0,MATCH("ILAT",Indices!$1:$1,0)),"2029-T2")=0,"",SUMIFS(INDEX(Indices!$A:$P,0,MATCH("ILAT",Indices!$1:$1,0)+1),INDEX(Indices!$A:$P,0,MATCH("ILAT",Indices!$1:$1,0)),"2029-T2")),""))</f>
        <v/>
      </c>
      <c r="H32" s="28">
        <f>IF(OR("2029-T3"="","ILAT"=""),"",IFERROR(IF(SUMIFS(INDEX(Indices!$A:$P,0,MATCH("ILAT",Indices!$1:$1,0)+1),INDEX(Indices!$A:$P,0,MATCH("ILAT",Indices!$1:$1,0)),"2029-T3")=0,"",SUMIFS(INDEX(Indices!$A:$P,0,MATCH("ILAT",Indices!$1:$1,0)+1),INDEX(Indices!$A:$P,0,MATCH("ILAT",Indices!$1:$1,0)),"2029-T3")),""))</f>
        <v/>
      </c>
      <c r="I32" s="28">
        <f>IF(OR("2029-T4"="","ILAT"=""),"",IFERROR(IF(SUMIFS(INDEX(Indices!$A:$P,0,MATCH("ILAT",Indices!$1:$1,0)+1),INDEX(Indices!$A:$P,0,MATCH("ILAT",Indices!$1:$1,0)),"2029-T4")=0,"",SUMIFS(INDEX(Indices!$A:$P,0,MATCH("ILAT",Indices!$1:$1,0)+1),INDEX(Indices!$A:$P,0,MATCH("ILAT",Indices!$1:$1,0)),"2029-T4")),""))</f>
        <v/>
      </c>
      <c r="J32" s="29">
        <f>IF(OR("2029-T1"="","ICC"=""),"",IFERROR(IF(SUMIFS(INDEX(Indices!$A:$P,0,MATCH("ICC",Indices!$1:$1,0)+1),INDEX(Indices!$A:$P,0,MATCH("ICC",Indices!$1:$1,0)),"2029-T1")=0,"",SUMIFS(INDEX(Indices!$A:$P,0,MATCH("ICC",Indices!$1:$1,0)+1),INDEX(Indices!$A:$P,0,MATCH("ICC",Indices!$1:$1,0)),"2029-T1")),""))</f>
        <v/>
      </c>
      <c r="K32" s="29">
        <f>IF(OR("2029-T2"="","ICC"=""),"",IFERROR(IF(SUMIFS(INDEX(Indices!$A:$P,0,MATCH("ICC",Indices!$1:$1,0)+1),INDEX(Indices!$A:$P,0,MATCH("ICC",Indices!$1:$1,0)),"2029-T2")=0,"",SUMIFS(INDEX(Indices!$A:$P,0,MATCH("ICC",Indices!$1:$1,0)+1),INDEX(Indices!$A:$P,0,MATCH("ICC",Indices!$1:$1,0)),"2029-T2")),""))</f>
        <v/>
      </c>
      <c r="L32" s="29">
        <f>IF(OR("2029-T3"="","ICC"=""),"",IFERROR(IF(SUMIFS(INDEX(Indices!$A:$P,0,MATCH("ICC",Indices!$1:$1,0)+1),INDEX(Indices!$A:$P,0,MATCH("ICC",Indices!$1:$1,0)),"2029-T3")=0,"",SUMIFS(INDEX(Indices!$A:$P,0,MATCH("ICC",Indices!$1:$1,0)+1),INDEX(Indices!$A:$P,0,MATCH("ICC",Indices!$1:$1,0)),"2029-T3")),""))</f>
        <v/>
      </c>
      <c r="M32" s="29">
        <f>IF(OR("2029-T4"="","ICC"=""),"",IFERROR(IF(SUMIFS(INDEX(Indices!$A:$P,0,MATCH("ICC",Indices!$1:$1,0)+1),INDEX(Indices!$A:$P,0,MATCH("ICC",Indices!$1:$1,0)),"2029-T4")=0,"",SUMIFS(INDEX(Indices!$A:$P,0,MATCH("ICC",Indices!$1:$1,0)+1),INDEX(Indices!$A:$P,0,MATCH("ICC",Indices!$1:$1,0)),"2029-T4")),""))</f>
        <v/>
      </c>
      <c r="N32" s="28">
        <f>IF(OR("2029-T1"="","IRL"=""),"",IFERROR(IF(SUMIFS(INDEX(Indices!$A:$P,0,MATCH("IRL",Indices!$1:$1,0)+1),INDEX(Indices!$A:$P,0,MATCH("IRL",Indices!$1:$1,0)),"2029-T1")=0,"",SUMIFS(INDEX(Indices!$A:$P,0,MATCH("IRL",Indices!$1:$1,0)+1),INDEX(Indices!$A:$P,0,MATCH("IRL",Indices!$1:$1,0)),"2029-T1")),""))</f>
        <v/>
      </c>
      <c r="O32" s="28">
        <f>IF(OR("2029-T2"="","IRL"=""),"",IFERROR(IF(SUMIFS(INDEX(Indices!$A:$P,0,MATCH("IRL",Indices!$1:$1,0)+1),INDEX(Indices!$A:$P,0,MATCH("IRL",Indices!$1:$1,0)),"2029-T2")=0,"",SUMIFS(INDEX(Indices!$A:$P,0,MATCH("IRL",Indices!$1:$1,0)+1),INDEX(Indices!$A:$P,0,MATCH("IRL",Indices!$1:$1,0)),"2029-T2")),""))</f>
        <v/>
      </c>
      <c r="P32" s="28">
        <f>IF(OR("2029-T3"="","IRL"=""),"",IFERROR(IF(SUMIFS(INDEX(Indices!$A:$P,0,MATCH("IRL",Indices!$1:$1,0)+1),INDEX(Indices!$A:$P,0,MATCH("IRL",Indices!$1:$1,0)),"2029-T3")=0,"",SUMIFS(INDEX(Indices!$A:$P,0,MATCH("IRL",Indices!$1:$1,0)+1),INDEX(Indices!$A:$P,0,MATCH("IRL",Indices!$1:$1,0)),"2029-T3")),""))</f>
        <v/>
      </c>
      <c r="Q32" s="28">
        <f>IF(OR("2029-T4"="","IRL"=""),"",IFERROR(IF(SUMIFS(INDEX(Indices!$A:$P,0,MATCH("IRL",Indices!$1:$1,0)+1),INDEX(Indices!$A:$P,0,MATCH("IRL",Indices!$1:$1,0)),"2029-T4")=0,"",SUMIFS(INDEX(Indices!$A:$P,0,MATCH("IRL",Indices!$1:$1,0)+1),INDEX(Indices!$A:$P,0,MATCH("IRL",Indices!$1:$1,0)),"2029-T4")),""))</f>
        <v/>
      </c>
    </row>
    <row r="33">
      <c r="A33" s="5" t="n">
        <v>2030</v>
      </c>
      <c r="B33" s="28">
        <f>IF(OR("2030-T1"="","ILC"=""),"",IFERROR(IF(SUMIFS(INDEX(Indices!$A:$P,0,MATCH("ILC",Indices!$1:$1,0)+1),INDEX(Indices!$A:$P,0,MATCH("ILC",Indices!$1:$1,0)),"2030-T1")=0,"",SUMIFS(INDEX(Indices!$A:$P,0,MATCH("ILC",Indices!$1:$1,0)+1),INDEX(Indices!$A:$P,0,MATCH("ILC",Indices!$1:$1,0)),"2030-T1")),""))</f>
        <v/>
      </c>
      <c r="C33" s="28">
        <f>IF(OR("2030-T2"="","ILC"=""),"",IFERROR(IF(SUMIFS(INDEX(Indices!$A:$P,0,MATCH("ILC",Indices!$1:$1,0)+1),INDEX(Indices!$A:$P,0,MATCH("ILC",Indices!$1:$1,0)),"2030-T2")=0,"",SUMIFS(INDEX(Indices!$A:$P,0,MATCH("ILC",Indices!$1:$1,0)+1),INDEX(Indices!$A:$P,0,MATCH("ILC",Indices!$1:$1,0)),"2030-T2")),""))</f>
        <v/>
      </c>
      <c r="D33" s="28">
        <f>IF(OR("2030-T3"="","ILC"=""),"",IFERROR(IF(SUMIFS(INDEX(Indices!$A:$P,0,MATCH("ILC",Indices!$1:$1,0)+1),INDEX(Indices!$A:$P,0,MATCH("ILC",Indices!$1:$1,0)),"2030-T3")=0,"",SUMIFS(INDEX(Indices!$A:$P,0,MATCH("ILC",Indices!$1:$1,0)+1),INDEX(Indices!$A:$P,0,MATCH("ILC",Indices!$1:$1,0)),"2030-T3")),""))</f>
        <v/>
      </c>
      <c r="E33" s="28">
        <f>IF(OR("2030-T4"="","ILC"=""),"",IFERROR(IF(SUMIFS(INDEX(Indices!$A:$P,0,MATCH("ILC",Indices!$1:$1,0)+1),INDEX(Indices!$A:$P,0,MATCH("ILC",Indices!$1:$1,0)),"2030-T4")=0,"",SUMIFS(INDEX(Indices!$A:$P,0,MATCH("ILC",Indices!$1:$1,0)+1),INDEX(Indices!$A:$P,0,MATCH("ILC",Indices!$1:$1,0)),"2030-T4")),""))</f>
        <v/>
      </c>
      <c r="F33" s="28">
        <f>IF(OR("2030-T1"="","ILAT"=""),"",IFERROR(IF(SUMIFS(INDEX(Indices!$A:$P,0,MATCH("ILAT",Indices!$1:$1,0)+1),INDEX(Indices!$A:$P,0,MATCH("ILAT",Indices!$1:$1,0)),"2030-T1")=0,"",SUMIFS(INDEX(Indices!$A:$P,0,MATCH("ILAT",Indices!$1:$1,0)+1),INDEX(Indices!$A:$P,0,MATCH("ILAT",Indices!$1:$1,0)),"2030-T1")),""))</f>
        <v/>
      </c>
      <c r="G33" s="28">
        <f>IF(OR("2030-T2"="","ILAT"=""),"",IFERROR(IF(SUMIFS(INDEX(Indices!$A:$P,0,MATCH("ILAT",Indices!$1:$1,0)+1),INDEX(Indices!$A:$P,0,MATCH("ILAT",Indices!$1:$1,0)),"2030-T2")=0,"",SUMIFS(INDEX(Indices!$A:$P,0,MATCH("ILAT",Indices!$1:$1,0)+1),INDEX(Indices!$A:$P,0,MATCH("ILAT",Indices!$1:$1,0)),"2030-T2")),""))</f>
        <v/>
      </c>
      <c r="H33" s="28">
        <f>IF(OR("2030-T3"="","ILAT"=""),"",IFERROR(IF(SUMIFS(INDEX(Indices!$A:$P,0,MATCH("ILAT",Indices!$1:$1,0)+1),INDEX(Indices!$A:$P,0,MATCH("ILAT",Indices!$1:$1,0)),"2030-T3")=0,"",SUMIFS(INDEX(Indices!$A:$P,0,MATCH("ILAT",Indices!$1:$1,0)+1),INDEX(Indices!$A:$P,0,MATCH("ILAT",Indices!$1:$1,0)),"2030-T3")),""))</f>
        <v/>
      </c>
      <c r="I33" s="28">
        <f>IF(OR("2030-T4"="","ILAT"=""),"",IFERROR(IF(SUMIFS(INDEX(Indices!$A:$P,0,MATCH("ILAT",Indices!$1:$1,0)+1),INDEX(Indices!$A:$P,0,MATCH("ILAT",Indices!$1:$1,0)),"2030-T4")=0,"",SUMIFS(INDEX(Indices!$A:$P,0,MATCH("ILAT",Indices!$1:$1,0)+1),INDEX(Indices!$A:$P,0,MATCH("ILAT",Indices!$1:$1,0)),"2030-T4")),""))</f>
        <v/>
      </c>
      <c r="J33" s="29">
        <f>IF(OR("2030-T1"="","ICC"=""),"",IFERROR(IF(SUMIFS(INDEX(Indices!$A:$P,0,MATCH("ICC",Indices!$1:$1,0)+1),INDEX(Indices!$A:$P,0,MATCH("ICC",Indices!$1:$1,0)),"2030-T1")=0,"",SUMIFS(INDEX(Indices!$A:$P,0,MATCH("ICC",Indices!$1:$1,0)+1),INDEX(Indices!$A:$P,0,MATCH("ICC",Indices!$1:$1,0)),"2030-T1")),""))</f>
        <v/>
      </c>
      <c r="K33" s="29">
        <f>IF(OR("2030-T2"="","ICC"=""),"",IFERROR(IF(SUMIFS(INDEX(Indices!$A:$P,0,MATCH("ICC",Indices!$1:$1,0)+1),INDEX(Indices!$A:$P,0,MATCH("ICC",Indices!$1:$1,0)),"2030-T2")=0,"",SUMIFS(INDEX(Indices!$A:$P,0,MATCH("ICC",Indices!$1:$1,0)+1),INDEX(Indices!$A:$P,0,MATCH("ICC",Indices!$1:$1,0)),"2030-T2")),""))</f>
        <v/>
      </c>
      <c r="L33" s="29">
        <f>IF(OR("2030-T3"="","ICC"=""),"",IFERROR(IF(SUMIFS(INDEX(Indices!$A:$P,0,MATCH("ICC",Indices!$1:$1,0)+1),INDEX(Indices!$A:$P,0,MATCH("ICC",Indices!$1:$1,0)),"2030-T3")=0,"",SUMIFS(INDEX(Indices!$A:$P,0,MATCH("ICC",Indices!$1:$1,0)+1),INDEX(Indices!$A:$P,0,MATCH("ICC",Indices!$1:$1,0)),"2030-T3")),""))</f>
        <v/>
      </c>
      <c r="M33" s="29">
        <f>IF(OR("2030-T4"="","ICC"=""),"",IFERROR(IF(SUMIFS(INDEX(Indices!$A:$P,0,MATCH("ICC",Indices!$1:$1,0)+1),INDEX(Indices!$A:$P,0,MATCH("ICC",Indices!$1:$1,0)),"2030-T4")=0,"",SUMIFS(INDEX(Indices!$A:$P,0,MATCH("ICC",Indices!$1:$1,0)+1),INDEX(Indices!$A:$P,0,MATCH("ICC",Indices!$1:$1,0)),"2030-T4")),""))</f>
        <v/>
      </c>
      <c r="N33" s="28">
        <f>IF(OR("2030-T1"="","IRL"=""),"",IFERROR(IF(SUMIFS(INDEX(Indices!$A:$P,0,MATCH("IRL",Indices!$1:$1,0)+1),INDEX(Indices!$A:$P,0,MATCH("IRL",Indices!$1:$1,0)),"2030-T1")=0,"",SUMIFS(INDEX(Indices!$A:$P,0,MATCH("IRL",Indices!$1:$1,0)+1),INDEX(Indices!$A:$P,0,MATCH("IRL",Indices!$1:$1,0)),"2030-T1")),""))</f>
        <v/>
      </c>
      <c r="O33" s="28">
        <f>IF(OR("2030-T2"="","IRL"=""),"",IFERROR(IF(SUMIFS(INDEX(Indices!$A:$P,0,MATCH("IRL",Indices!$1:$1,0)+1),INDEX(Indices!$A:$P,0,MATCH("IRL",Indices!$1:$1,0)),"2030-T2")=0,"",SUMIFS(INDEX(Indices!$A:$P,0,MATCH("IRL",Indices!$1:$1,0)+1),INDEX(Indices!$A:$P,0,MATCH("IRL",Indices!$1:$1,0)),"2030-T2")),""))</f>
        <v/>
      </c>
      <c r="P33" s="28">
        <f>IF(OR("2030-T3"="","IRL"=""),"",IFERROR(IF(SUMIFS(INDEX(Indices!$A:$P,0,MATCH("IRL",Indices!$1:$1,0)+1),INDEX(Indices!$A:$P,0,MATCH("IRL",Indices!$1:$1,0)),"2030-T3")=0,"",SUMIFS(INDEX(Indices!$A:$P,0,MATCH("IRL",Indices!$1:$1,0)+1),INDEX(Indices!$A:$P,0,MATCH("IRL",Indices!$1:$1,0)),"2030-T3")),""))</f>
        <v/>
      </c>
      <c r="Q33" s="28">
        <f>IF(OR("2030-T4"="","IRL"=""),"",IFERROR(IF(SUMIFS(INDEX(Indices!$A:$P,0,MATCH("IRL",Indices!$1:$1,0)+1),INDEX(Indices!$A:$P,0,MATCH("IRL",Indices!$1:$1,0)),"2030-T4")=0,"",SUMIFS(INDEX(Indices!$A:$P,0,MATCH("IRL",Indices!$1:$1,0)+1),INDEX(Indices!$A:$P,0,MATCH("IRL",Indices!$1:$1,0)),"2030-T4")),""))</f>
        <v/>
      </c>
    </row>
    <row r="34">
      <c r="A34" s="5" t="n">
        <v>2031</v>
      </c>
      <c r="B34" s="28">
        <f>IF(OR("2031-T1"="","ILC"=""),"",IFERROR(IF(SUMIFS(INDEX(Indices!$A:$P,0,MATCH("ILC",Indices!$1:$1,0)+1),INDEX(Indices!$A:$P,0,MATCH("ILC",Indices!$1:$1,0)),"2031-T1")=0,"",SUMIFS(INDEX(Indices!$A:$P,0,MATCH("ILC",Indices!$1:$1,0)+1),INDEX(Indices!$A:$P,0,MATCH("ILC",Indices!$1:$1,0)),"2031-T1")),""))</f>
        <v/>
      </c>
      <c r="C34" s="28">
        <f>IF(OR("2031-T2"="","ILC"=""),"",IFERROR(IF(SUMIFS(INDEX(Indices!$A:$P,0,MATCH("ILC",Indices!$1:$1,0)+1),INDEX(Indices!$A:$P,0,MATCH("ILC",Indices!$1:$1,0)),"2031-T2")=0,"",SUMIFS(INDEX(Indices!$A:$P,0,MATCH("ILC",Indices!$1:$1,0)+1),INDEX(Indices!$A:$P,0,MATCH("ILC",Indices!$1:$1,0)),"2031-T2")),""))</f>
        <v/>
      </c>
      <c r="D34" s="28">
        <f>IF(OR("2031-T3"="","ILC"=""),"",IFERROR(IF(SUMIFS(INDEX(Indices!$A:$P,0,MATCH("ILC",Indices!$1:$1,0)+1),INDEX(Indices!$A:$P,0,MATCH("ILC",Indices!$1:$1,0)),"2031-T3")=0,"",SUMIFS(INDEX(Indices!$A:$P,0,MATCH("ILC",Indices!$1:$1,0)+1),INDEX(Indices!$A:$P,0,MATCH("ILC",Indices!$1:$1,0)),"2031-T3")),""))</f>
        <v/>
      </c>
      <c r="E34" s="28">
        <f>IF(OR("2031-T4"="","ILC"=""),"",IFERROR(IF(SUMIFS(INDEX(Indices!$A:$P,0,MATCH("ILC",Indices!$1:$1,0)+1),INDEX(Indices!$A:$P,0,MATCH("ILC",Indices!$1:$1,0)),"2031-T4")=0,"",SUMIFS(INDEX(Indices!$A:$P,0,MATCH("ILC",Indices!$1:$1,0)+1),INDEX(Indices!$A:$P,0,MATCH("ILC",Indices!$1:$1,0)),"2031-T4")),""))</f>
        <v/>
      </c>
      <c r="F34" s="28">
        <f>IF(OR("2031-T1"="","ILAT"=""),"",IFERROR(IF(SUMIFS(INDEX(Indices!$A:$P,0,MATCH("ILAT",Indices!$1:$1,0)+1),INDEX(Indices!$A:$P,0,MATCH("ILAT",Indices!$1:$1,0)),"2031-T1")=0,"",SUMIFS(INDEX(Indices!$A:$P,0,MATCH("ILAT",Indices!$1:$1,0)+1),INDEX(Indices!$A:$P,0,MATCH("ILAT",Indices!$1:$1,0)),"2031-T1")),""))</f>
        <v/>
      </c>
      <c r="G34" s="28">
        <f>IF(OR("2031-T2"="","ILAT"=""),"",IFERROR(IF(SUMIFS(INDEX(Indices!$A:$P,0,MATCH("ILAT",Indices!$1:$1,0)+1),INDEX(Indices!$A:$P,0,MATCH("ILAT",Indices!$1:$1,0)),"2031-T2")=0,"",SUMIFS(INDEX(Indices!$A:$P,0,MATCH("ILAT",Indices!$1:$1,0)+1),INDEX(Indices!$A:$P,0,MATCH("ILAT",Indices!$1:$1,0)),"2031-T2")),""))</f>
        <v/>
      </c>
      <c r="H34" s="28">
        <f>IF(OR("2031-T3"="","ILAT"=""),"",IFERROR(IF(SUMIFS(INDEX(Indices!$A:$P,0,MATCH("ILAT",Indices!$1:$1,0)+1),INDEX(Indices!$A:$P,0,MATCH("ILAT",Indices!$1:$1,0)),"2031-T3")=0,"",SUMIFS(INDEX(Indices!$A:$P,0,MATCH("ILAT",Indices!$1:$1,0)+1),INDEX(Indices!$A:$P,0,MATCH("ILAT",Indices!$1:$1,0)),"2031-T3")),""))</f>
        <v/>
      </c>
      <c r="I34" s="28">
        <f>IF(OR("2031-T4"="","ILAT"=""),"",IFERROR(IF(SUMIFS(INDEX(Indices!$A:$P,0,MATCH("ILAT",Indices!$1:$1,0)+1),INDEX(Indices!$A:$P,0,MATCH("ILAT",Indices!$1:$1,0)),"2031-T4")=0,"",SUMIFS(INDEX(Indices!$A:$P,0,MATCH("ILAT",Indices!$1:$1,0)+1),INDEX(Indices!$A:$P,0,MATCH("ILAT",Indices!$1:$1,0)),"2031-T4")),""))</f>
        <v/>
      </c>
      <c r="J34" s="29">
        <f>IF(OR("2031-T1"="","ICC"=""),"",IFERROR(IF(SUMIFS(INDEX(Indices!$A:$P,0,MATCH("ICC",Indices!$1:$1,0)+1),INDEX(Indices!$A:$P,0,MATCH("ICC",Indices!$1:$1,0)),"2031-T1")=0,"",SUMIFS(INDEX(Indices!$A:$P,0,MATCH("ICC",Indices!$1:$1,0)+1),INDEX(Indices!$A:$P,0,MATCH("ICC",Indices!$1:$1,0)),"2031-T1")),""))</f>
        <v/>
      </c>
      <c r="K34" s="29">
        <f>IF(OR("2031-T2"="","ICC"=""),"",IFERROR(IF(SUMIFS(INDEX(Indices!$A:$P,0,MATCH("ICC",Indices!$1:$1,0)+1),INDEX(Indices!$A:$P,0,MATCH("ICC",Indices!$1:$1,0)),"2031-T2")=0,"",SUMIFS(INDEX(Indices!$A:$P,0,MATCH("ICC",Indices!$1:$1,0)+1),INDEX(Indices!$A:$P,0,MATCH("ICC",Indices!$1:$1,0)),"2031-T2")),""))</f>
        <v/>
      </c>
      <c r="L34" s="29">
        <f>IF(OR("2031-T3"="","ICC"=""),"",IFERROR(IF(SUMIFS(INDEX(Indices!$A:$P,0,MATCH("ICC",Indices!$1:$1,0)+1),INDEX(Indices!$A:$P,0,MATCH("ICC",Indices!$1:$1,0)),"2031-T3")=0,"",SUMIFS(INDEX(Indices!$A:$P,0,MATCH("ICC",Indices!$1:$1,0)+1),INDEX(Indices!$A:$P,0,MATCH("ICC",Indices!$1:$1,0)),"2031-T3")),""))</f>
        <v/>
      </c>
      <c r="M34" s="29">
        <f>IF(OR("2031-T4"="","ICC"=""),"",IFERROR(IF(SUMIFS(INDEX(Indices!$A:$P,0,MATCH("ICC",Indices!$1:$1,0)+1),INDEX(Indices!$A:$P,0,MATCH("ICC",Indices!$1:$1,0)),"2031-T4")=0,"",SUMIFS(INDEX(Indices!$A:$P,0,MATCH("ICC",Indices!$1:$1,0)+1),INDEX(Indices!$A:$P,0,MATCH("ICC",Indices!$1:$1,0)),"2031-T4")),""))</f>
        <v/>
      </c>
      <c r="N34" s="28">
        <f>IF(OR("2031-T1"="","IRL"=""),"",IFERROR(IF(SUMIFS(INDEX(Indices!$A:$P,0,MATCH("IRL",Indices!$1:$1,0)+1),INDEX(Indices!$A:$P,0,MATCH("IRL",Indices!$1:$1,0)),"2031-T1")=0,"",SUMIFS(INDEX(Indices!$A:$P,0,MATCH("IRL",Indices!$1:$1,0)+1),INDEX(Indices!$A:$P,0,MATCH("IRL",Indices!$1:$1,0)),"2031-T1")),""))</f>
        <v/>
      </c>
      <c r="O34" s="28">
        <f>IF(OR("2031-T2"="","IRL"=""),"",IFERROR(IF(SUMIFS(INDEX(Indices!$A:$P,0,MATCH("IRL",Indices!$1:$1,0)+1),INDEX(Indices!$A:$P,0,MATCH("IRL",Indices!$1:$1,0)),"2031-T2")=0,"",SUMIFS(INDEX(Indices!$A:$P,0,MATCH("IRL",Indices!$1:$1,0)+1),INDEX(Indices!$A:$P,0,MATCH("IRL",Indices!$1:$1,0)),"2031-T2")),""))</f>
        <v/>
      </c>
      <c r="P34" s="28">
        <f>IF(OR("2031-T3"="","IRL"=""),"",IFERROR(IF(SUMIFS(INDEX(Indices!$A:$P,0,MATCH("IRL",Indices!$1:$1,0)+1),INDEX(Indices!$A:$P,0,MATCH("IRL",Indices!$1:$1,0)),"2031-T3")=0,"",SUMIFS(INDEX(Indices!$A:$P,0,MATCH("IRL",Indices!$1:$1,0)+1),INDEX(Indices!$A:$P,0,MATCH("IRL",Indices!$1:$1,0)),"2031-T3")),""))</f>
        <v/>
      </c>
      <c r="Q34" s="28">
        <f>IF(OR("2031-T4"="","IRL"=""),"",IFERROR(IF(SUMIFS(INDEX(Indices!$A:$P,0,MATCH("IRL",Indices!$1:$1,0)+1),INDEX(Indices!$A:$P,0,MATCH("IRL",Indices!$1:$1,0)),"2031-T4")=0,"",SUMIFS(INDEX(Indices!$A:$P,0,MATCH("IRL",Indices!$1:$1,0)+1),INDEX(Indices!$A:$P,0,MATCH("IRL",Indices!$1:$1,0)),"2031-T4")),""))</f>
        <v/>
      </c>
    </row>
    <row r="35">
      <c r="A35" s="5" t="n">
        <v>2032</v>
      </c>
      <c r="B35" s="28">
        <f>IF(OR("2032-T1"="","ILC"=""),"",IFERROR(IF(SUMIFS(INDEX(Indices!$A:$P,0,MATCH("ILC",Indices!$1:$1,0)+1),INDEX(Indices!$A:$P,0,MATCH("ILC",Indices!$1:$1,0)),"2032-T1")=0,"",SUMIFS(INDEX(Indices!$A:$P,0,MATCH("ILC",Indices!$1:$1,0)+1),INDEX(Indices!$A:$P,0,MATCH("ILC",Indices!$1:$1,0)),"2032-T1")),""))</f>
        <v/>
      </c>
      <c r="C35" s="28">
        <f>IF(OR("2032-T2"="","ILC"=""),"",IFERROR(IF(SUMIFS(INDEX(Indices!$A:$P,0,MATCH("ILC",Indices!$1:$1,0)+1),INDEX(Indices!$A:$P,0,MATCH("ILC",Indices!$1:$1,0)),"2032-T2")=0,"",SUMIFS(INDEX(Indices!$A:$P,0,MATCH("ILC",Indices!$1:$1,0)+1),INDEX(Indices!$A:$P,0,MATCH("ILC",Indices!$1:$1,0)),"2032-T2")),""))</f>
        <v/>
      </c>
      <c r="D35" s="28">
        <f>IF(OR("2032-T3"="","ILC"=""),"",IFERROR(IF(SUMIFS(INDEX(Indices!$A:$P,0,MATCH("ILC",Indices!$1:$1,0)+1),INDEX(Indices!$A:$P,0,MATCH("ILC",Indices!$1:$1,0)),"2032-T3")=0,"",SUMIFS(INDEX(Indices!$A:$P,0,MATCH("ILC",Indices!$1:$1,0)+1),INDEX(Indices!$A:$P,0,MATCH("ILC",Indices!$1:$1,0)),"2032-T3")),""))</f>
        <v/>
      </c>
      <c r="E35" s="28">
        <f>IF(OR("2032-T4"="","ILC"=""),"",IFERROR(IF(SUMIFS(INDEX(Indices!$A:$P,0,MATCH("ILC",Indices!$1:$1,0)+1),INDEX(Indices!$A:$P,0,MATCH("ILC",Indices!$1:$1,0)),"2032-T4")=0,"",SUMIFS(INDEX(Indices!$A:$P,0,MATCH("ILC",Indices!$1:$1,0)+1),INDEX(Indices!$A:$P,0,MATCH("ILC",Indices!$1:$1,0)),"2032-T4")),""))</f>
        <v/>
      </c>
      <c r="F35" s="28">
        <f>IF(OR("2032-T1"="","ILAT"=""),"",IFERROR(IF(SUMIFS(INDEX(Indices!$A:$P,0,MATCH("ILAT",Indices!$1:$1,0)+1),INDEX(Indices!$A:$P,0,MATCH("ILAT",Indices!$1:$1,0)),"2032-T1")=0,"",SUMIFS(INDEX(Indices!$A:$P,0,MATCH("ILAT",Indices!$1:$1,0)+1),INDEX(Indices!$A:$P,0,MATCH("ILAT",Indices!$1:$1,0)),"2032-T1")),""))</f>
        <v/>
      </c>
      <c r="G35" s="28">
        <f>IF(OR("2032-T2"="","ILAT"=""),"",IFERROR(IF(SUMIFS(INDEX(Indices!$A:$P,0,MATCH("ILAT",Indices!$1:$1,0)+1),INDEX(Indices!$A:$P,0,MATCH("ILAT",Indices!$1:$1,0)),"2032-T2")=0,"",SUMIFS(INDEX(Indices!$A:$P,0,MATCH("ILAT",Indices!$1:$1,0)+1),INDEX(Indices!$A:$P,0,MATCH("ILAT",Indices!$1:$1,0)),"2032-T2")),""))</f>
        <v/>
      </c>
      <c r="H35" s="28">
        <f>IF(OR("2032-T3"="","ILAT"=""),"",IFERROR(IF(SUMIFS(INDEX(Indices!$A:$P,0,MATCH("ILAT",Indices!$1:$1,0)+1),INDEX(Indices!$A:$P,0,MATCH("ILAT",Indices!$1:$1,0)),"2032-T3")=0,"",SUMIFS(INDEX(Indices!$A:$P,0,MATCH("ILAT",Indices!$1:$1,0)+1),INDEX(Indices!$A:$P,0,MATCH("ILAT",Indices!$1:$1,0)),"2032-T3")),""))</f>
        <v/>
      </c>
      <c r="I35" s="28">
        <f>IF(OR("2032-T4"="","ILAT"=""),"",IFERROR(IF(SUMIFS(INDEX(Indices!$A:$P,0,MATCH("ILAT",Indices!$1:$1,0)+1),INDEX(Indices!$A:$P,0,MATCH("ILAT",Indices!$1:$1,0)),"2032-T4")=0,"",SUMIFS(INDEX(Indices!$A:$P,0,MATCH("ILAT",Indices!$1:$1,0)+1),INDEX(Indices!$A:$P,0,MATCH("ILAT",Indices!$1:$1,0)),"2032-T4")),""))</f>
        <v/>
      </c>
      <c r="J35" s="29">
        <f>IF(OR("2032-T1"="","ICC"=""),"",IFERROR(IF(SUMIFS(INDEX(Indices!$A:$P,0,MATCH("ICC",Indices!$1:$1,0)+1),INDEX(Indices!$A:$P,0,MATCH("ICC",Indices!$1:$1,0)),"2032-T1")=0,"",SUMIFS(INDEX(Indices!$A:$P,0,MATCH("ICC",Indices!$1:$1,0)+1),INDEX(Indices!$A:$P,0,MATCH("ICC",Indices!$1:$1,0)),"2032-T1")),""))</f>
        <v/>
      </c>
      <c r="K35" s="29">
        <f>IF(OR("2032-T2"="","ICC"=""),"",IFERROR(IF(SUMIFS(INDEX(Indices!$A:$P,0,MATCH("ICC",Indices!$1:$1,0)+1),INDEX(Indices!$A:$P,0,MATCH("ICC",Indices!$1:$1,0)),"2032-T2")=0,"",SUMIFS(INDEX(Indices!$A:$P,0,MATCH("ICC",Indices!$1:$1,0)+1),INDEX(Indices!$A:$P,0,MATCH("ICC",Indices!$1:$1,0)),"2032-T2")),""))</f>
        <v/>
      </c>
      <c r="L35" s="29">
        <f>IF(OR("2032-T3"="","ICC"=""),"",IFERROR(IF(SUMIFS(INDEX(Indices!$A:$P,0,MATCH("ICC",Indices!$1:$1,0)+1),INDEX(Indices!$A:$P,0,MATCH("ICC",Indices!$1:$1,0)),"2032-T3")=0,"",SUMIFS(INDEX(Indices!$A:$P,0,MATCH("ICC",Indices!$1:$1,0)+1),INDEX(Indices!$A:$P,0,MATCH("ICC",Indices!$1:$1,0)),"2032-T3")),""))</f>
        <v/>
      </c>
      <c r="M35" s="29">
        <f>IF(OR("2032-T4"="","ICC"=""),"",IFERROR(IF(SUMIFS(INDEX(Indices!$A:$P,0,MATCH("ICC",Indices!$1:$1,0)+1),INDEX(Indices!$A:$P,0,MATCH("ICC",Indices!$1:$1,0)),"2032-T4")=0,"",SUMIFS(INDEX(Indices!$A:$P,0,MATCH("ICC",Indices!$1:$1,0)+1),INDEX(Indices!$A:$P,0,MATCH("ICC",Indices!$1:$1,0)),"2032-T4")),""))</f>
        <v/>
      </c>
      <c r="N35" s="28">
        <f>IF(OR("2032-T1"="","IRL"=""),"",IFERROR(IF(SUMIFS(INDEX(Indices!$A:$P,0,MATCH("IRL",Indices!$1:$1,0)+1),INDEX(Indices!$A:$P,0,MATCH("IRL",Indices!$1:$1,0)),"2032-T1")=0,"",SUMIFS(INDEX(Indices!$A:$P,0,MATCH("IRL",Indices!$1:$1,0)+1),INDEX(Indices!$A:$P,0,MATCH("IRL",Indices!$1:$1,0)),"2032-T1")),""))</f>
        <v/>
      </c>
      <c r="O35" s="28">
        <f>IF(OR("2032-T2"="","IRL"=""),"",IFERROR(IF(SUMIFS(INDEX(Indices!$A:$P,0,MATCH("IRL",Indices!$1:$1,0)+1),INDEX(Indices!$A:$P,0,MATCH("IRL",Indices!$1:$1,0)),"2032-T2")=0,"",SUMIFS(INDEX(Indices!$A:$P,0,MATCH("IRL",Indices!$1:$1,0)+1),INDEX(Indices!$A:$P,0,MATCH("IRL",Indices!$1:$1,0)),"2032-T2")),""))</f>
        <v/>
      </c>
      <c r="P35" s="28">
        <f>IF(OR("2032-T3"="","IRL"=""),"",IFERROR(IF(SUMIFS(INDEX(Indices!$A:$P,0,MATCH("IRL",Indices!$1:$1,0)+1),INDEX(Indices!$A:$P,0,MATCH("IRL",Indices!$1:$1,0)),"2032-T3")=0,"",SUMIFS(INDEX(Indices!$A:$P,0,MATCH("IRL",Indices!$1:$1,0)+1),INDEX(Indices!$A:$P,0,MATCH("IRL",Indices!$1:$1,0)),"2032-T3")),""))</f>
        <v/>
      </c>
      <c r="Q35" s="28">
        <f>IF(OR("2032-T4"="","IRL"=""),"",IFERROR(IF(SUMIFS(INDEX(Indices!$A:$P,0,MATCH("IRL",Indices!$1:$1,0)+1),INDEX(Indices!$A:$P,0,MATCH("IRL",Indices!$1:$1,0)),"2032-T4")=0,"",SUMIFS(INDEX(Indices!$A:$P,0,MATCH("IRL",Indices!$1:$1,0)+1),INDEX(Indices!$A:$P,0,MATCH("IRL",Indices!$1:$1,0)),"2032-T4")),""))</f>
        <v/>
      </c>
    </row>
    <row r="36">
      <c r="A36" s="5" t="n">
        <v>2033</v>
      </c>
      <c r="B36" s="28">
        <f>IF(OR("2033-T1"="","ILC"=""),"",IFERROR(IF(SUMIFS(INDEX(Indices!$A:$P,0,MATCH("ILC",Indices!$1:$1,0)+1),INDEX(Indices!$A:$P,0,MATCH("ILC",Indices!$1:$1,0)),"2033-T1")=0,"",SUMIFS(INDEX(Indices!$A:$P,0,MATCH("ILC",Indices!$1:$1,0)+1),INDEX(Indices!$A:$P,0,MATCH("ILC",Indices!$1:$1,0)),"2033-T1")),""))</f>
        <v/>
      </c>
      <c r="C36" s="28">
        <f>IF(OR("2033-T2"="","ILC"=""),"",IFERROR(IF(SUMIFS(INDEX(Indices!$A:$P,0,MATCH("ILC",Indices!$1:$1,0)+1),INDEX(Indices!$A:$P,0,MATCH("ILC",Indices!$1:$1,0)),"2033-T2")=0,"",SUMIFS(INDEX(Indices!$A:$P,0,MATCH("ILC",Indices!$1:$1,0)+1),INDEX(Indices!$A:$P,0,MATCH("ILC",Indices!$1:$1,0)),"2033-T2")),""))</f>
        <v/>
      </c>
      <c r="D36" s="28">
        <f>IF(OR("2033-T3"="","ILC"=""),"",IFERROR(IF(SUMIFS(INDEX(Indices!$A:$P,0,MATCH("ILC",Indices!$1:$1,0)+1),INDEX(Indices!$A:$P,0,MATCH("ILC",Indices!$1:$1,0)),"2033-T3")=0,"",SUMIFS(INDEX(Indices!$A:$P,0,MATCH("ILC",Indices!$1:$1,0)+1),INDEX(Indices!$A:$P,0,MATCH("ILC",Indices!$1:$1,0)),"2033-T3")),""))</f>
        <v/>
      </c>
      <c r="E36" s="28">
        <f>IF(OR("2033-T4"="","ILC"=""),"",IFERROR(IF(SUMIFS(INDEX(Indices!$A:$P,0,MATCH("ILC",Indices!$1:$1,0)+1),INDEX(Indices!$A:$P,0,MATCH("ILC",Indices!$1:$1,0)),"2033-T4")=0,"",SUMIFS(INDEX(Indices!$A:$P,0,MATCH("ILC",Indices!$1:$1,0)+1),INDEX(Indices!$A:$P,0,MATCH("ILC",Indices!$1:$1,0)),"2033-T4")),""))</f>
        <v/>
      </c>
      <c r="F36" s="28">
        <f>IF(OR("2033-T1"="","ILAT"=""),"",IFERROR(IF(SUMIFS(INDEX(Indices!$A:$P,0,MATCH("ILAT",Indices!$1:$1,0)+1),INDEX(Indices!$A:$P,0,MATCH("ILAT",Indices!$1:$1,0)),"2033-T1")=0,"",SUMIFS(INDEX(Indices!$A:$P,0,MATCH("ILAT",Indices!$1:$1,0)+1),INDEX(Indices!$A:$P,0,MATCH("ILAT",Indices!$1:$1,0)),"2033-T1")),""))</f>
        <v/>
      </c>
      <c r="G36" s="28">
        <f>IF(OR("2033-T2"="","ILAT"=""),"",IFERROR(IF(SUMIFS(INDEX(Indices!$A:$P,0,MATCH("ILAT",Indices!$1:$1,0)+1),INDEX(Indices!$A:$P,0,MATCH("ILAT",Indices!$1:$1,0)),"2033-T2")=0,"",SUMIFS(INDEX(Indices!$A:$P,0,MATCH("ILAT",Indices!$1:$1,0)+1),INDEX(Indices!$A:$P,0,MATCH("ILAT",Indices!$1:$1,0)),"2033-T2")),""))</f>
        <v/>
      </c>
      <c r="H36" s="28">
        <f>IF(OR("2033-T3"="","ILAT"=""),"",IFERROR(IF(SUMIFS(INDEX(Indices!$A:$P,0,MATCH("ILAT",Indices!$1:$1,0)+1),INDEX(Indices!$A:$P,0,MATCH("ILAT",Indices!$1:$1,0)),"2033-T3")=0,"",SUMIFS(INDEX(Indices!$A:$P,0,MATCH("ILAT",Indices!$1:$1,0)+1),INDEX(Indices!$A:$P,0,MATCH("ILAT",Indices!$1:$1,0)),"2033-T3")),""))</f>
        <v/>
      </c>
      <c r="I36" s="28">
        <f>IF(OR("2033-T4"="","ILAT"=""),"",IFERROR(IF(SUMIFS(INDEX(Indices!$A:$P,0,MATCH("ILAT",Indices!$1:$1,0)+1),INDEX(Indices!$A:$P,0,MATCH("ILAT",Indices!$1:$1,0)),"2033-T4")=0,"",SUMIFS(INDEX(Indices!$A:$P,0,MATCH("ILAT",Indices!$1:$1,0)+1),INDEX(Indices!$A:$P,0,MATCH("ILAT",Indices!$1:$1,0)),"2033-T4")),""))</f>
        <v/>
      </c>
      <c r="J36" s="29">
        <f>IF(OR("2033-T1"="","ICC"=""),"",IFERROR(IF(SUMIFS(INDEX(Indices!$A:$P,0,MATCH("ICC",Indices!$1:$1,0)+1),INDEX(Indices!$A:$P,0,MATCH("ICC",Indices!$1:$1,0)),"2033-T1")=0,"",SUMIFS(INDEX(Indices!$A:$P,0,MATCH("ICC",Indices!$1:$1,0)+1),INDEX(Indices!$A:$P,0,MATCH("ICC",Indices!$1:$1,0)),"2033-T1")),""))</f>
        <v/>
      </c>
      <c r="K36" s="29">
        <f>IF(OR("2033-T2"="","ICC"=""),"",IFERROR(IF(SUMIFS(INDEX(Indices!$A:$P,0,MATCH("ICC",Indices!$1:$1,0)+1),INDEX(Indices!$A:$P,0,MATCH("ICC",Indices!$1:$1,0)),"2033-T2")=0,"",SUMIFS(INDEX(Indices!$A:$P,0,MATCH("ICC",Indices!$1:$1,0)+1),INDEX(Indices!$A:$P,0,MATCH("ICC",Indices!$1:$1,0)),"2033-T2")),""))</f>
        <v/>
      </c>
      <c r="L36" s="29">
        <f>IF(OR("2033-T3"="","ICC"=""),"",IFERROR(IF(SUMIFS(INDEX(Indices!$A:$P,0,MATCH("ICC",Indices!$1:$1,0)+1),INDEX(Indices!$A:$P,0,MATCH("ICC",Indices!$1:$1,0)),"2033-T3")=0,"",SUMIFS(INDEX(Indices!$A:$P,0,MATCH("ICC",Indices!$1:$1,0)+1),INDEX(Indices!$A:$P,0,MATCH("ICC",Indices!$1:$1,0)),"2033-T3")),""))</f>
        <v/>
      </c>
      <c r="M36" s="29">
        <f>IF(OR("2033-T4"="","ICC"=""),"",IFERROR(IF(SUMIFS(INDEX(Indices!$A:$P,0,MATCH("ICC",Indices!$1:$1,0)+1),INDEX(Indices!$A:$P,0,MATCH("ICC",Indices!$1:$1,0)),"2033-T4")=0,"",SUMIFS(INDEX(Indices!$A:$P,0,MATCH("ICC",Indices!$1:$1,0)+1),INDEX(Indices!$A:$P,0,MATCH("ICC",Indices!$1:$1,0)),"2033-T4")),""))</f>
        <v/>
      </c>
      <c r="N36" s="28">
        <f>IF(OR("2033-T1"="","IRL"=""),"",IFERROR(IF(SUMIFS(INDEX(Indices!$A:$P,0,MATCH("IRL",Indices!$1:$1,0)+1),INDEX(Indices!$A:$P,0,MATCH("IRL",Indices!$1:$1,0)),"2033-T1")=0,"",SUMIFS(INDEX(Indices!$A:$P,0,MATCH("IRL",Indices!$1:$1,0)+1),INDEX(Indices!$A:$P,0,MATCH("IRL",Indices!$1:$1,0)),"2033-T1")),""))</f>
        <v/>
      </c>
      <c r="O36" s="28">
        <f>IF(OR("2033-T2"="","IRL"=""),"",IFERROR(IF(SUMIFS(INDEX(Indices!$A:$P,0,MATCH("IRL",Indices!$1:$1,0)+1),INDEX(Indices!$A:$P,0,MATCH("IRL",Indices!$1:$1,0)),"2033-T2")=0,"",SUMIFS(INDEX(Indices!$A:$P,0,MATCH("IRL",Indices!$1:$1,0)+1),INDEX(Indices!$A:$P,0,MATCH("IRL",Indices!$1:$1,0)),"2033-T2")),""))</f>
        <v/>
      </c>
      <c r="P36" s="28">
        <f>IF(OR("2033-T3"="","IRL"=""),"",IFERROR(IF(SUMIFS(INDEX(Indices!$A:$P,0,MATCH("IRL",Indices!$1:$1,0)+1),INDEX(Indices!$A:$P,0,MATCH("IRL",Indices!$1:$1,0)),"2033-T3")=0,"",SUMIFS(INDEX(Indices!$A:$P,0,MATCH("IRL",Indices!$1:$1,0)+1),INDEX(Indices!$A:$P,0,MATCH("IRL",Indices!$1:$1,0)),"2033-T3")),""))</f>
        <v/>
      </c>
      <c r="Q36" s="28">
        <f>IF(OR("2033-T4"="","IRL"=""),"",IFERROR(IF(SUMIFS(INDEX(Indices!$A:$P,0,MATCH("IRL",Indices!$1:$1,0)+1),INDEX(Indices!$A:$P,0,MATCH("IRL",Indices!$1:$1,0)),"2033-T4")=0,"",SUMIFS(INDEX(Indices!$A:$P,0,MATCH("IRL",Indices!$1:$1,0)+1),INDEX(Indices!$A:$P,0,MATCH("IRL",Indices!$1:$1,0)),"2033-T4")),""))</f>
        <v/>
      </c>
    </row>
    <row r="37">
      <c r="A37" s="5" t="n">
        <v>2034</v>
      </c>
      <c r="B37" s="28">
        <f>IF(OR("2034-T1"="","ILC"=""),"",IFERROR(IF(SUMIFS(INDEX(Indices!$A:$P,0,MATCH("ILC",Indices!$1:$1,0)+1),INDEX(Indices!$A:$P,0,MATCH("ILC",Indices!$1:$1,0)),"2034-T1")=0,"",SUMIFS(INDEX(Indices!$A:$P,0,MATCH("ILC",Indices!$1:$1,0)+1),INDEX(Indices!$A:$P,0,MATCH("ILC",Indices!$1:$1,0)),"2034-T1")),""))</f>
        <v/>
      </c>
      <c r="C37" s="28">
        <f>IF(OR("2034-T2"="","ILC"=""),"",IFERROR(IF(SUMIFS(INDEX(Indices!$A:$P,0,MATCH("ILC",Indices!$1:$1,0)+1),INDEX(Indices!$A:$P,0,MATCH("ILC",Indices!$1:$1,0)),"2034-T2")=0,"",SUMIFS(INDEX(Indices!$A:$P,0,MATCH("ILC",Indices!$1:$1,0)+1),INDEX(Indices!$A:$P,0,MATCH("ILC",Indices!$1:$1,0)),"2034-T2")),""))</f>
        <v/>
      </c>
      <c r="D37" s="28">
        <f>IF(OR("2034-T3"="","ILC"=""),"",IFERROR(IF(SUMIFS(INDEX(Indices!$A:$P,0,MATCH("ILC",Indices!$1:$1,0)+1),INDEX(Indices!$A:$P,0,MATCH("ILC",Indices!$1:$1,0)),"2034-T3")=0,"",SUMIFS(INDEX(Indices!$A:$P,0,MATCH("ILC",Indices!$1:$1,0)+1),INDEX(Indices!$A:$P,0,MATCH("ILC",Indices!$1:$1,0)),"2034-T3")),""))</f>
        <v/>
      </c>
      <c r="E37" s="28">
        <f>IF(OR("2034-T4"="","ILC"=""),"",IFERROR(IF(SUMIFS(INDEX(Indices!$A:$P,0,MATCH("ILC",Indices!$1:$1,0)+1),INDEX(Indices!$A:$P,0,MATCH("ILC",Indices!$1:$1,0)),"2034-T4")=0,"",SUMIFS(INDEX(Indices!$A:$P,0,MATCH("ILC",Indices!$1:$1,0)+1),INDEX(Indices!$A:$P,0,MATCH("ILC",Indices!$1:$1,0)),"2034-T4")),""))</f>
        <v/>
      </c>
      <c r="F37" s="28">
        <f>IF(OR("2034-T1"="","ILAT"=""),"",IFERROR(IF(SUMIFS(INDEX(Indices!$A:$P,0,MATCH("ILAT",Indices!$1:$1,0)+1),INDEX(Indices!$A:$P,0,MATCH("ILAT",Indices!$1:$1,0)),"2034-T1")=0,"",SUMIFS(INDEX(Indices!$A:$P,0,MATCH("ILAT",Indices!$1:$1,0)+1),INDEX(Indices!$A:$P,0,MATCH("ILAT",Indices!$1:$1,0)),"2034-T1")),""))</f>
        <v/>
      </c>
      <c r="G37" s="28">
        <f>IF(OR("2034-T2"="","ILAT"=""),"",IFERROR(IF(SUMIFS(INDEX(Indices!$A:$P,0,MATCH("ILAT",Indices!$1:$1,0)+1),INDEX(Indices!$A:$P,0,MATCH("ILAT",Indices!$1:$1,0)),"2034-T2")=0,"",SUMIFS(INDEX(Indices!$A:$P,0,MATCH("ILAT",Indices!$1:$1,0)+1),INDEX(Indices!$A:$P,0,MATCH("ILAT",Indices!$1:$1,0)),"2034-T2")),""))</f>
        <v/>
      </c>
      <c r="H37" s="28">
        <f>IF(OR("2034-T3"="","ILAT"=""),"",IFERROR(IF(SUMIFS(INDEX(Indices!$A:$P,0,MATCH("ILAT",Indices!$1:$1,0)+1),INDEX(Indices!$A:$P,0,MATCH("ILAT",Indices!$1:$1,0)),"2034-T3")=0,"",SUMIFS(INDEX(Indices!$A:$P,0,MATCH("ILAT",Indices!$1:$1,0)+1),INDEX(Indices!$A:$P,0,MATCH("ILAT",Indices!$1:$1,0)),"2034-T3")),""))</f>
        <v/>
      </c>
      <c r="I37" s="28">
        <f>IF(OR("2034-T4"="","ILAT"=""),"",IFERROR(IF(SUMIFS(INDEX(Indices!$A:$P,0,MATCH("ILAT",Indices!$1:$1,0)+1),INDEX(Indices!$A:$P,0,MATCH("ILAT",Indices!$1:$1,0)),"2034-T4")=0,"",SUMIFS(INDEX(Indices!$A:$P,0,MATCH("ILAT",Indices!$1:$1,0)+1),INDEX(Indices!$A:$P,0,MATCH("ILAT",Indices!$1:$1,0)),"2034-T4")),""))</f>
        <v/>
      </c>
      <c r="J37" s="29">
        <f>IF(OR("2034-T1"="","ICC"=""),"",IFERROR(IF(SUMIFS(INDEX(Indices!$A:$P,0,MATCH("ICC",Indices!$1:$1,0)+1),INDEX(Indices!$A:$P,0,MATCH("ICC",Indices!$1:$1,0)),"2034-T1")=0,"",SUMIFS(INDEX(Indices!$A:$P,0,MATCH("ICC",Indices!$1:$1,0)+1),INDEX(Indices!$A:$P,0,MATCH("ICC",Indices!$1:$1,0)),"2034-T1")),""))</f>
        <v/>
      </c>
      <c r="K37" s="29">
        <f>IF(OR("2034-T2"="","ICC"=""),"",IFERROR(IF(SUMIFS(INDEX(Indices!$A:$P,0,MATCH("ICC",Indices!$1:$1,0)+1),INDEX(Indices!$A:$P,0,MATCH("ICC",Indices!$1:$1,0)),"2034-T2")=0,"",SUMIFS(INDEX(Indices!$A:$P,0,MATCH("ICC",Indices!$1:$1,0)+1),INDEX(Indices!$A:$P,0,MATCH("ICC",Indices!$1:$1,0)),"2034-T2")),""))</f>
        <v/>
      </c>
      <c r="L37" s="29">
        <f>IF(OR("2034-T3"="","ICC"=""),"",IFERROR(IF(SUMIFS(INDEX(Indices!$A:$P,0,MATCH("ICC",Indices!$1:$1,0)+1),INDEX(Indices!$A:$P,0,MATCH("ICC",Indices!$1:$1,0)),"2034-T3")=0,"",SUMIFS(INDEX(Indices!$A:$P,0,MATCH("ICC",Indices!$1:$1,0)+1),INDEX(Indices!$A:$P,0,MATCH("ICC",Indices!$1:$1,0)),"2034-T3")),""))</f>
        <v/>
      </c>
      <c r="M37" s="29">
        <f>IF(OR("2034-T4"="","ICC"=""),"",IFERROR(IF(SUMIFS(INDEX(Indices!$A:$P,0,MATCH("ICC",Indices!$1:$1,0)+1),INDEX(Indices!$A:$P,0,MATCH("ICC",Indices!$1:$1,0)),"2034-T4")=0,"",SUMIFS(INDEX(Indices!$A:$P,0,MATCH("ICC",Indices!$1:$1,0)+1),INDEX(Indices!$A:$P,0,MATCH("ICC",Indices!$1:$1,0)),"2034-T4")),""))</f>
        <v/>
      </c>
      <c r="N37" s="28">
        <f>IF(OR("2034-T1"="","IRL"=""),"",IFERROR(IF(SUMIFS(INDEX(Indices!$A:$P,0,MATCH("IRL",Indices!$1:$1,0)+1),INDEX(Indices!$A:$P,0,MATCH("IRL",Indices!$1:$1,0)),"2034-T1")=0,"",SUMIFS(INDEX(Indices!$A:$P,0,MATCH("IRL",Indices!$1:$1,0)+1),INDEX(Indices!$A:$P,0,MATCH("IRL",Indices!$1:$1,0)),"2034-T1")),""))</f>
        <v/>
      </c>
      <c r="O37" s="28">
        <f>IF(OR("2034-T2"="","IRL"=""),"",IFERROR(IF(SUMIFS(INDEX(Indices!$A:$P,0,MATCH("IRL",Indices!$1:$1,0)+1),INDEX(Indices!$A:$P,0,MATCH("IRL",Indices!$1:$1,0)),"2034-T2")=0,"",SUMIFS(INDEX(Indices!$A:$P,0,MATCH("IRL",Indices!$1:$1,0)+1),INDEX(Indices!$A:$P,0,MATCH("IRL",Indices!$1:$1,0)),"2034-T2")),""))</f>
        <v/>
      </c>
      <c r="P37" s="28">
        <f>IF(OR("2034-T3"="","IRL"=""),"",IFERROR(IF(SUMIFS(INDEX(Indices!$A:$P,0,MATCH("IRL",Indices!$1:$1,0)+1),INDEX(Indices!$A:$P,0,MATCH("IRL",Indices!$1:$1,0)),"2034-T3")=0,"",SUMIFS(INDEX(Indices!$A:$P,0,MATCH("IRL",Indices!$1:$1,0)+1),INDEX(Indices!$A:$P,0,MATCH("IRL",Indices!$1:$1,0)),"2034-T3")),""))</f>
        <v/>
      </c>
      <c r="Q37" s="28">
        <f>IF(OR("2034-T4"="","IRL"=""),"",IFERROR(IF(SUMIFS(INDEX(Indices!$A:$P,0,MATCH("IRL",Indices!$1:$1,0)+1),INDEX(Indices!$A:$P,0,MATCH("IRL",Indices!$1:$1,0)),"2034-T4")=0,"",SUMIFS(INDEX(Indices!$A:$P,0,MATCH("IRL",Indices!$1:$1,0)+1),INDEX(Indices!$A:$P,0,MATCH("IRL",Indices!$1:$1,0)),"2034-T4")),""))</f>
        <v/>
      </c>
    </row>
    <row r="38">
      <c r="A38" s="5" t="n">
        <v>2035</v>
      </c>
      <c r="B38" s="28">
        <f>IF(OR("2035-T1"="","ILC"=""),"",IFERROR(IF(SUMIFS(INDEX(Indices!$A:$P,0,MATCH("ILC",Indices!$1:$1,0)+1),INDEX(Indices!$A:$P,0,MATCH("ILC",Indices!$1:$1,0)),"2035-T1")=0,"",SUMIFS(INDEX(Indices!$A:$P,0,MATCH("ILC",Indices!$1:$1,0)+1),INDEX(Indices!$A:$P,0,MATCH("ILC",Indices!$1:$1,0)),"2035-T1")),""))</f>
        <v/>
      </c>
      <c r="C38" s="28">
        <f>IF(OR("2035-T2"="","ILC"=""),"",IFERROR(IF(SUMIFS(INDEX(Indices!$A:$P,0,MATCH("ILC",Indices!$1:$1,0)+1),INDEX(Indices!$A:$P,0,MATCH("ILC",Indices!$1:$1,0)),"2035-T2")=0,"",SUMIFS(INDEX(Indices!$A:$P,0,MATCH("ILC",Indices!$1:$1,0)+1),INDEX(Indices!$A:$P,0,MATCH("ILC",Indices!$1:$1,0)),"2035-T2")),""))</f>
        <v/>
      </c>
      <c r="D38" s="28">
        <f>IF(OR("2035-T3"="","ILC"=""),"",IFERROR(IF(SUMIFS(INDEX(Indices!$A:$P,0,MATCH("ILC",Indices!$1:$1,0)+1),INDEX(Indices!$A:$P,0,MATCH("ILC",Indices!$1:$1,0)),"2035-T3")=0,"",SUMIFS(INDEX(Indices!$A:$P,0,MATCH("ILC",Indices!$1:$1,0)+1),INDEX(Indices!$A:$P,0,MATCH("ILC",Indices!$1:$1,0)),"2035-T3")),""))</f>
        <v/>
      </c>
      <c r="E38" s="28">
        <f>IF(OR("2035-T4"="","ILC"=""),"",IFERROR(IF(SUMIFS(INDEX(Indices!$A:$P,0,MATCH("ILC",Indices!$1:$1,0)+1),INDEX(Indices!$A:$P,0,MATCH("ILC",Indices!$1:$1,0)),"2035-T4")=0,"",SUMIFS(INDEX(Indices!$A:$P,0,MATCH("ILC",Indices!$1:$1,0)+1),INDEX(Indices!$A:$P,0,MATCH("ILC",Indices!$1:$1,0)),"2035-T4")),""))</f>
        <v/>
      </c>
      <c r="F38" s="28">
        <f>IF(OR("2035-T1"="","ILAT"=""),"",IFERROR(IF(SUMIFS(INDEX(Indices!$A:$P,0,MATCH("ILAT",Indices!$1:$1,0)+1),INDEX(Indices!$A:$P,0,MATCH("ILAT",Indices!$1:$1,0)),"2035-T1")=0,"",SUMIFS(INDEX(Indices!$A:$P,0,MATCH("ILAT",Indices!$1:$1,0)+1),INDEX(Indices!$A:$P,0,MATCH("ILAT",Indices!$1:$1,0)),"2035-T1")),""))</f>
        <v/>
      </c>
      <c r="G38" s="28">
        <f>IF(OR("2035-T2"="","ILAT"=""),"",IFERROR(IF(SUMIFS(INDEX(Indices!$A:$P,0,MATCH("ILAT",Indices!$1:$1,0)+1),INDEX(Indices!$A:$P,0,MATCH("ILAT",Indices!$1:$1,0)),"2035-T2")=0,"",SUMIFS(INDEX(Indices!$A:$P,0,MATCH("ILAT",Indices!$1:$1,0)+1),INDEX(Indices!$A:$P,0,MATCH("ILAT",Indices!$1:$1,0)),"2035-T2")),""))</f>
        <v/>
      </c>
      <c r="H38" s="28">
        <f>IF(OR("2035-T3"="","ILAT"=""),"",IFERROR(IF(SUMIFS(INDEX(Indices!$A:$P,0,MATCH("ILAT",Indices!$1:$1,0)+1),INDEX(Indices!$A:$P,0,MATCH("ILAT",Indices!$1:$1,0)),"2035-T3")=0,"",SUMIFS(INDEX(Indices!$A:$P,0,MATCH("ILAT",Indices!$1:$1,0)+1),INDEX(Indices!$A:$P,0,MATCH("ILAT",Indices!$1:$1,0)),"2035-T3")),""))</f>
        <v/>
      </c>
      <c r="I38" s="28">
        <f>IF(OR("2035-T4"="","ILAT"=""),"",IFERROR(IF(SUMIFS(INDEX(Indices!$A:$P,0,MATCH("ILAT",Indices!$1:$1,0)+1),INDEX(Indices!$A:$P,0,MATCH("ILAT",Indices!$1:$1,0)),"2035-T4")=0,"",SUMIFS(INDEX(Indices!$A:$P,0,MATCH("ILAT",Indices!$1:$1,0)+1),INDEX(Indices!$A:$P,0,MATCH("ILAT",Indices!$1:$1,0)),"2035-T4")),""))</f>
        <v/>
      </c>
      <c r="J38" s="29">
        <f>IF(OR("2035-T1"="","ICC"=""),"",IFERROR(IF(SUMIFS(INDEX(Indices!$A:$P,0,MATCH("ICC",Indices!$1:$1,0)+1),INDEX(Indices!$A:$P,0,MATCH("ICC",Indices!$1:$1,0)),"2035-T1")=0,"",SUMIFS(INDEX(Indices!$A:$P,0,MATCH("ICC",Indices!$1:$1,0)+1),INDEX(Indices!$A:$P,0,MATCH("ICC",Indices!$1:$1,0)),"2035-T1")),""))</f>
        <v/>
      </c>
      <c r="K38" s="29">
        <f>IF(OR("2035-T2"="","ICC"=""),"",IFERROR(IF(SUMIFS(INDEX(Indices!$A:$P,0,MATCH("ICC",Indices!$1:$1,0)+1),INDEX(Indices!$A:$P,0,MATCH("ICC",Indices!$1:$1,0)),"2035-T2")=0,"",SUMIFS(INDEX(Indices!$A:$P,0,MATCH("ICC",Indices!$1:$1,0)+1),INDEX(Indices!$A:$P,0,MATCH("ICC",Indices!$1:$1,0)),"2035-T2")),""))</f>
        <v/>
      </c>
      <c r="L38" s="29">
        <f>IF(OR("2035-T3"="","ICC"=""),"",IFERROR(IF(SUMIFS(INDEX(Indices!$A:$P,0,MATCH("ICC",Indices!$1:$1,0)+1),INDEX(Indices!$A:$P,0,MATCH("ICC",Indices!$1:$1,0)),"2035-T3")=0,"",SUMIFS(INDEX(Indices!$A:$P,0,MATCH("ICC",Indices!$1:$1,0)+1),INDEX(Indices!$A:$P,0,MATCH("ICC",Indices!$1:$1,0)),"2035-T3")),""))</f>
        <v/>
      </c>
      <c r="M38" s="29">
        <f>IF(OR("2035-T4"="","ICC"=""),"",IFERROR(IF(SUMIFS(INDEX(Indices!$A:$P,0,MATCH("ICC",Indices!$1:$1,0)+1),INDEX(Indices!$A:$P,0,MATCH("ICC",Indices!$1:$1,0)),"2035-T4")=0,"",SUMIFS(INDEX(Indices!$A:$P,0,MATCH("ICC",Indices!$1:$1,0)+1),INDEX(Indices!$A:$P,0,MATCH("ICC",Indices!$1:$1,0)),"2035-T4")),""))</f>
        <v/>
      </c>
      <c r="N38" s="28">
        <f>IF(OR("2035-T1"="","IRL"=""),"",IFERROR(IF(SUMIFS(INDEX(Indices!$A:$P,0,MATCH("IRL",Indices!$1:$1,0)+1),INDEX(Indices!$A:$P,0,MATCH("IRL",Indices!$1:$1,0)),"2035-T1")=0,"",SUMIFS(INDEX(Indices!$A:$P,0,MATCH("IRL",Indices!$1:$1,0)+1),INDEX(Indices!$A:$P,0,MATCH("IRL",Indices!$1:$1,0)),"2035-T1")),""))</f>
        <v/>
      </c>
      <c r="O38" s="28">
        <f>IF(OR("2035-T2"="","IRL"=""),"",IFERROR(IF(SUMIFS(INDEX(Indices!$A:$P,0,MATCH("IRL",Indices!$1:$1,0)+1),INDEX(Indices!$A:$P,0,MATCH("IRL",Indices!$1:$1,0)),"2035-T2")=0,"",SUMIFS(INDEX(Indices!$A:$P,0,MATCH("IRL",Indices!$1:$1,0)+1),INDEX(Indices!$A:$P,0,MATCH("IRL",Indices!$1:$1,0)),"2035-T2")),""))</f>
        <v/>
      </c>
      <c r="P38" s="28">
        <f>IF(OR("2035-T3"="","IRL"=""),"",IFERROR(IF(SUMIFS(INDEX(Indices!$A:$P,0,MATCH("IRL",Indices!$1:$1,0)+1),INDEX(Indices!$A:$P,0,MATCH("IRL",Indices!$1:$1,0)),"2035-T3")=0,"",SUMIFS(INDEX(Indices!$A:$P,0,MATCH("IRL",Indices!$1:$1,0)+1),INDEX(Indices!$A:$P,0,MATCH("IRL",Indices!$1:$1,0)),"2035-T3")),""))</f>
        <v/>
      </c>
      <c r="Q38" s="28">
        <f>IF(OR("2035-T4"="","IRL"=""),"",IFERROR(IF(SUMIFS(INDEX(Indices!$A:$P,0,MATCH("IRL",Indices!$1:$1,0)+1),INDEX(Indices!$A:$P,0,MATCH("IRL",Indices!$1:$1,0)),"2035-T4")=0,"",SUMIFS(INDEX(Indices!$A:$P,0,MATCH("IRL",Indices!$1:$1,0)+1),INDEX(Indices!$A:$P,0,MATCH("IRL",Indices!$1:$1,0)),"2035-T4")),""))</f>
        <v/>
      </c>
    </row>
    <row r="40">
      <c r="A40" s="2" t="inlineStr">
        <is>
          <t>Vue en lecture seule des valeurs collées dans la feuille Indices.</t>
        </is>
      </c>
    </row>
  </sheetData>
  <mergeCells count="4">
    <mergeCell ref="J1:M1"/>
    <mergeCell ref="B1:E1"/>
    <mergeCell ref="N1:Q1"/>
    <mergeCell ref="F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39"/>
  <sheetViews>
    <sheetView zoomScale="9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" customWidth="1" min="4" max="4"/>
    <col width="5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4" customWidth="1" min="12" max="12"/>
    <col width="14" customWidth="1" min="13" max="13"/>
    <col width="13" customWidth="1" min="14" max="14"/>
    <col width="14" customWidth="1" min="15" max="15"/>
    <col width="14" customWidth="1" min="16" max="16"/>
    <col width="8" customWidth="1" min="17" max="17"/>
    <col width="12" customWidth="1" min="18" max="18"/>
    <col width="12" customWidth="1" min="19" max="19"/>
    <col width="12" customWidth="1" min="20" max="20"/>
    <col width="11" customWidth="1" min="21" max="21"/>
    <col width="12" customWidth="1" min="22" max="22"/>
    <col width="20" customWidth="1" min="23" max="23"/>
    <col width="40" customWidth="1" min="24" max="24"/>
    <col width="10" customWidth="1" min="25" max="25"/>
    <col width="12" customWidth="1" min="26" max="26"/>
    <col width="12" customWidth="1" min="27" max="27"/>
    <col width="28" customWidth="1" min="28" max="28"/>
    <col hidden="1" width="6" customWidth="1" min="29" max="29"/>
    <col hidden="1" width="6" customWidth="1" min="30" max="30"/>
  </cols>
  <sheetData>
    <row r="1">
      <c r="B1" s="1">
        <f>IF(C3="","Fiche de bail","Fiche de bail – "&amp;C3&amp;IF(C5&lt;&gt;""," – "&amp;C5,""))</f>
        <v/>
      </c>
      <c r="G1" s="30" t="inlineStr">
        <is>
          <t>MODÈLE : dupliquer cet onglet (clic droit &gt; Déplacer ou copier &gt; Créer une copie), le renommer avec l'ID du bail, remplir les cellules jaunes, puis saisir le nom de l'onglet dans Récapitulatif.</t>
        </is>
      </c>
    </row>
    <row r="2">
      <c r="G2" s="5" t="inlineStr">
        <is>
          <t>Situation actuelle</t>
        </is>
      </c>
    </row>
    <row r="3">
      <c r="B3" s="31" t="inlineStr">
        <is>
          <t>ID bail (= nom de l'onglet)</t>
        </is>
      </c>
      <c r="C3" s="32" t="n"/>
      <c r="G3" s="6" t="inlineStr">
        <is>
          <t>Loyer actuel (annuel HT)</t>
        </is>
      </c>
      <c r="K3" s="33">
        <f>IF(C11="","",IF(K5=0,C11,INDEX($O$28:$O$39,K5)))</f>
        <v/>
      </c>
    </row>
    <row r="4">
      <c r="B4" s="31" t="inlineStr">
        <is>
          <t>Local (désignation / adresse)</t>
        </is>
      </c>
      <c r="C4" s="32" t="n"/>
      <c r="G4" s="6" t="inlineStr">
        <is>
          <t>Loyer actuel mensuel HT</t>
        </is>
      </c>
      <c r="K4" s="33">
        <f>IF(K3="","",K3/12)</f>
        <v/>
      </c>
    </row>
    <row r="5">
      <c r="B5" s="31" t="inlineStr">
        <is>
          <t>Locataire</t>
        </is>
      </c>
      <c r="C5" s="32" t="n"/>
      <c r="G5" s="6" t="inlineStr">
        <is>
          <t>N° dernière révision effective</t>
        </is>
      </c>
      <c r="K5" s="34">
        <f>_xlfn.MAXIFS($E$28:$E$39,$AC$28:$AC$39,1)</f>
        <v/>
      </c>
    </row>
    <row r="6" ht="30" customHeight="1">
      <c r="B6" s="31" t="inlineStr">
        <is>
          <t>Adresse du locataire (courrier)</t>
        </is>
      </c>
      <c r="C6" s="35" t="n"/>
      <c r="G6" s="6" t="inlineStr">
        <is>
          <t>Prochaine révision</t>
        </is>
      </c>
      <c r="K6" s="36">
        <f>IF(_xlfn.MINIFS($F$28:$F$39,$AD$28:$AD$39,1,$F$28:$F$39,"&gt;"&amp;TODAY())=0,"—",_xlfn.MINIFS($F$28:$F$39,$AD$28:$AD$39,1,$F$28:$F$39,"&gt;"&amp;TODAY()))</f>
        <v/>
      </c>
    </row>
    <row r="7">
      <c r="B7" s="31" t="inlineStr">
        <is>
          <t>Type de bail</t>
        </is>
      </c>
      <c r="C7" s="32" t="inlineStr">
        <is>
          <t>Commercial</t>
        </is>
      </c>
      <c r="G7" s="6" t="inlineStr">
        <is>
          <t>Trimestre attendu</t>
        </is>
      </c>
      <c r="K7" s="37">
        <f>IF(K5+1&gt;12,"—",IF(INDEX($AD$28:$AD$39,K5+1)=0,"—",INDEX($G$28:$G$39,K5+1)))</f>
        <v/>
      </c>
    </row>
    <row r="8">
      <c r="B8" s="31" t="inlineStr">
        <is>
          <t>Date de prise d'effet</t>
        </is>
      </c>
      <c r="C8" s="38" t="n"/>
      <c r="G8" s="6" t="inlineStr">
        <is>
          <t>Indice publié ?</t>
        </is>
      </c>
      <c r="K8" s="37">
        <f>IF(K7="—","—",IF(IF(OR(K7="",C15=""),"",IFERROR(IF(SUMIFS(INDEX(Indices!$A:$P,0,MATCH(C15,Indices!$1:$1,0)+1),INDEX(Indices!$A:$P,0,MATCH(C15,Indices!$1:$1,0)),K7)=0,"",SUMIFS(INDEX(Indices!$A:$P,0,MATCH(C15,Indices!$1:$1,0)+1),INDEX(Indices!$A:$P,0,MATCH(C15,Indices!$1:$1,0)),K7)),""))="","Non","Oui"))</f>
        <v/>
      </c>
    </row>
    <row r="9">
      <c r="B9" s="31" t="inlineStr">
        <is>
          <t>Durée (ans)</t>
        </is>
      </c>
      <c r="C9" s="32" t="n">
        <v>9</v>
      </c>
      <c r="G9" s="6" t="inlineStr">
        <is>
          <t>Révisions calculables non facturées</t>
        </is>
      </c>
      <c r="K9" s="34">
        <f>COUNTIFS($W$28:$W$39,"✔ Calculable",$Y$28:$Y$39,"&lt;&gt;Oui")</f>
        <v/>
      </c>
    </row>
    <row r="10">
      <c r="B10" s="31" t="inlineStr">
        <is>
          <t>Date de fin</t>
        </is>
      </c>
      <c r="C10" s="39">
        <f>IF(OR(C8="",C9=""),"",EDATE(C8,12*C9))</f>
        <v/>
      </c>
      <c r="G10" s="6" t="inlineStr">
        <is>
          <t>Révisions gelées</t>
        </is>
      </c>
      <c r="K10" s="34">
        <f>COUNTIFS($W$28:$W$39,"❄ Gelée")</f>
        <v/>
      </c>
    </row>
    <row r="11">
      <c r="B11" s="31" t="inlineStr">
        <is>
          <t>Loyer initial annuel HT</t>
        </is>
      </c>
      <c r="C11" s="40" t="n"/>
      <c r="G11" s="6" t="inlineStr">
        <is>
          <t>Action</t>
        </is>
      </c>
      <c r="K11" s="37">
        <f>IF(C3="","",IF(K9&gt;0,"⚠ Facturer la révision ("&amp;K9&amp;" en attente)",IF(AND(K6&lt;&gt;"—",K6-TODAY()&lt;=60),IF(K8="Oui","Révision dans "&amp;INT(K6-TODAY())&amp;" j – indice publié","Révision dans "&amp;INT(K6-TODAY())&amp;" j – indice non publié"),"RAS")))</f>
        <v/>
      </c>
    </row>
    <row r="12">
      <c r="B12" s="31" t="inlineStr">
        <is>
          <t>Charges annuelles HT</t>
        </is>
      </c>
      <c r="C12" s="40" t="n"/>
      <c r="G12" s="6" t="inlineStr">
        <is>
          <t>Consigne de la prochaine révision</t>
        </is>
      </c>
      <c r="K12" s="37">
        <f>IF(K5+1&gt;12,"",INDEX($X$28:$X$39,K5+1)&amp;"")</f>
        <v/>
      </c>
    </row>
    <row r="13">
      <c r="B13" s="31" t="inlineStr">
        <is>
          <t>TVA (%)</t>
        </is>
      </c>
      <c r="C13" s="32" t="n">
        <v>20</v>
      </c>
    </row>
    <row r="14">
      <c r="B14" s="31" t="inlineStr">
        <is>
          <t>Périodicité de facturation</t>
        </is>
      </c>
      <c r="C14" s="32" t="inlineStr">
        <is>
          <t>Mensuelle</t>
        </is>
      </c>
    </row>
    <row r="15">
      <c r="B15" s="31" t="inlineStr">
        <is>
          <t>Indice</t>
        </is>
      </c>
      <c r="C15" s="32" t="inlineStr">
        <is>
          <t>ILC</t>
        </is>
      </c>
    </row>
    <row r="16">
      <c r="B16" s="31" t="inlineStr">
        <is>
          <t>Trimestre indice de base</t>
        </is>
      </c>
      <c r="C16" s="32" t="n"/>
    </row>
    <row r="17">
      <c r="B17" s="31" t="inlineStr">
        <is>
          <t>Périodicité de révision (ans)</t>
        </is>
      </c>
      <c r="C17" s="32" t="n">
        <v>1</v>
      </c>
    </row>
    <row r="18">
      <c r="B18" s="31" t="inlineStr">
        <is>
          <t>Méthode</t>
        </is>
      </c>
      <c r="C18" s="32" t="inlineStr">
        <is>
          <t>Chaînée</t>
        </is>
      </c>
    </row>
    <row r="19">
      <c r="B19" s="31" t="inlineStr">
        <is>
          <t>Plafond annuel (%) – optionnel</t>
        </is>
      </c>
      <c r="C19" s="32" t="n"/>
    </row>
    <row r="20">
      <c r="B20" s="31" t="inlineStr">
        <is>
          <t>Pennylane customer_id</t>
        </is>
      </c>
      <c r="C20" s="32" t="n"/>
    </row>
    <row r="21">
      <c r="B21" s="31" t="inlineStr">
        <is>
          <t>Pennylane product_id</t>
        </is>
      </c>
      <c r="C21" s="32" t="n"/>
    </row>
    <row r="22">
      <c r="B22" s="31" t="inlineStr">
        <is>
          <t>Pennylane subscription_id</t>
        </is>
      </c>
      <c r="C22" s="32" t="n"/>
    </row>
    <row r="23" ht="45" customHeight="1">
      <c r="B23" s="31" t="inlineStr">
        <is>
          <t>Notes / clause d'indexation</t>
        </is>
      </c>
      <c r="C23" s="35" t="n"/>
    </row>
    <row r="24">
      <c r="B24" s="31" t="inlineStr">
        <is>
          <t>Contrôles</t>
        </is>
      </c>
      <c r="C24" s="41">
        <f>IF(C3="","",IF(AND(C8&lt;&gt;"",ISNUMBER(C11),C15&lt;&gt;"",LEN(C16)=7,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,OR(C19="",ISNUMBER(C19))),"OK",TRIM(IF(C8="","Date d'effet manquante. ","")&amp;IF(NOT(ISNUMBER(C11)),"Loyer initial manquant. ","")&amp;IF(C15="","Indice manquant. ","")&amp;IF(LEN(C16)&lt;&gt;7,"Trimestre de base au format AAAA-Tn. ","")&amp;IF(AND(LEN(C16)=7,C15&lt;&gt;"",NOT(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)),"Indice de base "&amp;C16&amp;" absent de la feuille Indices. ","")&amp;IF(AND(C19&lt;&gt;"",NOT(ISNUMBER(C19))),"Plafond non numérique. ",""))))</f>
        <v/>
      </c>
    </row>
    <row r="26">
      <c r="E26" s="5" t="inlineStr">
        <is>
          <t>Révisions</t>
        </is>
      </c>
    </row>
    <row r="27" ht="42" customHeight="1">
      <c r="E27" s="12" t="inlineStr">
        <is>
          <t>N°</t>
        </is>
      </c>
      <c r="F27" s="12" t="inlineStr">
        <is>
          <t>Date de révision</t>
        </is>
      </c>
      <c r="G27" s="12" t="inlineStr">
        <is>
          <t>Trim. référence</t>
        </is>
      </c>
      <c r="H27" s="12" t="inlineStr">
        <is>
          <t>Valeur indice réf.</t>
        </is>
      </c>
      <c r="I27" s="12" t="inlineStr">
        <is>
          <t>Trim. précédent</t>
        </is>
      </c>
      <c r="J27" s="12" t="inlineStr">
        <is>
          <t>Valeur indice préc.</t>
        </is>
      </c>
      <c r="K27" s="12" t="inlineStr">
        <is>
          <t>Coefficient</t>
        </is>
      </c>
      <c r="L27" s="12" t="inlineStr">
        <is>
          <t>Décision</t>
        </is>
      </c>
      <c r="M27" s="12" t="inlineStr">
        <is>
          <t>Base de calcul (annuel HT)</t>
        </is>
      </c>
      <c r="N27" s="12" t="inlineStr">
        <is>
          <t>Loyer révisé brut</t>
        </is>
      </c>
      <c r="O27" s="12" t="inlineStr">
        <is>
          <t>Loyer retenu (annuel HT)</t>
        </is>
      </c>
      <c r="P27" s="12" t="inlineStr">
        <is>
          <t>Loyer précédent (annuel HT)</t>
        </is>
      </c>
      <c r="Q27" s="12" t="inlineStr">
        <is>
          <t>Variation</t>
        </is>
      </c>
      <c r="R27" s="12" t="inlineStr">
        <is>
          <t>Loyer mensuel HT</t>
        </is>
      </c>
      <c r="S27" s="12" t="inlineStr">
        <is>
          <t>Loyer / échéance HT</t>
        </is>
      </c>
      <c r="T27" s="12" t="inlineStr">
        <is>
          <t>Charges / échéance HT</t>
        </is>
      </c>
      <c r="U27" s="12" t="inlineStr">
        <is>
          <t>TVA / échéance</t>
        </is>
      </c>
      <c r="V27" s="12" t="inlineStr">
        <is>
          <t>Total TTC / échéance</t>
        </is>
      </c>
      <c r="W27" s="12" t="inlineStr">
        <is>
          <t>Statut</t>
        </is>
      </c>
      <c r="X27" s="12" t="inlineStr">
        <is>
          <t>Consigne (à faire)</t>
        </is>
      </c>
      <c r="Y27" s="12" t="inlineStr">
        <is>
          <t>Appliqué ? (Oui/Non)</t>
        </is>
      </c>
      <c r="Z27" s="12" t="inlineStr">
        <is>
          <t>Date d'application</t>
        </is>
      </c>
      <c r="AA27" s="12" t="inlineStr">
        <is>
          <t>Courrier envoyé le</t>
        </is>
      </c>
      <c r="AB27" s="12" t="inlineStr">
        <is>
          <t>Commentaire</t>
        </is>
      </c>
      <c r="AC27" s="12" t="inlineStr">
        <is>
          <t>Effectif</t>
        </is>
      </c>
      <c r="AD27" s="12" t="inlineStr">
        <is>
          <t>Actif</t>
        </is>
      </c>
    </row>
    <row r="28">
      <c r="E28" s="14" t="n">
        <v>1</v>
      </c>
      <c r="F28" s="15">
        <f>IF(OR(C3="",C8="",C17=""),"",EDATE(C8,12*C17*E28))</f>
        <v/>
      </c>
      <c r="G28" s="14">
        <f>IF(AD28=0,"",IFERROR(TEXT(VALUE(LEFT(C16,4))+E28*C17,"0")&amp;RIGHT(C16,3),""))</f>
        <v/>
      </c>
      <c r="H28" s="28">
        <f>IF(AD28=0,"",IF(OR(G28="",C15=""),"",IFERROR(IF(SUMIFS(INDEX(Indices!$A:$P,0,MATCH(C15,Indices!$1:$1,0)+1),INDEX(Indices!$A:$P,0,MATCH(C15,Indices!$1:$1,0)),G28)=0,"",SUMIFS(INDEX(Indices!$A:$P,0,MATCH(C15,Indices!$1:$1,0)+1),INDEX(Indices!$A:$P,0,MATCH(C15,Indices!$1:$1,0)),G28)),"")))</f>
        <v/>
      </c>
      <c r="I28" s="14">
        <f>IF(AD28=0,"",C16)</f>
        <v/>
      </c>
      <c r="J28" s="28">
        <f>IF(AD28=0,"",IF(OR(I28="",C15=""),"",IFERROR(IF(SUMIFS(INDEX(Indices!$A:$P,0,MATCH(C15,Indices!$1:$1,0)+1),INDEX(Indices!$A:$P,0,MATCH(C15,Indices!$1:$1,0)),I28)=0,"",SUMIFS(INDEX(Indices!$A:$P,0,MATCH(C15,Indices!$1:$1,0)+1),INDEX(Indices!$A:$P,0,MATCH(C15,Indices!$1:$1,0)),I28)),"")))</f>
        <v/>
      </c>
      <c r="K28" s="42">
        <f>IF(OR(H28="",J28=""),"",H28/J28)</f>
        <v/>
      </c>
      <c r="L28" s="13" t="n"/>
      <c r="M28" s="16">
        <f>IF(AD28=0,"",C11)</f>
        <v/>
      </c>
      <c r="N28" s="16">
        <f>IF(OR(K28="",M28=""),"",ROUND(M28*K28,2))</f>
        <v/>
      </c>
      <c r="O28" s="16">
        <f>IF(AD28=0,"",IF(LEFT(L28,5)="Geler",P28,IF(N28="","",IF(C19="",N28,MIN(N28,ROUND(M28*(1+C19/100)^IF(C18="Base fixe",E28*C17,VALUE(LEFT(G28,4))-VALUE(LEFT(I28,4))),2))))))</f>
        <v/>
      </c>
      <c r="P28" s="16">
        <f>IF(AD28=0,"",C11)</f>
        <v/>
      </c>
      <c r="Q28" s="43">
        <f>IF(OR(O28="",P28=""),"",O28/P28-1)</f>
        <v/>
      </c>
      <c r="R28" s="16">
        <f>IF(O28="","",O28/12)</f>
        <v/>
      </c>
      <c r="S28" s="16">
        <f>IF(O28="","",O28/IF(C14="Mensuelle",12,IF(C14="Trimestrielle",4,IF(C14="Semestrielle",2,1))))</f>
        <v/>
      </c>
      <c r="T28" s="16">
        <f>IF(AD28=0,"",IF(C12="",0,C12)/IF(C14="Mensuelle",12,IF(C14="Trimestrielle",4,IF(C14="Semestrielle",2,1))))</f>
        <v/>
      </c>
      <c r="U28" s="16">
        <f>IF(S28="","",(S28+T28)*C13/100)</f>
        <v/>
      </c>
      <c r="V28" s="16">
        <f>IF(S28="","",S28+T28+U28)</f>
        <v/>
      </c>
      <c r="W28" s="14">
        <f>IF(AD28=0,"",IF(LEFT(L28,5)="Geler","❄ Gelée",IF(H28="",IF(F28&lt;=TODAY(),"⚠ Indice attendu","À venir"),IF(F28&lt;=TODAY(),"✔ Calculable","Indice connu – à venir"))))</f>
        <v/>
      </c>
      <c r="X28" s="35" t="n"/>
      <c r="Y28" s="13" t="n"/>
      <c r="Z28" s="44" t="n"/>
      <c r="AA28" s="44" t="n"/>
      <c r="AB28" s="13" t="n"/>
      <c r="AC28" s="14">
        <f>IF(AND(AD28=1,F28&lt;=TODAY(),O28&lt;&gt;""),1,0)</f>
        <v/>
      </c>
      <c r="AD28" s="14">
        <f>IF(F28="",0,IF(AND(ISNUMBER(C10),F28&gt;C10),0,1))</f>
        <v/>
      </c>
    </row>
    <row r="29">
      <c r="E29" s="14" t="n">
        <v>2</v>
      </c>
      <c r="F29" s="15">
        <f>IF(OR(C3="",C8="",C17=""),"",EDATE(C8,12*C17*E29))</f>
        <v/>
      </c>
      <c r="G29" s="14">
        <f>IF(AD29=0,"",IFERROR(TEXT(VALUE(LEFT(C16,4))+E29*C17,"0")&amp;RIGHT(C16,3),""))</f>
        <v/>
      </c>
      <c r="H29" s="28">
        <f>IF(AD29=0,"",IF(OR(G29="",C15=""),"",IFERROR(IF(SUMIFS(INDEX(Indices!$A:$P,0,MATCH(C15,Indices!$1:$1,0)+1),INDEX(Indices!$A:$P,0,MATCH(C15,Indices!$1:$1,0)),G29)=0,"",SUMIFS(INDEX(Indices!$A:$P,0,MATCH(C15,Indices!$1:$1,0)+1),INDEX(Indices!$A:$P,0,MATCH(C15,Indices!$1:$1,0)),G29)),"")))</f>
        <v/>
      </c>
      <c r="I29" s="14">
        <f>IF(AD29=0,"",IF(C18="Base fixe",C16,IF(L28="Geler – rattrapage possible",I28,G28)))</f>
        <v/>
      </c>
      <c r="J29" s="28">
        <f>IF(AD29=0,"",IF(OR(I29="",C15=""),"",IFERROR(IF(SUMIFS(INDEX(Indices!$A:$P,0,MATCH(C15,Indices!$1:$1,0)+1),INDEX(Indices!$A:$P,0,MATCH(C15,Indices!$1:$1,0)),I29)=0,"",SUMIFS(INDEX(Indices!$A:$P,0,MATCH(C15,Indices!$1:$1,0)+1),INDEX(Indices!$A:$P,0,MATCH(C15,Indices!$1:$1,0)),I29)),"")))</f>
        <v/>
      </c>
      <c r="K29" s="42">
        <f>IF(OR(H29="",J29=""),"",H29/J29)</f>
        <v/>
      </c>
      <c r="L29" s="13" t="n"/>
      <c r="M29" s="16">
        <f>IF(AD29=0,"",IF(C18="Base fixe",C11,O28))</f>
        <v/>
      </c>
      <c r="N29" s="16">
        <f>IF(OR(K29="",M29=""),"",ROUND(M29*K29,2))</f>
        <v/>
      </c>
      <c r="O29" s="16">
        <f>IF(AD29=0,"",IF(LEFT(L29,5)="Geler",P29,IF(N29="","",IF(C19="",N29,MIN(N29,ROUND(M29*(1+C19/100)^IF(C18="Base fixe",E29*C17,VALUE(LEFT(G29,4))-VALUE(LEFT(I29,4))),2))))))</f>
        <v/>
      </c>
      <c r="P29" s="16">
        <f>IF(AD29=0,"",O28)</f>
        <v/>
      </c>
      <c r="Q29" s="43">
        <f>IF(OR(O29="",P29=""),"",O29/P29-1)</f>
        <v/>
      </c>
      <c r="R29" s="16">
        <f>IF(O29="","",O29/12)</f>
        <v/>
      </c>
      <c r="S29" s="16">
        <f>IF(O29="","",O29/IF(C14="Mensuelle",12,IF(C14="Trimestrielle",4,IF(C14="Semestrielle",2,1))))</f>
        <v/>
      </c>
      <c r="T29" s="16">
        <f>IF(AD29=0,"",IF(C12="",0,C12)/IF(C14="Mensuelle",12,IF(C14="Trimestrielle",4,IF(C14="Semestrielle",2,1))))</f>
        <v/>
      </c>
      <c r="U29" s="16">
        <f>IF(S29="","",(S29+T29)*C13/100)</f>
        <v/>
      </c>
      <c r="V29" s="16">
        <f>IF(S29="","",S29+T29+U29)</f>
        <v/>
      </c>
      <c r="W29" s="14">
        <f>IF(AD29=0,"",IF(LEFT(L29,5)="Geler","❄ Gelée",IF(H29="",IF(F29&lt;=TODAY(),"⚠ Indice attendu","À venir"),IF(F29&lt;=TODAY(),"✔ Calculable","Indice connu – à venir"))))</f>
        <v/>
      </c>
      <c r="X29" s="35" t="n"/>
      <c r="Y29" s="13" t="n"/>
      <c r="Z29" s="44" t="n"/>
      <c r="AA29" s="44" t="n"/>
      <c r="AB29" s="13" t="n"/>
      <c r="AC29" s="14">
        <f>IF(AND(AD29=1,F29&lt;=TODAY(),O29&lt;&gt;""),1,0)</f>
        <v/>
      </c>
      <c r="AD29" s="14">
        <f>IF(F29="",0,IF(AND(ISNUMBER(C10),F29&gt;C10),0,1))</f>
        <v/>
      </c>
    </row>
    <row r="30">
      <c r="E30" s="14" t="n">
        <v>3</v>
      </c>
      <c r="F30" s="15">
        <f>IF(OR(C3="",C8="",C17=""),"",EDATE(C8,12*C17*E30))</f>
        <v/>
      </c>
      <c r="G30" s="14">
        <f>IF(AD30=0,"",IFERROR(TEXT(VALUE(LEFT(C16,4))+E30*C17,"0")&amp;RIGHT(C16,3),""))</f>
        <v/>
      </c>
      <c r="H30" s="28">
        <f>IF(AD30=0,"",IF(OR(G30="",C15=""),"",IFERROR(IF(SUMIFS(INDEX(Indices!$A:$P,0,MATCH(C15,Indices!$1:$1,0)+1),INDEX(Indices!$A:$P,0,MATCH(C15,Indices!$1:$1,0)),G30)=0,"",SUMIFS(INDEX(Indices!$A:$P,0,MATCH(C15,Indices!$1:$1,0)+1),INDEX(Indices!$A:$P,0,MATCH(C15,Indices!$1:$1,0)),G30)),"")))</f>
        <v/>
      </c>
      <c r="I30" s="14">
        <f>IF(AD30=0,"",IF(C18="Base fixe",C16,IF(L29="Geler – rattrapage possible",I29,G29)))</f>
        <v/>
      </c>
      <c r="J30" s="28">
        <f>IF(AD30=0,"",IF(OR(I30="",C15=""),"",IFERROR(IF(SUMIFS(INDEX(Indices!$A:$P,0,MATCH(C15,Indices!$1:$1,0)+1),INDEX(Indices!$A:$P,0,MATCH(C15,Indices!$1:$1,0)),I30)=0,"",SUMIFS(INDEX(Indices!$A:$P,0,MATCH(C15,Indices!$1:$1,0)+1),INDEX(Indices!$A:$P,0,MATCH(C15,Indices!$1:$1,0)),I30)),"")))</f>
        <v/>
      </c>
      <c r="K30" s="42">
        <f>IF(OR(H30="",J30=""),"",H30/J30)</f>
        <v/>
      </c>
      <c r="L30" s="13" t="n"/>
      <c r="M30" s="16">
        <f>IF(AD30=0,"",IF(C18="Base fixe",C11,O29))</f>
        <v/>
      </c>
      <c r="N30" s="16">
        <f>IF(OR(K30="",M30=""),"",ROUND(M30*K30,2))</f>
        <v/>
      </c>
      <c r="O30" s="16">
        <f>IF(AD30=0,"",IF(LEFT(L30,5)="Geler",P30,IF(N30="","",IF(C19="",N30,MIN(N30,ROUND(M30*(1+C19/100)^IF(C18="Base fixe",E30*C17,VALUE(LEFT(G30,4))-VALUE(LEFT(I30,4))),2))))))</f>
        <v/>
      </c>
      <c r="P30" s="16">
        <f>IF(AD30=0,"",O29)</f>
        <v/>
      </c>
      <c r="Q30" s="43">
        <f>IF(OR(O30="",P30=""),"",O30/P30-1)</f>
        <v/>
      </c>
      <c r="R30" s="16">
        <f>IF(O30="","",O30/12)</f>
        <v/>
      </c>
      <c r="S30" s="16">
        <f>IF(O30="","",O30/IF(C14="Mensuelle",12,IF(C14="Trimestrielle",4,IF(C14="Semestrielle",2,1))))</f>
        <v/>
      </c>
      <c r="T30" s="16">
        <f>IF(AD30=0,"",IF(C12="",0,C12)/IF(C14="Mensuelle",12,IF(C14="Trimestrielle",4,IF(C14="Semestrielle",2,1))))</f>
        <v/>
      </c>
      <c r="U30" s="16">
        <f>IF(S30="","",(S30+T30)*C13/100)</f>
        <v/>
      </c>
      <c r="V30" s="16">
        <f>IF(S30="","",S30+T30+U30)</f>
        <v/>
      </c>
      <c r="W30" s="14">
        <f>IF(AD30=0,"",IF(LEFT(L30,5)="Geler","❄ Gelée",IF(H30="",IF(F30&lt;=TODAY(),"⚠ Indice attendu","À venir"),IF(F30&lt;=TODAY(),"✔ Calculable","Indice connu – à venir"))))</f>
        <v/>
      </c>
      <c r="X30" s="35" t="n"/>
      <c r="Y30" s="13" t="n"/>
      <c r="Z30" s="44" t="n"/>
      <c r="AA30" s="44" t="n"/>
      <c r="AB30" s="13" t="n"/>
      <c r="AC30" s="14">
        <f>IF(AND(AD30=1,F30&lt;=TODAY(),O30&lt;&gt;""),1,0)</f>
        <v/>
      </c>
      <c r="AD30" s="14">
        <f>IF(F30="",0,IF(AND(ISNUMBER(C10),F30&gt;C10),0,1))</f>
        <v/>
      </c>
    </row>
    <row r="31">
      <c r="E31" s="14" t="n">
        <v>4</v>
      </c>
      <c r="F31" s="15">
        <f>IF(OR(C3="",C8="",C17=""),"",EDATE(C8,12*C17*E31))</f>
        <v/>
      </c>
      <c r="G31" s="14">
        <f>IF(AD31=0,"",IFERROR(TEXT(VALUE(LEFT(C16,4))+E31*C17,"0")&amp;RIGHT(C16,3),""))</f>
        <v/>
      </c>
      <c r="H31" s="28">
        <f>IF(AD31=0,"",IF(OR(G31="",C15=""),"",IFERROR(IF(SUMIFS(INDEX(Indices!$A:$P,0,MATCH(C15,Indices!$1:$1,0)+1),INDEX(Indices!$A:$P,0,MATCH(C15,Indices!$1:$1,0)),G31)=0,"",SUMIFS(INDEX(Indices!$A:$P,0,MATCH(C15,Indices!$1:$1,0)+1),INDEX(Indices!$A:$P,0,MATCH(C15,Indices!$1:$1,0)),G31)),"")))</f>
        <v/>
      </c>
      <c r="I31" s="14">
        <f>IF(AD31=0,"",IF(C18="Base fixe",C16,IF(L30="Geler – rattrapage possible",I30,G30)))</f>
        <v/>
      </c>
      <c r="J31" s="28">
        <f>IF(AD31=0,"",IF(OR(I31="",C15=""),"",IFERROR(IF(SUMIFS(INDEX(Indices!$A:$P,0,MATCH(C15,Indices!$1:$1,0)+1),INDEX(Indices!$A:$P,0,MATCH(C15,Indices!$1:$1,0)),I31)=0,"",SUMIFS(INDEX(Indices!$A:$P,0,MATCH(C15,Indices!$1:$1,0)+1),INDEX(Indices!$A:$P,0,MATCH(C15,Indices!$1:$1,0)),I31)),"")))</f>
        <v/>
      </c>
      <c r="K31" s="42">
        <f>IF(OR(H31="",J31=""),"",H31/J31)</f>
        <v/>
      </c>
      <c r="L31" s="13" t="n"/>
      <c r="M31" s="16">
        <f>IF(AD31=0,"",IF(C18="Base fixe",C11,O30))</f>
        <v/>
      </c>
      <c r="N31" s="16">
        <f>IF(OR(K31="",M31=""),"",ROUND(M31*K31,2))</f>
        <v/>
      </c>
      <c r="O31" s="16">
        <f>IF(AD31=0,"",IF(LEFT(L31,5)="Geler",P31,IF(N31="","",IF(C19="",N31,MIN(N31,ROUND(M31*(1+C19/100)^IF(C18="Base fixe",E31*C17,VALUE(LEFT(G31,4))-VALUE(LEFT(I31,4))),2))))))</f>
        <v/>
      </c>
      <c r="P31" s="16">
        <f>IF(AD31=0,"",O30)</f>
        <v/>
      </c>
      <c r="Q31" s="43">
        <f>IF(OR(O31="",P31=""),"",O31/P31-1)</f>
        <v/>
      </c>
      <c r="R31" s="16">
        <f>IF(O31="","",O31/12)</f>
        <v/>
      </c>
      <c r="S31" s="16">
        <f>IF(O31="","",O31/IF(C14="Mensuelle",12,IF(C14="Trimestrielle",4,IF(C14="Semestrielle",2,1))))</f>
        <v/>
      </c>
      <c r="T31" s="16">
        <f>IF(AD31=0,"",IF(C12="",0,C12)/IF(C14="Mensuelle",12,IF(C14="Trimestrielle",4,IF(C14="Semestrielle",2,1))))</f>
        <v/>
      </c>
      <c r="U31" s="16">
        <f>IF(S31="","",(S31+T31)*C13/100)</f>
        <v/>
      </c>
      <c r="V31" s="16">
        <f>IF(S31="","",S31+T31+U31)</f>
        <v/>
      </c>
      <c r="W31" s="14">
        <f>IF(AD31=0,"",IF(LEFT(L31,5)="Geler","❄ Gelée",IF(H31="",IF(F31&lt;=TODAY(),"⚠ Indice attendu","À venir"),IF(F31&lt;=TODAY(),"✔ Calculable","Indice connu – à venir"))))</f>
        <v/>
      </c>
      <c r="X31" s="35" t="n"/>
      <c r="Y31" s="13" t="n"/>
      <c r="Z31" s="44" t="n"/>
      <c r="AA31" s="44" t="n"/>
      <c r="AB31" s="13" t="n"/>
      <c r="AC31" s="14">
        <f>IF(AND(AD31=1,F31&lt;=TODAY(),O31&lt;&gt;""),1,0)</f>
        <v/>
      </c>
      <c r="AD31" s="14">
        <f>IF(F31="",0,IF(AND(ISNUMBER(C10),F31&gt;C10),0,1))</f>
        <v/>
      </c>
    </row>
    <row r="32">
      <c r="E32" s="14" t="n">
        <v>5</v>
      </c>
      <c r="F32" s="15">
        <f>IF(OR(C3="",C8="",C17=""),"",EDATE(C8,12*C17*E32))</f>
        <v/>
      </c>
      <c r="G32" s="14">
        <f>IF(AD32=0,"",IFERROR(TEXT(VALUE(LEFT(C16,4))+E32*C17,"0")&amp;RIGHT(C16,3),""))</f>
        <v/>
      </c>
      <c r="H32" s="28">
        <f>IF(AD32=0,"",IF(OR(G32="",C15=""),"",IFERROR(IF(SUMIFS(INDEX(Indices!$A:$P,0,MATCH(C15,Indices!$1:$1,0)+1),INDEX(Indices!$A:$P,0,MATCH(C15,Indices!$1:$1,0)),G32)=0,"",SUMIFS(INDEX(Indices!$A:$P,0,MATCH(C15,Indices!$1:$1,0)+1),INDEX(Indices!$A:$P,0,MATCH(C15,Indices!$1:$1,0)),G32)),"")))</f>
        <v/>
      </c>
      <c r="I32" s="14">
        <f>IF(AD32=0,"",IF(C18="Base fixe",C16,IF(L31="Geler – rattrapage possible",I31,G31)))</f>
        <v/>
      </c>
      <c r="J32" s="28">
        <f>IF(AD32=0,"",IF(OR(I32="",C15=""),"",IFERROR(IF(SUMIFS(INDEX(Indices!$A:$P,0,MATCH(C15,Indices!$1:$1,0)+1),INDEX(Indices!$A:$P,0,MATCH(C15,Indices!$1:$1,0)),I32)=0,"",SUMIFS(INDEX(Indices!$A:$P,0,MATCH(C15,Indices!$1:$1,0)+1),INDEX(Indices!$A:$P,0,MATCH(C15,Indices!$1:$1,0)),I32)),"")))</f>
        <v/>
      </c>
      <c r="K32" s="42">
        <f>IF(OR(H32="",J32=""),"",H32/J32)</f>
        <v/>
      </c>
      <c r="L32" s="13" t="n"/>
      <c r="M32" s="16">
        <f>IF(AD32=0,"",IF(C18="Base fixe",C11,O31))</f>
        <v/>
      </c>
      <c r="N32" s="16">
        <f>IF(OR(K32="",M32=""),"",ROUND(M32*K32,2))</f>
        <v/>
      </c>
      <c r="O32" s="16">
        <f>IF(AD32=0,"",IF(LEFT(L32,5)="Geler",P32,IF(N32="","",IF(C19="",N32,MIN(N32,ROUND(M32*(1+C19/100)^IF(C18="Base fixe",E32*C17,VALUE(LEFT(G32,4))-VALUE(LEFT(I32,4))),2))))))</f>
        <v/>
      </c>
      <c r="P32" s="16">
        <f>IF(AD32=0,"",O31)</f>
        <v/>
      </c>
      <c r="Q32" s="43">
        <f>IF(OR(O32="",P32=""),"",O32/P32-1)</f>
        <v/>
      </c>
      <c r="R32" s="16">
        <f>IF(O32="","",O32/12)</f>
        <v/>
      </c>
      <c r="S32" s="16">
        <f>IF(O32="","",O32/IF(C14="Mensuelle",12,IF(C14="Trimestrielle",4,IF(C14="Semestrielle",2,1))))</f>
        <v/>
      </c>
      <c r="T32" s="16">
        <f>IF(AD32=0,"",IF(C12="",0,C12)/IF(C14="Mensuelle",12,IF(C14="Trimestrielle",4,IF(C14="Semestrielle",2,1))))</f>
        <v/>
      </c>
      <c r="U32" s="16">
        <f>IF(S32="","",(S32+T32)*C13/100)</f>
        <v/>
      </c>
      <c r="V32" s="16">
        <f>IF(S32="","",S32+T32+U32)</f>
        <v/>
      </c>
      <c r="W32" s="14">
        <f>IF(AD32=0,"",IF(LEFT(L32,5)="Geler","❄ Gelée",IF(H32="",IF(F32&lt;=TODAY(),"⚠ Indice attendu","À venir"),IF(F32&lt;=TODAY(),"✔ Calculable","Indice connu – à venir"))))</f>
        <v/>
      </c>
      <c r="X32" s="35" t="n"/>
      <c r="Y32" s="13" t="n"/>
      <c r="Z32" s="44" t="n"/>
      <c r="AA32" s="44" t="n"/>
      <c r="AB32" s="13" t="n"/>
      <c r="AC32" s="14">
        <f>IF(AND(AD32=1,F32&lt;=TODAY(),O32&lt;&gt;""),1,0)</f>
        <v/>
      </c>
      <c r="AD32" s="14">
        <f>IF(F32="",0,IF(AND(ISNUMBER(C10),F32&gt;C10),0,1))</f>
        <v/>
      </c>
    </row>
    <row r="33">
      <c r="E33" s="14" t="n">
        <v>6</v>
      </c>
      <c r="F33" s="15">
        <f>IF(OR(C3="",C8="",C17=""),"",EDATE(C8,12*C17*E33))</f>
        <v/>
      </c>
      <c r="G33" s="14">
        <f>IF(AD33=0,"",IFERROR(TEXT(VALUE(LEFT(C16,4))+E33*C17,"0")&amp;RIGHT(C16,3),""))</f>
        <v/>
      </c>
      <c r="H33" s="28">
        <f>IF(AD33=0,"",IF(OR(G33="",C15=""),"",IFERROR(IF(SUMIFS(INDEX(Indices!$A:$P,0,MATCH(C15,Indices!$1:$1,0)+1),INDEX(Indices!$A:$P,0,MATCH(C15,Indices!$1:$1,0)),G33)=0,"",SUMIFS(INDEX(Indices!$A:$P,0,MATCH(C15,Indices!$1:$1,0)+1),INDEX(Indices!$A:$P,0,MATCH(C15,Indices!$1:$1,0)),G33)),"")))</f>
        <v/>
      </c>
      <c r="I33" s="14">
        <f>IF(AD33=0,"",IF(C18="Base fixe",C16,IF(L32="Geler – rattrapage possible",I32,G32)))</f>
        <v/>
      </c>
      <c r="J33" s="28">
        <f>IF(AD33=0,"",IF(OR(I33="",C15=""),"",IFERROR(IF(SUMIFS(INDEX(Indices!$A:$P,0,MATCH(C15,Indices!$1:$1,0)+1),INDEX(Indices!$A:$P,0,MATCH(C15,Indices!$1:$1,0)),I33)=0,"",SUMIFS(INDEX(Indices!$A:$P,0,MATCH(C15,Indices!$1:$1,0)+1),INDEX(Indices!$A:$P,0,MATCH(C15,Indices!$1:$1,0)),I33)),"")))</f>
        <v/>
      </c>
      <c r="K33" s="42">
        <f>IF(OR(H33="",J33=""),"",H33/J33)</f>
        <v/>
      </c>
      <c r="L33" s="13" t="n"/>
      <c r="M33" s="16">
        <f>IF(AD33=0,"",IF(C18="Base fixe",C11,O32))</f>
        <v/>
      </c>
      <c r="N33" s="16">
        <f>IF(OR(K33="",M33=""),"",ROUND(M33*K33,2))</f>
        <v/>
      </c>
      <c r="O33" s="16">
        <f>IF(AD33=0,"",IF(LEFT(L33,5)="Geler",P33,IF(N33="","",IF(C19="",N33,MIN(N33,ROUND(M33*(1+C19/100)^IF(C18="Base fixe",E33*C17,VALUE(LEFT(G33,4))-VALUE(LEFT(I33,4))),2))))))</f>
        <v/>
      </c>
      <c r="P33" s="16">
        <f>IF(AD33=0,"",O32)</f>
        <v/>
      </c>
      <c r="Q33" s="43">
        <f>IF(OR(O33="",P33=""),"",O33/P33-1)</f>
        <v/>
      </c>
      <c r="R33" s="16">
        <f>IF(O33="","",O33/12)</f>
        <v/>
      </c>
      <c r="S33" s="16">
        <f>IF(O33="","",O33/IF(C14="Mensuelle",12,IF(C14="Trimestrielle",4,IF(C14="Semestrielle",2,1))))</f>
        <v/>
      </c>
      <c r="T33" s="16">
        <f>IF(AD33=0,"",IF(C12="",0,C12)/IF(C14="Mensuelle",12,IF(C14="Trimestrielle",4,IF(C14="Semestrielle",2,1))))</f>
        <v/>
      </c>
      <c r="U33" s="16">
        <f>IF(S33="","",(S33+T33)*C13/100)</f>
        <v/>
      </c>
      <c r="V33" s="16">
        <f>IF(S33="","",S33+T33+U33)</f>
        <v/>
      </c>
      <c r="W33" s="14">
        <f>IF(AD33=0,"",IF(LEFT(L33,5)="Geler","❄ Gelée",IF(H33="",IF(F33&lt;=TODAY(),"⚠ Indice attendu","À venir"),IF(F33&lt;=TODAY(),"✔ Calculable","Indice connu – à venir"))))</f>
        <v/>
      </c>
      <c r="X33" s="35" t="n"/>
      <c r="Y33" s="13" t="n"/>
      <c r="Z33" s="44" t="n"/>
      <c r="AA33" s="44" t="n"/>
      <c r="AB33" s="13" t="n"/>
      <c r="AC33" s="14">
        <f>IF(AND(AD33=1,F33&lt;=TODAY(),O33&lt;&gt;""),1,0)</f>
        <v/>
      </c>
      <c r="AD33" s="14">
        <f>IF(F33="",0,IF(AND(ISNUMBER(C10),F33&gt;C10),0,1))</f>
        <v/>
      </c>
    </row>
    <row r="34">
      <c r="E34" s="14" t="n">
        <v>7</v>
      </c>
      <c r="F34" s="15">
        <f>IF(OR(C3="",C8="",C17=""),"",EDATE(C8,12*C17*E34))</f>
        <v/>
      </c>
      <c r="G34" s="14">
        <f>IF(AD34=0,"",IFERROR(TEXT(VALUE(LEFT(C16,4))+E34*C17,"0")&amp;RIGHT(C16,3),""))</f>
        <v/>
      </c>
      <c r="H34" s="28">
        <f>IF(AD34=0,"",IF(OR(G34="",C15=""),"",IFERROR(IF(SUMIFS(INDEX(Indices!$A:$P,0,MATCH(C15,Indices!$1:$1,0)+1),INDEX(Indices!$A:$P,0,MATCH(C15,Indices!$1:$1,0)),G34)=0,"",SUMIFS(INDEX(Indices!$A:$P,0,MATCH(C15,Indices!$1:$1,0)+1),INDEX(Indices!$A:$P,0,MATCH(C15,Indices!$1:$1,0)),G34)),"")))</f>
        <v/>
      </c>
      <c r="I34" s="14">
        <f>IF(AD34=0,"",IF(C18="Base fixe",C16,IF(L33="Geler – rattrapage possible",I33,G33)))</f>
        <v/>
      </c>
      <c r="J34" s="28">
        <f>IF(AD34=0,"",IF(OR(I34="",C15=""),"",IFERROR(IF(SUMIFS(INDEX(Indices!$A:$P,0,MATCH(C15,Indices!$1:$1,0)+1),INDEX(Indices!$A:$P,0,MATCH(C15,Indices!$1:$1,0)),I34)=0,"",SUMIFS(INDEX(Indices!$A:$P,0,MATCH(C15,Indices!$1:$1,0)+1),INDEX(Indices!$A:$P,0,MATCH(C15,Indices!$1:$1,0)),I34)),"")))</f>
        <v/>
      </c>
      <c r="K34" s="42">
        <f>IF(OR(H34="",J34=""),"",H34/J34)</f>
        <v/>
      </c>
      <c r="L34" s="13" t="n"/>
      <c r="M34" s="16">
        <f>IF(AD34=0,"",IF(C18="Base fixe",C11,O33))</f>
        <v/>
      </c>
      <c r="N34" s="16">
        <f>IF(OR(K34="",M34=""),"",ROUND(M34*K34,2))</f>
        <v/>
      </c>
      <c r="O34" s="16">
        <f>IF(AD34=0,"",IF(LEFT(L34,5)="Geler",P34,IF(N34="","",IF(C19="",N34,MIN(N34,ROUND(M34*(1+C19/100)^IF(C18="Base fixe",E34*C17,VALUE(LEFT(G34,4))-VALUE(LEFT(I34,4))),2))))))</f>
        <v/>
      </c>
      <c r="P34" s="16">
        <f>IF(AD34=0,"",O33)</f>
        <v/>
      </c>
      <c r="Q34" s="43">
        <f>IF(OR(O34="",P34=""),"",O34/P34-1)</f>
        <v/>
      </c>
      <c r="R34" s="16">
        <f>IF(O34="","",O34/12)</f>
        <v/>
      </c>
      <c r="S34" s="16">
        <f>IF(O34="","",O34/IF(C14="Mensuelle",12,IF(C14="Trimestrielle",4,IF(C14="Semestrielle",2,1))))</f>
        <v/>
      </c>
      <c r="T34" s="16">
        <f>IF(AD34=0,"",IF(C12="",0,C12)/IF(C14="Mensuelle",12,IF(C14="Trimestrielle",4,IF(C14="Semestrielle",2,1))))</f>
        <v/>
      </c>
      <c r="U34" s="16">
        <f>IF(S34="","",(S34+T34)*C13/100)</f>
        <v/>
      </c>
      <c r="V34" s="16">
        <f>IF(S34="","",S34+T34+U34)</f>
        <v/>
      </c>
      <c r="W34" s="14">
        <f>IF(AD34=0,"",IF(LEFT(L34,5)="Geler","❄ Gelée",IF(H34="",IF(F34&lt;=TODAY(),"⚠ Indice attendu","À venir"),IF(F34&lt;=TODAY(),"✔ Calculable","Indice connu – à venir"))))</f>
        <v/>
      </c>
      <c r="X34" s="35" t="n"/>
      <c r="Y34" s="13" t="n"/>
      <c r="Z34" s="44" t="n"/>
      <c r="AA34" s="44" t="n"/>
      <c r="AB34" s="13" t="n"/>
      <c r="AC34" s="14">
        <f>IF(AND(AD34=1,F34&lt;=TODAY(),O34&lt;&gt;""),1,0)</f>
        <v/>
      </c>
      <c r="AD34" s="14">
        <f>IF(F34="",0,IF(AND(ISNUMBER(C10),F34&gt;C10),0,1))</f>
        <v/>
      </c>
    </row>
    <row r="35">
      <c r="E35" s="14" t="n">
        <v>8</v>
      </c>
      <c r="F35" s="15">
        <f>IF(OR(C3="",C8="",C17=""),"",EDATE(C8,12*C17*E35))</f>
        <v/>
      </c>
      <c r="G35" s="14">
        <f>IF(AD35=0,"",IFERROR(TEXT(VALUE(LEFT(C16,4))+E35*C17,"0")&amp;RIGHT(C16,3),""))</f>
        <v/>
      </c>
      <c r="H35" s="28">
        <f>IF(AD35=0,"",IF(OR(G35="",C15=""),"",IFERROR(IF(SUMIFS(INDEX(Indices!$A:$P,0,MATCH(C15,Indices!$1:$1,0)+1),INDEX(Indices!$A:$P,0,MATCH(C15,Indices!$1:$1,0)),G35)=0,"",SUMIFS(INDEX(Indices!$A:$P,0,MATCH(C15,Indices!$1:$1,0)+1),INDEX(Indices!$A:$P,0,MATCH(C15,Indices!$1:$1,0)),G35)),"")))</f>
        <v/>
      </c>
      <c r="I35" s="14">
        <f>IF(AD35=0,"",IF(C18="Base fixe",C16,IF(L34="Geler – rattrapage possible",I34,G34)))</f>
        <v/>
      </c>
      <c r="J35" s="28">
        <f>IF(AD35=0,"",IF(OR(I35="",C15=""),"",IFERROR(IF(SUMIFS(INDEX(Indices!$A:$P,0,MATCH(C15,Indices!$1:$1,0)+1),INDEX(Indices!$A:$P,0,MATCH(C15,Indices!$1:$1,0)),I35)=0,"",SUMIFS(INDEX(Indices!$A:$P,0,MATCH(C15,Indices!$1:$1,0)+1),INDEX(Indices!$A:$P,0,MATCH(C15,Indices!$1:$1,0)),I35)),"")))</f>
        <v/>
      </c>
      <c r="K35" s="42">
        <f>IF(OR(H35="",J35=""),"",H35/J35)</f>
        <v/>
      </c>
      <c r="L35" s="13" t="n"/>
      <c r="M35" s="16">
        <f>IF(AD35=0,"",IF(C18="Base fixe",C11,O34))</f>
        <v/>
      </c>
      <c r="N35" s="16">
        <f>IF(OR(K35="",M35=""),"",ROUND(M35*K35,2))</f>
        <v/>
      </c>
      <c r="O35" s="16">
        <f>IF(AD35=0,"",IF(LEFT(L35,5)="Geler",P35,IF(N35="","",IF(C19="",N35,MIN(N35,ROUND(M35*(1+C19/100)^IF(C18="Base fixe",E35*C17,VALUE(LEFT(G35,4))-VALUE(LEFT(I35,4))),2))))))</f>
        <v/>
      </c>
      <c r="P35" s="16">
        <f>IF(AD35=0,"",O34)</f>
        <v/>
      </c>
      <c r="Q35" s="43">
        <f>IF(OR(O35="",P35=""),"",O35/P35-1)</f>
        <v/>
      </c>
      <c r="R35" s="16">
        <f>IF(O35="","",O35/12)</f>
        <v/>
      </c>
      <c r="S35" s="16">
        <f>IF(O35="","",O35/IF(C14="Mensuelle",12,IF(C14="Trimestrielle",4,IF(C14="Semestrielle",2,1))))</f>
        <v/>
      </c>
      <c r="T35" s="16">
        <f>IF(AD35=0,"",IF(C12="",0,C12)/IF(C14="Mensuelle",12,IF(C14="Trimestrielle",4,IF(C14="Semestrielle",2,1))))</f>
        <v/>
      </c>
      <c r="U35" s="16">
        <f>IF(S35="","",(S35+T35)*C13/100)</f>
        <v/>
      </c>
      <c r="V35" s="16">
        <f>IF(S35="","",S35+T35+U35)</f>
        <v/>
      </c>
      <c r="W35" s="14">
        <f>IF(AD35=0,"",IF(LEFT(L35,5)="Geler","❄ Gelée",IF(H35="",IF(F35&lt;=TODAY(),"⚠ Indice attendu","À venir"),IF(F35&lt;=TODAY(),"✔ Calculable","Indice connu – à venir"))))</f>
        <v/>
      </c>
      <c r="X35" s="35" t="n"/>
      <c r="Y35" s="13" t="n"/>
      <c r="Z35" s="44" t="n"/>
      <c r="AA35" s="44" t="n"/>
      <c r="AB35" s="13" t="n"/>
      <c r="AC35" s="14">
        <f>IF(AND(AD35=1,F35&lt;=TODAY(),O35&lt;&gt;""),1,0)</f>
        <v/>
      </c>
      <c r="AD35" s="14">
        <f>IF(F35="",0,IF(AND(ISNUMBER(C10),F35&gt;C10),0,1))</f>
        <v/>
      </c>
    </row>
    <row r="36">
      <c r="E36" s="14" t="n">
        <v>9</v>
      </c>
      <c r="F36" s="15">
        <f>IF(OR(C3="",C8="",C17=""),"",EDATE(C8,12*C17*E36))</f>
        <v/>
      </c>
      <c r="G36" s="14">
        <f>IF(AD36=0,"",IFERROR(TEXT(VALUE(LEFT(C16,4))+E36*C17,"0")&amp;RIGHT(C16,3),""))</f>
        <v/>
      </c>
      <c r="H36" s="28">
        <f>IF(AD36=0,"",IF(OR(G36="",C15=""),"",IFERROR(IF(SUMIFS(INDEX(Indices!$A:$P,0,MATCH(C15,Indices!$1:$1,0)+1),INDEX(Indices!$A:$P,0,MATCH(C15,Indices!$1:$1,0)),G36)=0,"",SUMIFS(INDEX(Indices!$A:$P,0,MATCH(C15,Indices!$1:$1,0)+1),INDEX(Indices!$A:$P,0,MATCH(C15,Indices!$1:$1,0)),G36)),"")))</f>
        <v/>
      </c>
      <c r="I36" s="14">
        <f>IF(AD36=0,"",IF(C18="Base fixe",C16,IF(L35="Geler – rattrapage possible",I35,G35)))</f>
        <v/>
      </c>
      <c r="J36" s="28">
        <f>IF(AD36=0,"",IF(OR(I36="",C15=""),"",IFERROR(IF(SUMIFS(INDEX(Indices!$A:$P,0,MATCH(C15,Indices!$1:$1,0)+1),INDEX(Indices!$A:$P,0,MATCH(C15,Indices!$1:$1,0)),I36)=0,"",SUMIFS(INDEX(Indices!$A:$P,0,MATCH(C15,Indices!$1:$1,0)+1),INDEX(Indices!$A:$P,0,MATCH(C15,Indices!$1:$1,0)),I36)),"")))</f>
        <v/>
      </c>
      <c r="K36" s="42">
        <f>IF(OR(H36="",J36=""),"",H36/J36)</f>
        <v/>
      </c>
      <c r="L36" s="13" t="n"/>
      <c r="M36" s="16">
        <f>IF(AD36=0,"",IF(C18="Base fixe",C11,O35))</f>
        <v/>
      </c>
      <c r="N36" s="16">
        <f>IF(OR(K36="",M36=""),"",ROUND(M36*K36,2))</f>
        <v/>
      </c>
      <c r="O36" s="16">
        <f>IF(AD36=0,"",IF(LEFT(L36,5)="Geler",P36,IF(N36="","",IF(C19="",N36,MIN(N36,ROUND(M36*(1+C19/100)^IF(C18="Base fixe",E36*C17,VALUE(LEFT(G36,4))-VALUE(LEFT(I36,4))),2))))))</f>
        <v/>
      </c>
      <c r="P36" s="16">
        <f>IF(AD36=0,"",O35)</f>
        <v/>
      </c>
      <c r="Q36" s="43">
        <f>IF(OR(O36="",P36=""),"",O36/P36-1)</f>
        <v/>
      </c>
      <c r="R36" s="16">
        <f>IF(O36="","",O36/12)</f>
        <v/>
      </c>
      <c r="S36" s="16">
        <f>IF(O36="","",O36/IF(C14="Mensuelle",12,IF(C14="Trimestrielle",4,IF(C14="Semestrielle",2,1))))</f>
        <v/>
      </c>
      <c r="T36" s="16">
        <f>IF(AD36=0,"",IF(C12="",0,C12)/IF(C14="Mensuelle",12,IF(C14="Trimestrielle",4,IF(C14="Semestrielle",2,1))))</f>
        <v/>
      </c>
      <c r="U36" s="16">
        <f>IF(S36="","",(S36+T36)*C13/100)</f>
        <v/>
      </c>
      <c r="V36" s="16">
        <f>IF(S36="","",S36+T36+U36)</f>
        <v/>
      </c>
      <c r="W36" s="14">
        <f>IF(AD36=0,"",IF(LEFT(L36,5)="Geler","❄ Gelée",IF(H36="",IF(F36&lt;=TODAY(),"⚠ Indice attendu","À venir"),IF(F36&lt;=TODAY(),"✔ Calculable","Indice connu – à venir"))))</f>
        <v/>
      </c>
      <c r="X36" s="35" t="n"/>
      <c r="Y36" s="13" t="n"/>
      <c r="Z36" s="44" t="n"/>
      <c r="AA36" s="44" t="n"/>
      <c r="AB36" s="13" t="n"/>
      <c r="AC36" s="14">
        <f>IF(AND(AD36=1,F36&lt;=TODAY(),O36&lt;&gt;""),1,0)</f>
        <v/>
      </c>
      <c r="AD36" s="14">
        <f>IF(F36="",0,IF(AND(ISNUMBER(C10),F36&gt;C10),0,1))</f>
        <v/>
      </c>
    </row>
    <row r="37">
      <c r="E37" s="14" t="n">
        <v>10</v>
      </c>
      <c r="F37" s="15">
        <f>IF(OR(C3="",C8="",C17=""),"",EDATE(C8,12*C17*E37))</f>
        <v/>
      </c>
      <c r="G37" s="14">
        <f>IF(AD37=0,"",IFERROR(TEXT(VALUE(LEFT(C16,4))+E37*C17,"0")&amp;RIGHT(C16,3),""))</f>
        <v/>
      </c>
      <c r="H37" s="28">
        <f>IF(AD37=0,"",IF(OR(G37="",C15=""),"",IFERROR(IF(SUMIFS(INDEX(Indices!$A:$P,0,MATCH(C15,Indices!$1:$1,0)+1),INDEX(Indices!$A:$P,0,MATCH(C15,Indices!$1:$1,0)),G37)=0,"",SUMIFS(INDEX(Indices!$A:$P,0,MATCH(C15,Indices!$1:$1,0)+1),INDEX(Indices!$A:$P,0,MATCH(C15,Indices!$1:$1,0)),G37)),"")))</f>
        <v/>
      </c>
      <c r="I37" s="14">
        <f>IF(AD37=0,"",IF(C18="Base fixe",C16,IF(L36="Geler – rattrapage possible",I36,G36)))</f>
        <v/>
      </c>
      <c r="J37" s="28">
        <f>IF(AD37=0,"",IF(OR(I37="",C15=""),"",IFERROR(IF(SUMIFS(INDEX(Indices!$A:$P,0,MATCH(C15,Indices!$1:$1,0)+1),INDEX(Indices!$A:$P,0,MATCH(C15,Indices!$1:$1,0)),I37)=0,"",SUMIFS(INDEX(Indices!$A:$P,0,MATCH(C15,Indices!$1:$1,0)+1),INDEX(Indices!$A:$P,0,MATCH(C15,Indices!$1:$1,0)),I37)),"")))</f>
        <v/>
      </c>
      <c r="K37" s="42">
        <f>IF(OR(H37="",J37=""),"",H37/J37)</f>
        <v/>
      </c>
      <c r="L37" s="13" t="n"/>
      <c r="M37" s="16">
        <f>IF(AD37=0,"",IF(C18="Base fixe",C11,O36))</f>
        <v/>
      </c>
      <c r="N37" s="16">
        <f>IF(OR(K37="",M37=""),"",ROUND(M37*K37,2))</f>
        <v/>
      </c>
      <c r="O37" s="16">
        <f>IF(AD37=0,"",IF(LEFT(L37,5)="Geler",P37,IF(N37="","",IF(C19="",N37,MIN(N37,ROUND(M37*(1+C19/100)^IF(C18="Base fixe",E37*C17,VALUE(LEFT(G37,4))-VALUE(LEFT(I37,4))),2))))))</f>
        <v/>
      </c>
      <c r="P37" s="16">
        <f>IF(AD37=0,"",O36)</f>
        <v/>
      </c>
      <c r="Q37" s="43">
        <f>IF(OR(O37="",P37=""),"",O37/P37-1)</f>
        <v/>
      </c>
      <c r="R37" s="16">
        <f>IF(O37="","",O37/12)</f>
        <v/>
      </c>
      <c r="S37" s="16">
        <f>IF(O37="","",O37/IF(C14="Mensuelle",12,IF(C14="Trimestrielle",4,IF(C14="Semestrielle",2,1))))</f>
        <v/>
      </c>
      <c r="T37" s="16">
        <f>IF(AD37=0,"",IF(C12="",0,C12)/IF(C14="Mensuelle",12,IF(C14="Trimestrielle",4,IF(C14="Semestrielle",2,1))))</f>
        <v/>
      </c>
      <c r="U37" s="16">
        <f>IF(S37="","",(S37+T37)*C13/100)</f>
        <v/>
      </c>
      <c r="V37" s="16">
        <f>IF(S37="","",S37+T37+U37)</f>
        <v/>
      </c>
      <c r="W37" s="14">
        <f>IF(AD37=0,"",IF(LEFT(L37,5)="Geler","❄ Gelée",IF(H37="",IF(F37&lt;=TODAY(),"⚠ Indice attendu","À venir"),IF(F37&lt;=TODAY(),"✔ Calculable","Indice connu – à venir"))))</f>
        <v/>
      </c>
      <c r="X37" s="35" t="n"/>
      <c r="Y37" s="13" t="n"/>
      <c r="Z37" s="44" t="n"/>
      <c r="AA37" s="44" t="n"/>
      <c r="AB37" s="13" t="n"/>
      <c r="AC37" s="14">
        <f>IF(AND(AD37=1,F37&lt;=TODAY(),O37&lt;&gt;""),1,0)</f>
        <v/>
      </c>
      <c r="AD37" s="14">
        <f>IF(F37="",0,IF(AND(ISNUMBER(C10),F37&gt;C10),0,1))</f>
        <v/>
      </c>
    </row>
    <row r="38">
      <c r="E38" s="14" t="n">
        <v>11</v>
      </c>
      <c r="F38" s="15">
        <f>IF(OR(C3="",C8="",C17=""),"",EDATE(C8,12*C17*E38))</f>
        <v/>
      </c>
      <c r="G38" s="14">
        <f>IF(AD38=0,"",IFERROR(TEXT(VALUE(LEFT(C16,4))+E38*C17,"0")&amp;RIGHT(C16,3),""))</f>
        <v/>
      </c>
      <c r="H38" s="28">
        <f>IF(AD38=0,"",IF(OR(G38="",C15=""),"",IFERROR(IF(SUMIFS(INDEX(Indices!$A:$P,0,MATCH(C15,Indices!$1:$1,0)+1),INDEX(Indices!$A:$P,0,MATCH(C15,Indices!$1:$1,0)),G38)=0,"",SUMIFS(INDEX(Indices!$A:$P,0,MATCH(C15,Indices!$1:$1,0)+1),INDEX(Indices!$A:$P,0,MATCH(C15,Indices!$1:$1,0)),G38)),"")))</f>
        <v/>
      </c>
      <c r="I38" s="14">
        <f>IF(AD38=0,"",IF(C18="Base fixe",C16,IF(L37="Geler – rattrapage possible",I37,G37)))</f>
        <v/>
      </c>
      <c r="J38" s="28">
        <f>IF(AD38=0,"",IF(OR(I38="",C15=""),"",IFERROR(IF(SUMIFS(INDEX(Indices!$A:$P,0,MATCH(C15,Indices!$1:$1,0)+1),INDEX(Indices!$A:$P,0,MATCH(C15,Indices!$1:$1,0)),I38)=0,"",SUMIFS(INDEX(Indices!$A:$P,0,MATCH(C15,Indices!$1:$1,0)+1),INDEX(Indices!$A:$P,0,MATCH(C15,Indices!$1:$1,0)),I38)),"")))</f>
        <v/>
      </c>
      <c r="K38" s="42">
        <f>IF(OR(H38="",J38=""),"",H38/J38)</f>
        <v/>
      </c>
      <c r="L38" s="13" t="n"/>
      <c r="M38" s="16">
        <f>IF(AD38=0,"",IF(C18="Base fixe",C11,O37))</f>
        <v/>
      </c>
      <c r="N38" s="16">
        <f>IF(OR(K38="",M38=""),"",ROUND(M38*K38,2))</f>
        <v/>
      </c>
      <c r="O38" s="16">
        <f>IF(AD38=0,"",IF(LEFT(L38,5)="Geler",P38,IF(N38="","",IF(C19="",N38,MIN(N38,ROUND(M38*(1+C19/100)^IF(C18="Base fixe",E38*C17,VALUE(LEFT(G38,4))-VALUE(LEFT(I38,4))),2))))))</f>
        <v/>
      </c>
      <c r="P38" s="16">
        <f>IF(AD38=0,"",O37)</f>
        <v/>
      </c>
      <c r="Q38" s="43">
        <f>IF(OR(O38="",P38=""),"",O38/P38-1)</f>
        <v/>
      </c>
      <c r="R38" s="16">
        <f>IF(O38="","",O38/12)</f>
        <v/>
      </c>
      <c r="S38" s="16">
        <f>IF(O38="","",O38/IF(C14="Mensuelle",12,IF(C14="Trimestrielle",4,IF(C14="Semestrielle",2,1))))</f>
        <v/>
      </c>
      <c r="T38" s="16">
        <f>IF(AD38=0,"",IF(C12="",0,C12)/IF(C14="Mensuelle",12,IF(C14="Trimestrielle",4,IF(C14="Semestrielle",2,1))))</f>
        <v/>
      </c>
      <c r="U38" s="16">
        <f>IF(S38="","",(S38+T38)*C13/100)</f>
        <v/>
      </c>
      <c r="V38" s="16">
        <f>IF(S38="","",S38+T38+U38)</f>
        <v/>
      </c>
      <c r="W38" s="14">
        <f>IF(AD38=0,"",IF(LEFT(L38,5)="Geler","❄ Gelée",IF(H38="",IF(F38&lt;=TODAY(),"⚠ Indice attendu","À venir"),IF(F38&lt;=TODAY(),"✔ Calculable","Indice connu – à venir"))))</f>
        <v/>
      </c>
      <c r="X38" s="35" t="n"/>
      <c r="Y38" s="13" t="n"/>
      <c r="Z38" s="44" t="n"/>
      <c r="AA38" s="44" t="n"/>
      <c r="AB38" s="13" t="n"/>
      <c r="AC38" s="14">
        <f>IF(AND(AD38=1,F38&lt;=TODAY(),O38&lt;&gt;""),1,0)</f>
        <v/>
      </c>
      <c r="AD38" s="14">
        <f>IF(F38="",0,IF(AND(ISNUMBER(C10),F38&gt;C10),0,1))</f>
        <v/>
      </c>
    </row>
    <row r="39">
      <c r="E39" s="14" t="n">
        <v>12</v>
      </c>
      <c r="F39" s="15">
        <f>IF(OR(C3="",C8="",C17=""),"",EDATE(C8,12*C17*E39))</f>
        <v/>
      </c>
      <c r="G39" s="14">
        <f>IF(AD39=0,"",IFERROR(TEXT(VALUE(LEFT(C16,4))+E39*C17,"0")&amp;RIGHT(C16,3),""))</f>
        <v/>
      </c>
      <c r="H39" s="28">
        <f>IF(AD39=0,"",IF(OR(G39="",C15=""),"",IFERROR(IF(SUMIFS(INDEX(Indices!$A:$P,0,MATCH(C15,Indices!$1:$1,0)+1),INDEX(Indices!$A:$P,0,MATCH(C15,Indices!$1:$1,0)),G39)=0,"",SUMIFS(INDEX(Indices!$A:$P,0,MATCH(C15,Indices!$1:$1,0)+1),INDEX(Indices!$A:$P,0,MATCH(C15,Indices!$1:$1,0)),G39)),"")))</f>
        <v/>
      </c>
      <c r="I39" s="14">
        <f>IF(AD39=0,"",IF(C18="Base fixe",C16,IF(L38="Geler – rattrapage possible",I38,G38)))</f>
        <v/>
      </c>
      <c r="J39" s="28">
        <f>IF(AD39=0,"",IF(OR(I39="",C15=""),"",IFERROR(IF(SUMIFS(INDEX(Indices!$A:$P,0,MATCH(C15,Indices!$1:$1,0)+1),INDEX(Indices!$A:$P,0,MATCH(C15,Indices!$1:$1,0)),I39)=0,"",SUMIFS(INDEX(Indices!$A:$P,0,MATCH(C15,Indices!$1:$1,0)+1),INDEX(Indices!$A:$P,0,MATCH(C15,Indices!$1:$1,0)),I39)),"")))</f>
        <v/>
      </c>
      <c r="K39" s="42">
        <f>IF(OR(H39="",J39=""),"",H39/J39)</f>
        <v/>
      </c>
      <c r="L39" s="13" t="n"/>
      <c r="M39" s="16">
        <f>IF(AD39=0,"",IF(C18="Base fixe",C11,O38))</f>
        <v/>
      </c>
      <c r="N39" s="16">
        <f>IF(OR(K39="",M39=""),"",ROUND(M39*K39,2))</f>
        <v/>
      </c>
      <c r="O39" s="16">
        <f>IF(AD39=0,"",IF(LEFT(L39,5)="Geler",P39,IF(N39="","",IF(C19="",N39,MIN(N39,ROUND(M39*(1+C19/100)^IF(C18="Base fixe",E39*C17,VALUE(LEFT(G39,4))-VALUE(LEFT(I39,4))),2))))))</f>
        <v/>
      </c>
      <c r="P39" s="16">
        <f>IF(AD39=0,"",O38)</f>
        <v/>
      </c>
      <c r="Q39" s="43">
        <f>IF(OR(O39="",P39=""),"",O39/P39-1)</f>
        <v/>
      </c>
      <c r="R39" s="16">
        <f>IF(O39="","",O39/12)</f>
        <v/>
      </c>
      <c r="S39" s="16">
        <f>IF(O39="","",O39/IF(C14="Mensuelle",12,IF(C14="Trimestrielle",4,IF(C14="Semestrielle",2,1))))</f>
        <v/>
      </c>
      <c r="T39" s="16">
        <f>IF(AD39=0,"",IF(C12="",0,C12)/IF(C14="Mensuelle",12,IF(C14="Trimestrielle",4,IF(C14="Semestrielle",2,1))))</f>
        <v/>
      </c>
      <c r="U39" s="16">
        <f>IF(S39="","",(S39+T39)*C13/100)</f>
        <v/>
      </c>
      <c r="V39" s="16">
        <f>IF(S39="","",S39+T39+U39)</f>
        <v/>
      </c>
      <c r="W39" s="14">
        <f>IF(AD39=0,"",IF(LEFT(L39,5)="Geler","❄ Gelée",IF(H39="",IF(F39&lt;=TODAY(),"⚠ Indice attendu","À venir"),IF(F39&lt;=TODAY(),"✔ Calculable","Indice connu – à venir"))))</f>
        <v/>
      </c>
      <c r="X39" s="35" t="n"/>
      <c r="Y39" s="13" t="n"/>
      <c r="Z39" s="44" t="n"/>
      <c r="AA39" s="44" t="n"/>
      <c r="AB39" s="13" t="n"/>
      <c r="AC39" s="14">
        <f>IF(AND(AD39=1,F39&lt;=TODAY(),O39&lt;&gt;""),1,0)</f>
        <v/>
      </c>
      <c r="AD39" s="14">
        <f>IF(F39="",0,IF(AND(ISNUMBER(C10),F39&gt;C10),0,1))</f>
        <v/>
      </c>
    </row>
  </sheetData>
  <mergeCells count="10">
    <mergeCell ref="G6:J6"/>
    <mergeCell ref="G9:J9"/>
    <mergeCell ref="G3:J3"/>
    <mergeCell ref="G8:J8"/>
    <mergeCell ref="G4:J4"/>
    <mergeCell ref="G12:J12"/>
    <mergeCell ref="G7:J7"/>
    <mergeCell ref="G11:J11"/>
    <mergeCell ref="G5:J5"/>
    <mergeCell ref="G10:J10"/>
  </mergeCells>
  <conditionalFormatting sqref="K11">
    <cfRule type="expression" priority="1" dxfId="2">
      <formula>LEFT(K11,1)="⚠"</formula>
    </cfRule>
  </conditionalFormatting>
  <conditionalFormatting sqref="C24">
    <cfRule type="expression" priority="2" dxfId="2">
      <formula>AND(C24&lt;&gt;"",C24&lt;&gt;"OK")</formula>
    </cfRule>
  </conditionalFormatting>
  <conditionalFormatting sqref="W28:W39">
    <cfRule type="expression" priority="3" dxfId="0">
      <formula>LEFT(W28,1)="⚠"</formula>
    </cfRule>
    <cfRule type="expression" priority="4" dxfId="4">
      <formula>AND(LEFT(W28,1)="✔",Y28&lt;&gt;"Oui")</formula>
    </cfRule>
    <cfRule type="expression" priority="5" dxfId="5">
      <formula>AND(LEFT(W28,1)="✔",Y28="Oui")</formula>
    </cfRule>
    <cfRule type="expression" priority="6" dxfId="6">
      <formula>LEFT(W28,1)="❄"</formula>
    </cfRule>
  </conditionalFormatting>
  <conditionalFormatting sqref="E28:AB39">
    <cfRule type="expression" priority="7" dxfId="7">
      <formula>$AD28=0</formula>
    </cfRule>
  </conditionalFormatting>
  <dataValidations count="7">
    <dataValidation sqref="C7" showDropDown="0" showInputMessage="0" showErrorMessage="0" allowBlank="1" type="list">
      <formula1>"Commercial,Professionnel,Habitation,Dérogatoire,Autre"</formula1>
    </dataValidation>
    <dataValidation sqref="C14" showDropDown="0" showInputMessage="0" showErrorMessage="0" allowBlank="1" type="list">
      <formula1>"Mensuelle,Trimestrielle,Semestrielle,Annuelle"</formula1>
    </dataValidation>
    <dataValidation sqref="C15" showDropDown="0" showInputMessage="0" showErrorMessage="0" allowBlank="1" type="list">
      <formula1>"ILC,ILAT,ICC,IRL"</formula1>
    </dataValidation>
    <dataValidation sqref="C18" showDropDown="0" showInputMessage="0" showErrorMessage="0" allowBlank="1" type="list">
      <formula1>"Chaînée,Base fixe"</formula1>
    </dataValidation>
    <dataValidation sqref="C17" showDropDown="0" showInputMessage="0" showErrorMessage="0" allowBlank="1" type="list">
      <formula1>"1,2,3"</formula1>
    </dataValidation>
    <dataValidation sqref="Y28:Y39" showDropDown="0" showInputMessage="0" showErrorMessage="0" allowBlank="1" type="list">
      <formula1>"Oui,Non"</formula1>
    </dataValidation>
    <dataValidation sqref="L28:L39" showDropDown="0" showInputMessage="1" showErrorMessage="0" allowBlank="1" promptTitle="Décision du bailleur" prompt="Vide ou Appliquer = révision appliquée. Geler = loyer inchangé ; « rattrapage possible » repart de l'indice de la dernière révision appliquée." type="list">
      <formula1>"Appliquer,Geler – sans rattrapage,Geler – rattrapage possible"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AD39"/>
  <sheetViews>
    <sheetView zoomScale="9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" customWidth="1" min="4" max="4"/>
    <col width="5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4" customWidth="1" min="12" max="12"/>
    <col width="14" customWidth="1" min="13" max="13"/>
    <col width="13" customWidth="1" min="14" max="14"/>
    <col width="14" customWidth="1" min="15" max="15"/>
    <col width="14" customWidth="1" min="16" max="16"/>
    <col width="8" customWidth="1" min="17" max="17"/>
    <col width="12" customWidth="1" min="18" max="18"/>
    <col width="12" customWidth="1" min="19" max="19"/>
    <col width="12" customWidth="1" min="20" max="20"/>
    <col width="11" customWidth="1" min="21" max="21"/>
    <col width="12" customWidth="1" min="22" max="22"/>
    <col width="20" customWidth="1" min="23" max="23"/>
    <col width="40" customWidth="1" min="24" max="24"/>
    <col width="10" customWidth="1" min="25" max="25"/>
    <col width="12" customWidth="1" min="26" max="26"/>
    <col width="12" customWidth="1" min="27" max="27"/>
    <col width="28" customWidth="1" min="28" max="28"/>
    <col hidden="1" width="6" customWidth="1" min="29" max="29"/>
    <col hidden="1" width="6" customWidth="1" min="30" max="30"/>
  </cols>
  <sheetData>
    <row r="1">
      <c r="B1" s="1">
        <f>IF(C3="","Fiche de bail","Fiche de bail – "&amp;C3&amp;IF(C5&lt;&gt;""," – "&amp;C5,""))</f>
        <v/>
      </c>
    </row>
    <row r="2">
      <c r="G2" s="5" t="inlineStr">
        <is>
          <t>Situation actuelle</t>
        </is>
      </c>
    </row>
    <row r="3">
      <c r="B3" s="31" t="inlineStr">
        <is>
          <t>ID bail (= nom de l'onglet)</t>
        </is>
      </c>
      <c r="C3" s="32" t="inlineStr">
        <is>
          <t>B01</t>
        </is>
      </c>
      <c r="G3" s="6" t="inlineStr">
        <is>
          <t>Loyer actuel (annuel HT)</t>
        </is>
      </c>
      <c r="K3" s="33">
        <f>IF(C11="","",IF(K5=0,C11,INDEX($O$28:$O$39,K5)))</f>
        <v/>
      </c>
    </row>
    <row r="4">
      <c r="B4" s="31" t="inlineStr">
        <is>
          <t>Local (désignation / adresse)</t>
        </is>
      </c>
      <c r="C4" s="32" t="inlineStr">
        <is>
          <t>Boutique 12 rue de la Paix</t>
        </is>
      </c>
      <c r="G4" s="6" t="inlineStr">
        <is>
          <t>Loyer actuel mensuel HT</t>
        </is>
      </c>
      <c r="K4" s="33">
        <f>IF(K3="","",K3/12)</f>
        <v/>
      </c>
    </row>
    <row r="5">
      <c r="B5" s="31" t="inlineStr">
        <is>
          <t>Locataire</t>
        </is>
      </c>
      <c r="C5" s="32" t="inlineStr">
        <is>
          <t>Boulangerie Dupont SAS</t>
        </is>
      </c>
      <c r="G5" s="6" t="inlineStr">
        <is>
          <t>N° dernière révision effective</t>
        </is>
      </c>
      <c r="K5" s="34">
        <f>_xlfn.MAXIFS($E$28:$E$39,$AC$28:$AC$39,1)</f>
        <v/>
      </c>
    </row>
    <row r="6" ht="30" customHeight="1">
      <c r="B6" s="31" t="inlineStr">
        <is>
          <t>Adresse du locataire (courrier)</t>
        </is>
      </c>
      <c r="C6" s="35" t="inlineStr">
        <is>
          <t>12 rue de la Paix
75002 Paris</t>
        </is>
      </c>
      <c r="G6" s="6" t="inlineStr">
        <is>
          <t>Prochaine révision</t>
        </is>
      </c>
      <c r="K6" s="36">
        <f>IF(_xlfn.MINIFS($F$28:$F$39,$AD$28:$AD$39,1,$F$28:$F$39,"&gt;"&amp;TODAY())=0,"—",_xlfn.MINIFS($F$28:$F$39,$AD$28:$AD$39,1,$F$28:$F$39,"&gt;"&amp;TODAY()))</f>
        <v/>
      </c>
    </row>
    <row r="7">
      <c r="B7" s="31" t="inlineStr">
        <is>
          <t>Type de bail</t>
        </is>
      </c>
      <c r="C7" s="32" t="inlineStr">
        <is>
          <t>Commercial</t>
        </is>
      </c>
      <c r="G7" s="6" t="inlineStr">
        <is>
          <t>Trimestre attendu</t>
        </is>
      </c>
      <c r="K7" s="37">
        <f>IF(K5+1&gt;12,"—",IF(INDEX($AD$28:$AD$39,K5+1)=0,"—",INDEX($G$28:$G$39,K5+1)))</f>
        <v/>
      </c>
    </row>
    <row r="8">
      <c r="B8" s="31" t="inlineStr">
        <is>
          <t>Date de prise d'effet</t>
        </is>
      </c>
      <c r="C8" s="38" t="n">
        <v>44287</v>
      </c>
      <c r="G8" s="6" t="inlineStr">
        <is>
          <t>Indice publié ?</t>
        </is>
      </c>
      <c r="K8" s="37">
        <f>IF(K7="—","—",IF(IF(OR(K7="",C15=""),"",IFERROR(IF(SUMIFS(INDEX(Indices!$A:$P,0,MATCH(C15,Indices!$1:$1,0)+1),INDEX(Indices!$A:$P,0,MATCH(C15,Indices!$1:$1,0)),K7)=0,"",SUMIFS(INDEX(Indices!$A:$P,0,MATCH(C15,Indices!$1:$1,0)+1),INDEX(Indices!$A:$P,0,MATCH(C15,Indices!$1:$1,0)),K7)),""))="","Non","Oui"))</f>
        <v/>
      </c>
    </row>
    <row r="9">
      <c r="B9" s="31" t="inlineStr">
        <is>
          <t>Durée (ans)</t>
        </is>
      </c>
      <c r="C9" s="32" t="n">
        <v>9</v>
      </c>
      <c r="G9" s="6" t="inlineStr">
        <is>
          <t>Révisions calculables non facturées</t>
        </is>
      </c>
      <c r="K9" s="34">
        <f>COUNTIFS($W$28:$W$39,"✔ Calculable",$Y$28:$Y$39,"&lt;&gt;Oui")</f>
        <v/>
      </c>
    </row>
    <row r="10">
      <c r="B10" s="31" t="inlineStr">
        <is>
          <t>Date de fin</t>
        </is>
      </c>
      <c r="C10" s="39">
        <f>IF(OR(C8="",C9=""),"",EDATE(C8,12*C9))</f>
        <v/>
      </c>
      <c r="G10" s="6" t="inlineStr">
        <is>
          <t>Révisions gelées</t>
        </is>
      </c>
      <c r="K10" s="34">
        <f>COUNTIFS($W$28:$W$39,"❄ Gelée")</f>
        <v/>
      </c>
    </row>
    <row r="11">
      <c r="B11" s="31" t="inlineStr">
        <is>
          <t>Loyer initial annuel HT</t>
        </is>
      </c>
      <c r="C11" s="40" t="n">
        <v>24000</v>
      </c>
      <c r="G11" s="6" t="inlineStr">
        <is>
          <t>Action</t>
        </is>
      </c>
      <c r="K11" s="37">
        <f>IF(C3="","",IF(K9&gt;0,"⚠ Facturer la révision ("&amp;K9&amp;" en attente)",IF(AND(K6&lt;&gt;"—",K6-TODAY()&lt;=60),IF(K8="Oui","Révision dans "&amp;INT(K6-TODAY())&amp;" j – indice publié","Révision dans "&amp;INT(K6-TODAY())&amp;" j – indice non publié"),"RAS")))</f>
        <v/>
      </c>
    </row>
    <row r="12">
      <c r="B12" s="31" t="inlineStr">
        <is>
          <t>Charges annuelles HT</t>
        </is>
      </c>
      <c r="C12" s="40" t="n">
        <v>2400</v>
      </c>
      <c r="G12" s="6" t="inlineStr">
        <is>
          <t>Consigne de la prochaine révision</t>
        </is>
      </c>
      <c r="K12" s="37">
        <f>IF(K5+1&gt;12,"",INDEX($X$28:$X$39,K5+1)&amp;"")</f>
        <v/>
      </c>
    </row>
    <row r="13">
      <c r="B13" s="31" t="inlineStr">
        <is>
          <t>TVA (%)</t>
        </is>
      </c>
      <c r="C13" s="32" t="n">
        <v>20</v>
      </c>
    </row>
    <row r="14">
      <c r="B14" s="31" t="inlineStr">
        <is>
          <t>Périodicité de facturation</t>
        </is>
      </c>
      <c r="C14" s="32" t="inlineStr">
        <is>
          <t>Mensuelle</t>
        </is>
      </c>
    </row>
    <row r="15">
      <c r="B15" s="31" t="inlineStr">
        <is>
          <t>Indice</t>
        </is>
      </c>
      <c r="C15" s="32" t="inlineStr">
        <is>
          <t>ILC</t>
        </is>
      </c>
    </row>
    <row r="16">
      <c r="B16" s="31" t="inlineStr">
        <is>
          <t>Trimestre indice de base</t>
        </is>
      </c>
      <c r="C16" s="32" t="inlineStr">
        <is>
          <t>2020-T4</t>
        </is>
      </c>
    </row>
    <row r="17">
      <c r="B17" s="31" t="inlineStr">
        <is>
          <t>Périodicité de révision (ans)</t>
        </is>
      </c>
      <c r="C17" s="32" t="n">
        <v>1</v>
      </c>
    </row>
    <row r="18">
      <c r="B18" s="31" t="inlineStr">
        <is>
          <t>Méthode</t>
        </is>
      </c>
      <c r="C18" s="32" t="inlineStr">
        <is>
          <t>Chaînée</t>
        </is>
      </c>
    </row>
    <row r="19">
      <c r="B19" s="31" t="inlineStr">
        <is>
          <t>Plafond annuel (%) – optionnel</t>
        </is>
      </c>
      <c r="C19" s="32" t="n"/>
    </row>
    <row r="20">
      <c r="B20" s="31" t="inlineStr">
        <is>
          <t>Pennylane customer_id</t>
        </is>
      </c>
      <c r="C20" s="32" t="inlineStr">
        <is>
          <t>100001</t>
        </is>
      </c>
    </row>
    <row r="21">
      <c r="B21" s="31" t="inlineStr">
        <is>
          <t>Pennylane product_id</t>
        </is>
      </c>
      <c r="C21" s="32" t="n"/>
    </row>
    <row r="22">
      <c r="B22" s="31" t="inlineStr">
        <is>
          <t>Pennylane subscription_id</t>
        </is>
      </c>
      <c r="C22" s="32" t="n"/>
    </row>
    <row r="23" ht="45" customHeight="1">
      <c r="B23" s="31" t="inlineStr">
        <is>
          <t>Notes / clause d'indexation</t>
        </is>
      </c>
      <c r="C23" s="35" t="inlineStr">
        <is>
          <t>Clause d'échelle mobile annuelle, ILC même trimestre</t>
        </is>
      </c>
    </row>
    <row r="24">
      <c r="B24" s="31" t="inlineStr">
        <is>
          <t>Contrôles</t>
        </is>
      </c>
      <c r="C24" s="41">
        <f>IF(C3="","",IF(AND(C8&lt;&gt;"",ISNUMBER(C11),C15&lt;&gt;"",LEN(C16)=7,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,OR(C19="",ISNUMBER(C19))),"OK",TRIM(IF(C8="","Date d'effet manquante. ","")&amp;IF(NOT(ISNUMBER(C11)),"Loyer initial manquant. ","")&amp;IF(C15="","Indice manquant. ","")&amp;IF(LEN(C16)&lt;&gt;7,"Trimestre de base au format AAAA-Tn. ","")&amp;IF(AND(LEN(C16)=7,C15&lt;&gt;"",NOT(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)),"Indice de base "&amp;C16&amp;" absent de la feuille Indices. ","")&amp;IF(AND(C19&lt;&gt;"",NOT(ISNUMBER(C19))),"Plafond non numérique. ",""))))</f>
        <v/>
      </c>
    </row>
    <row r="26">
      <c r="E26" s="5" t="inlineStr">
        <is>
          <t>Révisions</t>
        </is>
      </c>
    </row>
    <row r="27" ht="42" customHeight="1">
      <c r="E27" s="12" t="inlineStr">
        <is>
          <t>N°</t>
        </is>
      </c>
      <c r="F27" s="12" t="inlineStr">
        <is>
          <t>Date de révision</t>
        </is>
      </c>
      <c r="G27" s="12" t="inlineStr">
        <is>
          <t>Trim. référence</t>
        </is>
      </c>
      <c r="H27" s="12" t="inlineStr">
        <is>
          <t>Valeur indice réf.</t>
        </is>
      </c>
      <c r="I27" s="12" t="inlineStr">
        <is>
          <t>Trim. précédent</t>
        </is>
      </c>
      <c r="J27" s="12" t="inlineStr">
        <is>
          <t>Valeur indice préc.</t>
        </is>
      </c>
      <c r="K27" s="12" t="inlineStr">
        <is>
          <t>Coefficient</t>
        </is>
      </c>
      <c r="L27" s="12" t="inlineStr">
        <is>
          <t>Décision</t>
        </is>
      </c>
      <c r="M27" s="12" t="inlineStr">
        <is>
          <t>Base de calcul (annuel HT)</t>
        </is>
      </c>
      <c r="N27" s="12" t="inlineStr">
        <is>
          <t>Loyer révisé brut</t>
        </is>
      </c>
      <c r="O27" s="12" t="inlineStr">
        <is>
          <t>Loyer retenu (annuel HT)</t>
        </is>
      </c>
      <c r="P27" s="12" t="inlineStr">
        <is>
          <t>Loyer précédent (annuel HT)</t>
        </is>
      </c>
      <c r="Q27" s="12" t="inlineStr">
        <is>
          <t>Variation</t>
        </is>
      </c>
      <c r="R27" s="12" t="inlineStr">
        <is>
          <t>Loyer mensuel HT</t>
        </is>
      </c>
      <c r="S27" s="12" t="inlineStr">
        <is>
          <t>Loyer / échéance HT</t>
        </is>
      </c>
      <c r="T27" s="12" t="inlineStr">
        <is>
          <t>Charges / échéance HT</t>
        </is>
      </c>
      <c r="U27" s="12" t="inlineStr">
        <is>
          <t>TVA / échéance</t>
        </is>
      </c>
      <c r="V27" s="12" t="inlineStr">
        <is>
          <t>Total TTC / échéance</t>
        </is>
      </c>
      <c r="W27" s="12" t="inlineStr">
        <is>
          <t>Statut</t>
        </is>
      </c>
      <c r="X27" s="12" t="inlineStr">
        <is>
          <t>Consigne (à faire)</t>
        </is>
      </c>
      <c r="Y27" s="12" t="inlineStr">
        <is>
          <t>Appliqué ? (Oui/Non)</t>
        </is>
      </c>
      <c r="Z27" s="12" t="inlineStr">
        <is>
          <t>Date d'application</t>
        </is>
      </c>
      <c r="AA27" s="12" t="inlineStr">
        <is>
          <t>Courrier envoyé le</t>
        </is>
      </c>
      <c r="AB27" s="12" t="inlineStr">
        <is>
          <t>Commentaire</t>
        </is>
      </c>
      <c r="AC27" s="12" t="inlineStr">
        <is>
          <t>Effectif</t>
        </is>
      </c>
      <c r="AD27" s="12" t="inlineStr">
        <is>
          <t>Actif</t>
        </is>
      </c>
    </row>
    <row r="28">
      <c r="E28" s="14" t="n">
        <v>1</v>
      </c>
      <c r="F28" s="15">
        <f>IF(OR(C3="",C8="",C17=""),"",EDATE(C8,12*C17*E28))</f>
        <v/>
      </c>
      <c r="G28" s="14">
        <f>IF(AD28=0,"",IFERROR(TEXT(VALUE(LEFT(C16,4))+E28*C17,"0")&amp;RIGHT(C16,3),""))</f>
        <v/>
      </c>
      <c r="H28" s="28">
        <f>IF(AD28=0,"",IF(OR(G28="",C15=""),"",IFERROR(IF(SUMIFS(INDEX(Indices!$A:$P,0,MATCH(C15,Indices!$1:$1,0)+1),INDEX(Indices!$A:$P,0,MATCH(C15,Indices!$1:$1,0)),G28)=0,"",SUMIFS(INDEX(Indices!$A:$P,0,MATCH(C15,Indices!$1:$1,0)+1),INDEX(Indices!$A:$P,0,MATCH(C15,Indices!$1:$1,0)),G28)),"")))</f>
        <v/>
      </c>
      <c r="I28" s="14">
        <f>IF(AD28=0,"",C16)</f>
        <v/>
      </c>
      <c r="J28" s="28">
        <f>IF(AD28=0,"",IF(OR(I28="",C15=""),"",IFERROR(IF(SUMIFS(INDEX(Indices!$A:$P,0,MATCH(C15,Indices!$1:$1,0)+1),INDEX(Indices!$A:$P,0,MATCH(C15,Indices!$1:$1,0)),I28)=0,"",SUMIFS(INDEX(Indices!$A:$P,0,MATCH(C15,Indices!$1:$1,0)+1),INDEX(Indices!$A:$P,0,MATCH(C15,Indices!$1:$1,0)),I28)),"")))</f>
        <v/>
      </c>
      <c r="K28" s="42">
        <f>IF(OR(H28="",J28=""),"",H28/J28)</f>
        <v/>
      </c>
      <c r="L28" s="13" t="n"/>
      <c r="M28" s="16">
        <f>IF(AD28=0,"",C11)</f>
        <v/>
      </c>
      <c r="N28" s="16">
        <f>IF(OR(K28="",M28=""),"",ROUND(M28*K28,2))</f>
        <v/>
      </c>
      <c r="O28" s="16">
        <f>IF(AD28=0,"",IF(LEFT(L28,5)="Geler",P28,IF(N28="","",IF(C19="",N28,MIN(N28,ROUND(M28*(1+C19/100)^IF(C18="Base fixe",E28*C17,VALUE(LEFT(G28,4))-VALUE(LEFT(I28,4))),2))))))</f>
        <v/>
      </c>
      <c r="P28" s="16">
        <f>IF(AD28=0,"",C11)</f>
        <v/>
      </c>
      <c r="Q28" s="43">
        <f>IF(OR(O28="",P28=""),"",O28/P28-1)</f>
        <v/>
      </c>
      <c r="R28" s="16">
        <f>IF(O28="","",O28/12)</f>
        <v/>
      </c>
      <c r="S28" s="16">
        <f>IF(O28="","",O28/IF(C14="Mensuelle",12,IF(C14="Trimestrielle",4,IF(C14="Semestrielle",2,1))))</f>
        <v/>
      </c>
      <c r="T28" s="16">
        <f>IF(AD28=0,"",IF(C12="",0,C12)/IF(C14="Mensuelle",12,IF(C14="Trimestrielle",4,IF(C14="Semestrielle",2,1))))</f>
        <v/>
      </c>
      <c r="U28" s="16">
        <f>IF(S28="","",(S28+T28)*C13/100)</f>
        <v/>
      </c>
      <c r="V28" s="16">
        <f>IF(S28="","",S28+T28+U28)</f>
        <v/>
      </c>
      <c r="W28" s="14">
        <f>IF(AD28=0,"",IF(LEFT(L28,5)="Geler","❄ Gelée",IF(H28="",IF(F28&lt;=TODAY(),"⚠ Indice attendu","À venir"),IF(F28&lt;=TODAY(),"✔ Calculable","Indice connu – à venir"))))</f>
        <v/>
      </c>
      <c r="X28" s="35" t="n"/>
      <c r="Y28" s="13" t="inlineStr">
        <is>
          <t>Oui</t>
        </is>
      </c>
      <c r="Z28" s="44" t="n"/>
      <c r="AA28" s="44" t="n"/>
      <c r="AB28" s="13" t="n"/>
      <c r="AC28" s="14">
        <f>IF(AND(AD28=1,F28&lt;=TODAY(),O28&lt;&gt;""),1,0)</f>
        <v/>
      </c>
      <c r="AD28" s="14">
        <f>IF(F28="",0,IF(AND(ISNUMBER(C10),F28&gt;C10),0,1))</f>
        <v/>
      </c>
    </row>
    <row r="29">
      <c r="E29" s="14" t="n">
        <v>2</v>
      </c>
      <c r="F29" s="15">
        <f>IF(OR(C3="",C8="",C17=""),"",EDATE(C8,12*C17*E29))</f>
        <v/>
      </c>
      <c r="G29" s="14">
        <f>IF(AD29=0,"",IFERROR(TEXT(VALUE(LEFT(C16,4))+E29*C17,"0")&amp;RIGHT(C16,3),""))</f>
        <v/>
      </c>
      <c r="H29" s="28">
        <f>IF(AD29=0,"",IF(OR(G29="",C15=""),"",IFERROR(IF(SUMIFS(INDEX(Indices!$A:$P,0,MATCH(C15,Indices!$1:$1,0)+1),INDEX(Indices!$A:$P,0,MATCH(C15,Indices!$1:$1,0)),G29)=0,"",SUMIFS(INDEX(Indices!$A:$P,0,MATCH(C15,Indices!$1:$1,0)+1),INDEX(Indices!$A:$P,0,MATCH(C15,Indices!$1:$1,0)),G29)),"")))</f>
        <v/>
      </c>
      <c r="I29" s="14">
        <f>IF(AD29=0,"",IF(C18="Base fixe",C16,IF(L28="Geler – rattrapage possible",I28,G28)))</f>
        <v/>
      </c>
      <c r="J29" s="28">
        <f>IF(AD29=0,"",IF(OR(I29="",C15=""),"",IFERROR(IF(SUMIFS(INDEX(Indices!$A:$P,0,MATCH(C15,Indices!$1:$1,0)+1),INDEX(Indices!$A:$P,0,MATCH(C15,Indices!$1:$1,0)),I29)=0,"",SUMIFS(INDEX(Indices!$A:$P,0,MATCH(C15,Indices!$1:$1,0)+1),INDEX(Indices!$A:$P,0,MATCH(C15,Indices!$1:$1,0)),I29)),"")))</f>
        <v/>
      </c>
      <c r="K29" s="42">
        <f>IF(OR(H29="",J29=""),"",H29/J29)</f>
        <v/>
      </c>
      <c r="L29" s="13" t="n"/>
      <c r="M29" s="16">
        <f>IF(AD29=0,"",IF(C18="Base fixe",C11,O28))</f>
        <v/>
      </c>
      <c r="N29" s="16">
        <f>IF(OR(K29="",M29=""),"",ROUND(M29*K29,2))</f>
        <v/>
      </c>
      <c r="O29" s="16">
        <f>IF(AD29=0,"",IF(LEFT(L29,5)="Geler",P29,IF(N29="","",IF(C19="",N29,MIN(N29,ROUND(M29*(1+C19/100)^IF(C18="Base fixe",E29*C17,VALUE(LEFT(G29,4))-VALUE(LEFT(I29,4))),2))))))</f>
        <v/>
      </c>
      <c r="P29" s="16">
        <f>IF(AD29=0,"",O28)</f>
        <v/>
      </c>
      <c r="Q29" s="43">
        <f>IF(OR(O29="",P29=""),"",O29/P29-1)</f>
        <v/>
      </c>
      <c r="R29" s="16">
        <f>IF(O29="","",O29/12)</f>
        <v/>
      </c>
      <c r="S29" s="16">
        <f>IF(O29="","",O29/IF(C14="Mensuelle",12,IF(C14="Trimestrielle",4,IF(C14="Semestrielle",2,1))))</f>
        <v/>
      </c>
      <c r="T29" s="16">
        <f>IF(AD29=0,"",IF(C12="",0,C12)/IF(C14="Mensuelle",12,IF(C14="Trimestrielle",4,IF(C14="Semestrielle",2,1))))</f>
        <v/>
      </c>
      <c r="U29" s="16">
        <f>IF(S29="","",(S29+T29)*C13/100)</f>
        <v/>
      </c>
      <c r="V29" s="16">
        <f>IF(S29="","",S29+T29+U29)</f>
        <v/>
      </c>
      <c r="W29" s="14">
        <f>IF(AD29=0,"",IF(LEFT(L29,5)="Geler","❄ Gelée",IF(H29="",IF(F29&lt;=TODAY(),"⚠ Indice attendu","À venir"),IF(F29&lt;=TODAY(),"✔ Calculable","Indice connu – à venir"))))</f>
        <v/>
      </c>
      <c r="X29" s="35" t="n"/>
      <c r="Y29" s="13" t="inlineStr">
        <is>
          <t>Oui</t>
        </is>
      </c>
      <c r="Z29" s="44" t="n"/>
      <c r="AA29" s="44" t="n"/>
      <c r="AB29" s="13" t="n"/>
      <c r="AC29" s="14">
        <f>IF(AND(AD29=1,F29&lt;=TODAY(),O29&lt;&gt;""),1,0)</f>
        <v/>
      </c>
      <c r="AD29" s="14">
        <f>IF(F29="",0,IF(AND(ISNUMBER(C10),F29&gt;C10),0,1))</f>
        <v/>
      </c>
    </row>
    <row r="30">
      <c r="E30" s="14" t="n">
        <v>3</v>
      </c>
      <c r="F30" s="15">
        <f>IF(OR(C3="",C8="",C17=""),"",EDATE(C8,12*C17*E30))</f>
        <v/>
      </c>
      <c r="G30" s="14">
        <f>IF(AD30=0,"",IFERROR(TEXT(VALUE(LEFT(C16,4))+E30*C17,"0")&amp;RIGHT(C16,3),""))</f>
        <v/>
      </c>
      <c r="H30" s="28">
        <f>IF(AD30=0,"",IF(OR(G30="",C15=""),"",IFERROR(IF(SUMIFS(INDEX(Indices!$A:$P,0,MATCH(C15,Indices!$1:$1,0)+1),INDEX(Indices!$A:$P,0,MATCH(C15,Indices!$1:$1,0)),G30)=0,"",SUMIFS(INDEX(Indices!$A:$P,0,MATCH(C15,Indices!$1:$1,0)+1),INDEX(Indices!$A:$P,0,MATCH(C15,Indices!$1:$1,0)),G30)),"")))</f>
        <v/>
      </c>
      <c r="I30" s="14">
        <f>IF(AD30=0,"",IF(C18="Base fixe",C16,IF(L29="Geler – rattrapage possible",I29,G29)))</f>
        <v/>
      </c>
      <c r="J30" s="28">
        <f>IF(AD30=0,"",IF(OR(I30="",C15=""),"",IFERROR(IF(SUMIFS(INDEX(Indices!$A:$P,0,MATCH(C15,Indices!$1:$1,0)+1),INDEX(Indices!$A:$P,0,MATCH(C15,Indices!$1:$1,0)),I30)=0,"",SUMIFS(INDEX(Indices!$A:$P,0,MATCH(C15,Indices!$1:$1,0)+1),INDEX(Indices!$A:$P,0,MATCH(C15,Indices!$1:$1,0)),I30)),"")))</f>
        <v/>
      </c>
      <c r="K30" s="42">
        <f>IF(OR(H30="",J30=""),"",H30/J30)</f>
        <v/>
      </c>
      <c r="L30" s="13" t="n"/>
      <c r="M30" s="16">
        <f>IF(AD30=0,"",IF(C18="Base fixe",C11,O29))</f>
        <v/>
      </c>
      <c r="N30" s="16">
        <f>IF(OR(K30="",M30=""),"",ROUND(M30*K30,2))</f>
        <v/>
      </c>
      <c r="O30" s="16">
        <f>IF(AD30=0,"",IF(LEFT(L30,5)="Geler",P30,IF(N30="","",IF(C19="",N30,MIN(N30,ROUND(M30*(1+C19/100)^IF(C18="Base fixe",E30*C17,VALUE(LEFT(G30,4))-VALUE(LEFT(I30,4))),2))))))</f>
        <v/>
      </c>
      <c r="P30" s="16">
        <f>IF(AD30=0,"",O29)</f>
        <v/>
      </c>
      <c r="Q30" s="43">
        <f>IF(OR(O30="",P30=""),"",O30/P30-1)</f>
        <v/>
      </c>
      <c r="R30" s="16">
        <f>IF(O30="","",O30/12)</f>
        <v/>
      </c>
      <c r="S30" s="16">
        <f>IF(O30="","",O30/IF(C14="Mensuelle",12,IF(C14="Trimestrielle",4,IF(C14="Semestrielle",2,1))))</f>
        <v/>
      </c>
      <c r="T30" s="16">
        <f>IF(AD30=0,"",IF(C12="",0,C12)/IF(C14="Mensuelle",12,IF(C14="Trimestrielle",4,IF(C14="Semestrielle",2,1))))</f>
        <v/>
      </c>
      <c r="U30" s="16">
        <f>IF(S30="","",(S30+T30)*C13/100)</f>
        <v/>
      </c>
      <c r="V30" s="16">
        <f>IF(S30="","",S30+T30+U30)</f>
        <v/>
      </c>
      <c r="W30" s="14">
        <f>IF(AD30=0,"",IF(LEFT(L30,5)="Geler","❄ Gelée",IF(H30="",IF(F30&lt;=TODAY(),"⚠ Indice attendu","À venir"),IF(F30&lt;=TODAY(),"✔ Calculable","Indice connu – à venir"))))</f>
        <v/>
      </c>
      <c r="X30" s="35" t="n"/>
      <c r="Y30" s="13" t="inlineStr">
        <is>
          <t>Oui</t>
        </is>
      </c>
      <c r="Z30" s="44" t="n">
        <v>45383</v>
      </c>
      <c r="AA30" s="44" t="n"/>
      <c r="AB30" s="13" t="n"/>
      <c r="AC30" s="14">
        <f>IF(AND(AD30=1,F30&lt;=TODAY(),O30&lt;&gt;""),1,0)</f>
        <v/>
      </c>
      <c r="AD30" s="14">
        <f>IF(F30="",0,IF(AND(ISNUMBER(C10),F30&gt;C10),0,1))</f>
        <v/>
      </c>
    </row>
    <row r="31">
      <c r="E31" s="14" t="n">
        <v>4</v>
      </c>
      <c r="F31" s="15">
        <f>IF(OR(C3="",C8="",C17=""),"",EDATE(C8,12*C17*E31))</f>
        <v/>
      </c>
      <c r="G31" s="14">
        <f>IF(AD31=0,"",IFERROR(TEXT(VALUE(LEFT(C16,4))+E31*C17,"0")&amp;RIGHT(C16,3),""))</f>
        <v/>
      </c>
      <c r="H31" s="28">
        <f>IF(AD31=0,"",IF(OR(G31="",C15=""),"",IFERROR(IF(SUMIFS(INDEX(Indices!$A:$P,0,MATCH(C15,Indices!$1:$1,0)+1),INDEX(Indices!$A:$P,0,MATCH(C15,Indices!$1:$1,0)),G31)=0,"",SUMIFS(INDEX(Indices!$A:$P,0,MATCH(C15,Indices!$1:$1,0)+1),INDEX(Indices!$A:$P,0,MATCH(C15,Indices!$1:$1,0)),G31)),"")))</f>
        <v/>
      </c>
      <c r="I31" s="14">
        <f>IF(AD31=0,"",IF(C18="Base fixe",C16,IF(L30="Geler – rattrapage possible",I30,G30)))</f>
        <v/>
      </c>
      <c r="J31" s="28">
        <f>IF(AD31=0,"",IF(OR(I31="",C15=""),"",IFERROR(IF(SUMIFS(INDEX(Indices!$A:$P,0,MATCH(C15,Indices!$1:$1,0)+1),INDEX(Indices!$A:$P,0,MATCH(C15,Indices!$1:$1,0)),I31)=0,"",SUMIFS(INDEX(Indices!$A:$P,0,MATCH(C15,Indices!$1:$1,0)+1),INDEX(Indices!$A:$P,0,MATCH(C15,Indices!$1:$1,0)),I31)),"")))</f>
        <v/>
      </c>
      <c r="K31" s="42">
        <f>IF(OR(H31="",J31=""),"",H31/J31)</f>
        <v/>
      </c>
      <c r="L31" s="13" t="inlineStr">
        <is>
          <t>Geler – sans rattrapage</t>
        </is>
      </c>
      <c r="M31" s="16">
        <f>IF(AD31=0,"",IF(C18="Base fixe",C11,O30))</f>
        <v/>
      </c>
      <c r="N31" s="16">
        <f>IF(OR(K31="",M31=""),"",ROUND(M31*K31,2))</f>
        <v/>
      </c>
      <c r="O31" s="16">
        <f>IF(AD31=0,"",IF(LEFT(L31,5)="Geler",P31,IF(N31="","",IF(C19="",N31,MIN(N31,ROUND(M31*(1+C19/100)^IF(C18="Base fixe",E31*C17,VALUE(LEFT(G31,4))-VALUE(LEFT(I31,4))),2))))))</f>
        <v/>
      </c>
      <c r="P31" s="16">
        <f>IF(AD31=0,"",O30)</f>
        <v/>
      </c>
      <c r="Q31" s="43">
        <f>IF(OR(O31="",P31=""),"",O31/P31-1)</f>
        <v/>
      </c>
      <c r="R31" s="16">
        <f>IF(O31="","",O31/12)</f>
        <v/>
      </c>
      <c r="S31" s="16">
        <f>IF(O31="","",O31/IF(C14="Mensuelle",12,IF(C14="Trimestrielle",4,IF(C14="Semestrielle",2,1))))</f>
        <v/>
      </c>
      <c r="T31" s="16">
        <f>IF(AD31=0,"",IF(C12="",0,C12)/IF(C14="Mensuelle",12,IF(C14="Trimestrielle",4,IF(C14="Semestrielle",2,1))))</f>
        <v/>
      </c>
      <c r="U31" s="16">
        <f>IF(S31="","",(S31+T31)*C13/100)</f>
        <v/>
      </c>
      <c r="V31" s="16">
        <f>IF(S31="","",S31+T31+U31)</f>
        <v/>
      </c>
      <c r="W31" s="14">
        <f>IF(AD31=0,"",IF(LEFT(L31,5)="Geler","❄ Gelée",IF(H31="",IF(F31&lt;=TODAY(),"⚠ Indice attendu","À venir"),IF(F31&lt;=TODAY(),"✔ Calculable","Indice connu – à venir"))))</f>
        <v/>
      </c>
      <c r="X31" s="35" t="inlineStr">
        <is>
          <t>Gel décidé par la gérance le 12/03/2025 (difficultés du preneur). Ne pas facturer la hausse. Courrier d'information envoyé.</t>
        </is>
      </c>
      <c r="Y31" s="13" t="n"/>
      <c r="Z31" s="44" t="n"/>
      <c r="AA31" s="44" t="n">
        <v>45736</v>
      </c>
      <c r="AB31" s="13" t="n"/>
      <c r="AC31" s="14">
        <f>IF(AND(AD31=1,F31&lt;=TODAY(),O31&lt;&gt;""),1,0)</f>
        <v/>
      </c>
      <c r="AD31" s="14">
        <f>IF(F31="",0,IF(AND(ISNUMBER(C10),F31&gt;C10),0,1))</f>
        <v/>
      </c>
    </row>
    <row r="32">
      <c r="E32" s="14" t="n">
        <v>5</v>
      </c>
      <c r="F32" s="15">
        <f>IF(OR(C3="",C8="",C17=""),"",EDATE(C8,12*C17*E32))</f>
        <v/>
      </c>
      <c r="G32" s="14">
        <f>IF(AD32=0,"",IFERROR(TEXT(VALUE(LEFT(C16,4))+E32*C17,"0")&amp;RIGHT(C16,3),""))</f>
        <v/>
      </c>
      <c r="H32" s="28">
        <f>IF(AD32=0,"",IF(OR(G32="",C15=""),"",IFERROR(IF(SUMIFS(INDEX(Indices!$A:$P,0,MATCH(C15,Indices!$1:$1,0)+1),INDEX(Indices!$A:$P,0,MATCH(C15,Indices!$1:$1,0)),G32)=0,"",SUMIFS(INDEX(Indices!$A:$P,0,MATCH(C15,Indices!$1:$1,0)+1),INDEX(Indices!$A:$P,0,MATCH(C15,Indices!$1:$1,0)),G32)),"")))</f>
        <v/>
      </c>
      <c r="I32" s="14">
        <f>IF(AD32=0,"",IF(C18="Base fixe",C16,IF(L31="Geler – rattrapage possible",I31,G31)))</f>
        <v/>
      </c>
      <c r="J32" s="28">
        <f>IF(AD32=0,"",IF(OR(I32="",C15=""),"",IFERROR(IF(SUMIFS(INDEX(Indices!$A:$P,0,MATCH(C15,Indices!$1:$1,0)+1),INDEX(Indices!$A:$P,0,MATCH(C15,Indices!$1:$1,0)),I32)=0,"",SUMIFS(INDEX(Indices!$A:$P,0,MATCH(C15,Indices!$1:$1,0)+1),INDEX(Indices!$A:$P,0,MATCH(C15,Indices!$1:$1,0)),I32)),"")))</f>
        <v/>
      </c>
      <c r="K32" s="42">
        <f>IF(OR(H32="",J32=""),"",H32/J32)</f>
        <v/>
      </c>
      <c r="L32" s="13" t="n"/>
      <c r="M32" s="16">
        <f>IF(AD32=0,"",IF(C18="Base fixe",C11,O31))</f>
        <v/>
      </c>
      <c r="N32" s="16">
        <f>IF(OR(K32="",M32=""),"",ROUND(M32*K32,2))</f>
        <v/>
      </c>
      <c r="O32" s="16">
        <f>IF(AD32=0,"",IF(LEFT(L32,5)="Geler",P32,IF(N32="","",IF(C19="",N32,MIN(N32,ROUND(M32*(1+C19/100)^IF(C18="Base fixe",E32*C17,VALUE(LEFT(G32,4))-VALUE(LEFT(I32,4))),2))))))</f>
        <v/>
      </c>
      <c r="P32" s="16">
        <f>IF(AD32=0,"",O31)</f>
        <v/>
      </c>
      <c r="Q32" s="43">
        <f>IF(OR(O32="",P32=""),"",O32/P32-1)</f>
        <v/>
      </c>
      <c r="R32" s="16">
        <f>IF(O32="","",O32/12)</f>
        <v/>
      </c>
      <c r="S32" s="16">
        <f>IF(O32="","",O32/IF(C14="Mensuelle",12,IF(C14="Trimestrielle",4,IF(C14="Semestrielle",2,1))))</f>
        <v/>
      </c>
      <c r="T32" s="16">
        <f>IF(AD32=0,"",IF(C12="",0,C12)/IF(C14="Mensuelle",12,IF(C14="Trimestrielle",4,IF(C14="Semestrielle",2,1))))</f>
        <v/>
      </c>
      <c r="U32" s="16">
        <f>IF(S32="","",(S32+T32)*C13/100)</f>
        <v/>
      </c>
      <c r="V32" s="16">
        <f>IF(S32="","",S32+T32+U32)</f>
        <v/>
      </c>
      <c r="W32" s="14">
        <f>IF(AD32=0,"",IF(LEFT(L32,5)="Geler","❄ Gelée",IF(H32="",IF(F32&lt;=TODAY(),"⚠ Indice attendu","À venir"),IF(F32&lt;=TODAY(),"✔ Calculable","Indice connu – à venir"))))</f>
        <v/>
      </c>
      <c r="X32" s="35" t="n"/>
      <c r="Y32" s="13" t="n"/>
      <c r="Z32" s="44" t="n"/>
      <c r="AA32" s="44" t="n"/>
      <c r="AB32" s="13" t="n"/>
      <c r="AC32" s="14">
        <f>IF(AND(AD32=1,F32&lt;=TODAY(),O32&lt;&gt;""),1,0)</f>
        <v/>
      </c>
      <c r="AD32" s="14">
        <f>IF(F32="",0,IF(AND(ISNUMBER(C10),F32&gt;C10),0,1))</f>
        <v/>
      </c>
    </row>
    <row r="33">
      <c r="E33" s="14" t="n">
        <v>6</v>
      </c>
      <c r="F33" s="15">
        <f>IF(OR(C3="",C8="",C17=""),"",EDATE(C8,12*C17*E33))</f>
        <v/>
      </c>
      <c r="G33" s="14">
        <f>IF(AD33=0,"",IFERROR(TEXT(VALUE(LEFT(C16,4))+E33*C17,"0")&amp;RIGHT(C16,3),""))</f>
        <v/>
      </c>
      <c r="H33" s="28">
        <f>IF(AD33=0,"",IF(OR(G33="",C15=""),"",IFERROR(IF(SUMIFS(INDEX(Indices!$A:$P,0,MATCH(C15,Indices!$1:$1,0)+1),INDEX(Indices!$A:$P,0,MATCH(C15,Indices!$1:$1,0)),G33)=0,"",SUMIFS(INDEX(Indices!$A:$P,0,MATCH(C15,Indices!$1:$1,0)+1),INDEX(Indices!$A:$P,0,MATCH(C15,Indices!$1:$1,0)),G33)),"")))</f>
        <v/>
      </c>
      <c r="I33" s="14">
        <f>IF(AD33=0,"",IF(C18="Base fixe",C16,IF(L32="Geler – rattrapage possible",I32,G32)))</f>
        <v/>
      </c>
      <c r="J33" s="28">
        <f>IF(AD33=0,"",IF(OR(I33="",C15=""),"",IFERROR(IF(SUMIFS(INDEX(Indices!$A:$P,0,MATCH(C15,Indices!$1:$1,0)+1),INDEX(Indices!$A:$P,0,MATCH(C15,Indices!$1:$1,0)),I33)=0,"",SUMIFS(INDEX(Indices!$A:$P,0,MATCH(C15,Indices!$1:$1,0)+1),INDEX(Indices!$A:$P,0,MATCH(C15,Indices!$1:$1,0)),I33)),"")))</f>
        <v/>
      </c>
      <c r="K33" s="42">
        <f>IF(OR(H33="",J33=""),"",H33/J33)</f>
        <v/>
      </c>
      <c r="L33" s="13" t="n"/>
      <c r="M33" s="16">
        <f>IF(AD33=0,"",IF(C18="Base fixe",C11,O32))</f>
        <v/>
      </c>
      <c r="N33" s="16">
        <f>IF(OR(K33="",M33=""),"",ROUND(M33*K33,2))</f>
        <v/>
      </c>
      <c r="O33" s="16">
        <f>IF(AD33=0,"",IF(LEFT(L33,5)="Geler",P33,IF(N33="","",IF(C19="",N33,MIN(N33,ROUND(M33*(1+C19/100)^IF(C18="Base fixe",E33*C17,VALUE(LEFT(G33,4))-VALUE(LEFT(I33,4))),2))))))</f>
        <v/>
      </c>
      <c r="P33" s="16">
        <f>IF(AD33=0,"",O32)</f>
        <v/>
      </c>
      <c r="Q33" s="43">
        <f>IF(OR(O33="",P33=""),"",O33/P33-1)</f>
        <v/>
      </c>
      <c r="R33" s="16">
        <f>IF(O33="","",O33/12)</f>
        <v/>
      </c>
      <c r="S33" s="16">
        <f>IF(O33="","",O33/IF(C14="Mensuelle",12,IF(C14="Trimestrielle",4,IF(C14="Semestrielle",2,1))))</f>
        <v/>
      </c>
      <c r="T33" s="16">
        <f>IF(AD33=0,"",IF(C12="",0,C12)/IF(C14="Mensuelle",12,IF(C14="Trimestrielle",4,IF(C14="Semestrielle",2,1))))</f>
        <v/>
      </c>
      <c r="U33" s="16">
        <f>IF(S33="","",(S33+T33)*C13/100)</f>
        <v/>
      </c>
      <c r="V33" s="16">
        <f>IF(S33="","",S33+T33+U33)</f>
        <v/>
      </c>
      <c r="W33" s="14">
        <f>IF(AD33=0,"",IF(LEFT(L33,5)="Geler","❄ Gelée",IF(H33="",IF(F33&lt;=TODAY(),"⚠ Indice attendu","À venir"),IF(F33&lt;=TODAY(),"✔ Calculable","Indice connu – à venir"))))</f>
        <v/>
      </c>
      <c r="X33" s="35" t="n"/>
      <c r="Y33" s="13" t="n"/>
      <c r="Z33" s="44" t="n"/>
      <c r="AA33" s="44" t="n"/>
      <c r="AB33" s="13" t="n"/>
      <c r="AC33" s="14">
        <f>IF(AND(AD33=1,F33&lt;=TODAY(),O33&lt;&gt;""),1,0)</f>
        <v/>
      </c>
      <c r="AD33" s="14">
        <f>IF(F33="",0,IF(AND(ISNUMBER(C10),F33&gt;C10),0,1))</f>
        <v/>
      </c>
    </row>
    <row r="34">
      <c r="E34" s="14" t="n">
        <v>7</v>
      </c>
      <c r="F34" s="15">
        <f>IF(OR(C3="",C8="",C17=""),"",EDATE(C8,12*C17*E34))</f>
        <v/>
      </c>
      <c r="G34" s="14">
        <f>IF(AD34=0,"",IFERROR(TEXT(VALUE(LEFT(C16,4))+E34*C17,"0")&amp;RIGHT(C16,3),""))</f>
        <v/>
      </c>
      <c r="H34" s="28">
        <f>IF(AD34=0,"",IF(OR(G34="",C15=""),"",IFERROR(IF(SUMIFS(INDEX(Indices!$A:$P,0,MATCH(C15,Indices!$1:$1,0)+1),INDEX(Indices!$A:$P,0,MATCH(C15,Indices!$1:$1,0)),G34)=0,"",SUMIFS(INDEX(Indices!$A:$P,0,MATCH(C15,Indices!$1:$1,0)+1),INDEX(Indices!$A:$P,0,MATCH(C15,Indices!$1:$1,0)),G34)),"")))</f>
        <v/>
      </c>
      <c r="I34" s="14">
        <f>IF(AD34=0,"",IF(C18="Base fixe",C16,IF(L33="Geler – rattrapage possible",I33,G33)))</f>
        <v/>
      </c>
      <c r="J34" s="28">
        <f>IF(AD34=0,"",IF(OR(I34="",C15=""),"",IFERROR(IF(SUMIFS(INDEX(Indices!$A:$P,0,MATCH(C15,Indices!$1:$1,0)+1),INDEX(Indices!$A:$P,0,MATCH(C15,Indices!$1:$1,0)),I34)=0,"",SUMIFS(INDEX(Indices!$A:$P,0,MATCH(C15,Indices!$1:$1,0)+1),INDEX(Indices!$A:$P,0,MATCH(C15,Indices!$1:$1,0)),I34)),"")))</f>
        <v/>
      </c>
      <c r="K34" s="42">
        <f>IF(OR(H34="",J34=""),"",H34/J34)</f>
        <v/>
      </c>
      <c r="L34" s="13" t="n"/>
      <c r="M34" s="16">
        <f>IF(AD34=0,"",IF(C18="Base fixe",C11,O33))</f>
        <v/>
      </c>
      <c r="N34" s="16">
        <f>IF(OR(K34="",M34=""),"",ROUND(M34*K34,2))</f>
        <v/>
      </c>
      <c r="O34" s="16">
        <f>IF(AD34=0,"",IF(LEFT(L34,5)="Geler",P34,IF(N34="","",IF(C19="",N34,MIN(N34,ROUND(M34*(1+C19/100)^IF(C18="Base fixe",E34*C17,VALUE(LEFT(G34,4))-VALUE(LEFT(I34,4))),2))))))</f>
        <v/>
      </c>
      <c r="P34" s="16">
        <f>IF(AD34=0,"",O33)</f>
        <v/>
      </c>
      <c r="Q34" s="43">
        <f>IF(OR(O34="",P34=""),"",O34/P34-1)</f>
        <v/>
      </c>
      <c r="R34" s="16">
        <f>IF(O34="","",O34/12)</f>
        <v/>
      </c>
      <c r="S34" s="16">
        <f>IF(O34="","",O34/IF(C14="Mensuelle",12,IF(C14="Trimestrielle",4,IF(C14="Semestrielle",2,1))))</f>
        <v/>
      </c>
      <c r="T34" s="16">
        <f>IF(AD34=0,"",IF(C12="",0,C12)/IF(C14="Mensuelle",12,IF(C14="Trimestrielle",4,IF(C14="Semestrielle",2,1))))</f>
        <v/>
      </c>
      <c r="U34" s="16">
        <f>IF(S34="","",(S34+T34)*C13/100)</f>
        <v/>
      </c>
      <c r="V34" s="16">
        <f>IF(S34="","",S34+T34+U34)</f>
        <v/>
      </c>
      <c r="W34" s="14">
        <f>IF(AD34=0,"",IF(LEFT(L34,5)="Geler","❄ Gelée",IF(H34="",IF(F34&lt;=TODAY(),"⚠ Indice attendu","À venir"),IF(F34&lt;=TODAY(),"✔ Calculable","Indice connu – à venir"))))</f>
        <v/>
      </c>
      <c r="X34" s="35" t="n"/>
      <c r="Y34" s="13" t="n"/>
      <c r="Z34" s="44" t="n"/>
      <c r="AA34" s="44" t="n"/>
      <c r="AB34" s="13" t="n"/>
      <c r="AC34" s="14">
        <f>IF(AND(AD34=1,F34&lt;=TODAY(),O34&lt;&gt;""),1,0)</f>
        <v/>
      </c>
      <c r="AD34" s="14">
        <f>IF(F34="",0,IF(AND(ISNUMBER(C10),F34&gt;C10),0,1))</f>
        <v/>
      </c>
    </row>
    <row r="35">
      <c r="E35" s="14" t="n">
        <v>8</v>
      </c>
      <c r="F35" s="15">
        <f>IF(OR(C3="",C8="",C17=""),"",EDATE(C8,12*C17*E35))</f>
        <v/>
      </c>
      <c r="G35" s="14">
        <f>IF(AD35=0,"",IFERROR(TEXT(VALUE(LEFT(C16,4))+E35*C17,"0")&amp;RIGHT(C16,3),""))</f>
        <v/>
      </c>
      <c r="H35" s="28">
        <f>IF(AD35=0,"",IF(OR(G35="",C15=""),"",IFERROR(IF(SUMIFS(INDEX(Indices!$A:$P,0,MATCH(C15,Indices!$1:$1,0)+1),INDEX(Indices!$A:$P,0,MATCH(C15,Indices!$1:$1,0)),G35)=0,"",SUMIFS(INDEX(Indices!$A:$P,0,MATCH(C15,Indices!$1:$1,0)+1),INDEX(Indices!$A:$P,0,MATCH(C15,Indices!$1:$1,0)),G35)),"")))</f>
        <v/>
      </c>
      <c r="I35" s="14">
        <f>IF(AD35=0,"",IF(C18="Base fixe",C16,IF(L34="Geler – rattrapage possible",I34,G34)))</f>
        <v/>
      </c>
      <c r="J35" s="28">
        <f>IF(AD35=0,"",IF(OR(I35="",C15=""),"",IFERROR(IF(SUMIFS(INDEX(Indices!$A:$P,0,MATCH(C15,Indices!$1:$1,0)+1),INDEX(Indices!$A:$P,0,MATCH(C15,Indices!$1:$1,0)),I35)=0,"",SUMIFS(INDEX(Indices!$A:$P,0,MATCH(C15,Indices!$1:$1,0)+1),INDEX(Indices!$A:$P,0,MATCH(C15,Indices!$1:$1,0)),I35)),"")))</f>
        <v/>
      </c>
      <c r="K35" s="42">
        <f>IF(OR(H35="",J35=""),"",H35/J35)</f>
        <v/>
      </c>
      <c r="L35" s="13" t="n"/>
      <c r="M35" s="16">
        <f>IF(AD35=0,"",IF(C18="Base fixe",C11,O34))</f>
        <v/>
      </c>
      <c r="N35" s="16">
        <f>IF(OR(K35="",M35=""),"",ROUND(M35*K35,2))</f>
        <v/>
      </c>
      <c r="O35" s="16">
        <f>IF(AD35=0,"",IF(LEFT(L35,5)="Geler",P35,IF(N35="","",IF(C19="",N35,MIN(N35,ROUND(M35*(1+C19/100)^IF(C18="Base fixe",E35*C17,VALUE(LEFT(G35,4))-VALUE(LEFT(I35,4))),2))))))</f>
        <v/>
      </c>
      <c r="P35" s="16">
        <f>IF(AD35=0,"",O34)</f>
        <v/>
      </c>
      <c r="Q35" s="43">
        <f>IF(OR(O35="",P35=""),"",O35/P35-1)</f>
        <v/>
      </c>
      <c r="R35" s="16">
        <f>IF(O35="","",O35/12)</f>
        <v/>
      </c>
      <c r="S35" s="16">
        <f>IF(O35="","",O35/IF(C14="Mensuelle",12,IF(C14="Trimestrielle",4,IF(C14="Semestrielle",2,1))))</f>
        <v/>
      </c>
      <c r="T35" s="16">
        <f>IF(AD35=0,"",IF(C12="",0,C12)/IF(C14="Mensuelle",12,IF(C14="Trimestrielle",4,IF(C14="Semestrielle",2,1))))</f>
        <v/>
      </c>
      <c r="U35" s="16">
        <f>IF(S35="","",(S35+T35)*C13/100)</f>
        <v/>
      </c>
      <c r="V35" s="16">
        <f>IF(S35="","",S35+T35+U35)</f>
        <v/>
      </c>
      <c r="W35" s="14">
        <f>IF(AD35=0,"",IF(LEFT(L35,5)="Geler","❄ Gelée",IF(H35="",IF(F35&lt;=TODAY(),"⚠ Indice attendu","À venir"),IF(F35&lt;=TODAY(),"✔ Calculable","Indice connu – à venir"))))</f>
        <v/>
      </c>
      <c r="X35" s="35" t="n"/>
      <c r="Y35" s="13" t="n"/>
      <c r="Z35" s="44" t="n"/>
      <c r="AA35" s="44" t="n"/>
      <c r="AB35" s="13" t="n"/>
      <c r="AC35" s="14">
        <f>IF(AND(AD35=1,F35&lt;=TODAY(),O35&lt;&gt;""),1,0)</f>
        <v/>
      </c>
      <c r="AD35" s="14">
        <f>IF(F35="",0,IF(AND(ISNUMBER(C10),F35&gt;C10),0,1))</f>
        <v/>
      </c>
    </row>
    <row r="36">
      <c r="E36" s="14" t="n">
        <v>9</v>
      </c>
      <c r="F36" s="15">
        <f>IF(OR(C3="",C8="",C17=""),"",EDATE(C8,12*C17*E36))</f>
        <v/>
      </c>
      <c r="G36" s="14">
        <f>IF(AD36=0,"",IFERROR(TEXT(VALUE(LEFT(C16,4))+E36*C17,"0")&amp;RIGHT(C16,3),""))</f>
        <v/>
      </c>
      <c r="H36" s="28">
        <f>IF(AD36=0,"",IF(OR(G36="",C15=""),"",IFERROR(IF(SUMIFS(INDEX(Indices!$A:$P,0,MATCH(C15,Indices!$1:$1,0)+1),INDEX(Indices!$A:$P,0,MATCH(C15,Indices!$1:$1,0)),G36)=0,"",SUMIFS(INDEX(Indices!$A:$P,0,MATCH(C15,Indices!$1:$1,0)+1),INDEX(Indices!$A:$P,0,MATCH(C15,Indices!$1:$1,0)),G36)),"")))</f>
        <v/>
      </c>
      <c r="I36" s="14">
        <f>IF(AD36=0,"",IF(C18="Base fixe",C16,IF(L35="Geler – rattrapage possible",I35,G35)))</f>
        <v/>
      </c>
      <c r="J36" s="28">
        <f>IF(AD36=0,"",IF(OR(I36="",C15=""),"",IFERROR(IF(SUMIFS(INDEX(Indices!$A:$P,0,MATCH(C15,Indices!$1:$1,0)+1),INDEX(Indices!$A:$P,0,MATCH(C15,Indices!$1:$1,0)),I36)=0,"",SUMIFS(INDEX(Indices!$A:$P,0,MATCH(C15,Indices!$1:$1,0)+1),INDEX(Indices!$A:$P,0,MATCH(C15,Indices!$1:$1,0)),I36)),"")))</f>
        <v/>
      </c>
      <c r="K36" s="42">
        <f>IF(OR(H36="",J36=""),"",H36/J36)</f>
        <v/>
      </c>
      <c r="L36" s="13" t="n"/>
      <c r="M36" s="16">
        <f>IF(AD36=0,"",IF(C18="Base fixe",C11,O35))</f>
        <v/>
      </c>
      <c r="N36" s="16">
        <f>IF(OR(K36="",M36=""),"",ROUND(M36*K36,2))</f>
        <v/>
      </c>
      <c r="O36" s="16">
        <f>IF(AD36=0,"",IF(LEFT(L36,5)="Geler",P36,IF(N36="","",IF(C19="",N36,MIN(N36,ROUND(M36*(1+C19/100)^IF(C18="Base fixe",E36*C17,VALUE(LEFT(G36,4))-VALUE(LEFT(I36,4))),2))))))</f>
        <v/>
      </c>
      <c r="P36" s="16">
        <f>IF(AD36=0,"",O35)</f>
        <v/>
      </c>
      <c r="Q36" s="43">
        <f>IF(OR(O36="",P36=""),"",O36/P36-1)</f>
        <v/>
      </c>
      <c r="R36" s="16">
        <f>IF(O36="","",O36/12)</f>
        <v/>
      </c>
      <c r="S36" s="16">
        <f>IF(O36="","",O36/IF(C14="Mensuelle",12,IF(C14="Trimestrielle",4,IF(C14="Semestrielle",2,1))))</f>
        <v/>
      </c>
      <c r="T36" s="16">
        <f>IF(AD36=0,"",IF(C12="",0,C12)/IF(C14="Mensuelle",12,IF(C14="Trimestrielle",4,IF(C14="Semestrielle",2,1))))</f>
        <v/>
      </c>
      <c r="U36" s="16">
        <f>IF(S36="","",(S36+T36)*C13/100)</f>
        <v/>
      </c>
      <c r="V36" s="16">
        <f>IF(S36="","",S36+T36+U36)</f>
        <v/>
      </c>
      <c r="W36" s="14">
        <f>IF(AD36=0,"",IF(LEFT(L36,5)="Geler","❄ Gelée",IF(H36="",IF(F36&lt;=TODAY(),"⚠ Indice attendu","À venir"),IF(F36&lt;=TODAY(),"✔ Calculable","Indice connu – à venir"))))</f>
        <v/>
      </c>
      <c r="X36" s="35" t="n"/>
      <c r="Y36" s="13" t="n"/>
      <c r="Z36" s="44" t="n"/>
      <c r="AA36" s="44" t="n"/>
      <c r="AB36" s="13" t="n"/>
      <c r="AC36" s="14">
        <f>IF(AND(AD36=1,F36&lt;=TODAY(),O36&lt;&gt;""),1,0)</f>
        <v/>
      </c>
      <c r="AD36" s="14">
        <f>IF(F36="",0,IF(AND(ISNUMBER(C10),F36&gt;C10),0,1))</f>
        <v/>
      </c>
    </row>
    <row r="37">
      <c r="E37" s="14" t="n">
        <v>10</v>
      </c>
      <c r="F37" s="15">
        <f>IF(OR(C3="",C8="",C17=""),"",EDATE(C8,12*C17*E37))</f>
        <v/>
      </c>
      <c r="G37" s="14">
        <f>IF(AD37=0,"",IFERROR(TEXT(VALUE(LEFT(C16,4))+E37*C17,"0")&amp;RIGHT(C16,3),""))</f>
        <v/>
      </c>
      <c r="H37" s="28">
        <f>IF(AD37=0,"",IF(OR(G37="",C15=""),"",IFERROR(IF(SUMIFS(INDEX(Indices!$A:$P,0,MATCH(C15,Indices!$1:$1,0)+1),INDEX(Indices!$A:$P,0,MATCH(C15,Indices!$1:$1,0)),G37)=0,"",SUMIFS(INDEX(Indices!$A:$P,0,MATCH(C15,Indices!$1:$1,0)+1),INDEX(Indices!$A:$P,0,MATCH(C15,Indices!$1:$1,0)),G37)),"")))</f>
        <v/>
      </c>
      <c r="I37" s="14">
        <f>IF(AD37=0,"",IF(C18="Base fixe",C16,IF(L36="Geler – rattrapage possible",I36,G36)))</f>
        <v/>
      </c>
      <c r="J37" s="28">
        <f>IF(AD37=0,"",IF(OR(I37="",C15=""),"",IFERROR(IF(SUMIFS(INDEX(Indices!$A:$P,0,MATCH(C15,Indices!$1:$1,0)+1),INDEX(Indices!$A:$P,0,MATCH(C15,Indices!$1:$1,0)),I37)=0,"",SUMIFS(INDEX(Indices!$A:$P,0,MATCH(C15,Indices!$1:$1,0)+1),INDEX(Indices!$A:$P,0,MATCH(C15,Indices!$1:$1,0)),I37)),"")))</f>
        <v/>
      </c>
      <c r="K37" s="42">
        <f>IF(OR(H37="",J37=""),"",H37/J37)</f>
        <v/>
      </c>
      <c r="L37" s="13" t="n"/>
      <c r="M37" s="16">
        <f>IF(AD37=0,"",IF(C18="Base fixe",C11,O36))</f>
        <v/>
      </c>
      <c r="N37" s="16">
        <f>IF(OR(K37="",M37=""),"",ROUND(M37*K37,2))</f>
        <v/>
      </c>
      <c r="O37" s="16">
        <f>IF(AD37=0,"",IF(LEFT(L37,5)="Geler",P37,IF(N37="","",IF(C19="",N37,MIN(N37,ROUND(M37*(1+C19/100)^IF(C18="Base fixe",E37*C17,VALUE(LEFT(G37,4))-VALUE(LEFT(I37,4))),2))))))</f>
        <v/>
      </c>
      <c r="P37" s="16">
        <f>IF(AD37=0,"",O36)</f>
        <v/>
      </c>
      <c r="Q37" s="43">
        <f>IF(OR(O37="",P37=""),"",O37/P37-1)</f>
        <v/>
      </c>
      <c r="R37" s="16">
        <f>IF(O37="","",O37/12)</f>
        <v/>
      </c>
      <c r="S37" s="16">
        <f>IF(O37="","",O37/IF(C14="Mensuelle",12,IF(C14="Trimestrielle",4,IF(C14="Semestrielle",2,1))))</f>
        <v/>
      </c>
      <c r="T37" s="16">
        <f>IF(AD37=0,"",IF(C12="",0,C12)/IF(C14="Mensuelle",12,IF(C14="Trimestrielle",4,IF(C14="Semestrielle",2,1))))</f>
        <v/>
      </c>
      <c r="U37" s="16">
        <f>IF(S37="","",(S37+T37)*C13/100)</f>
        <v/>
      </c>
      <c r="V37" s="16">
        <f>IF(S37="","",S37+T37+U37)</f>
        <v/>
      </c>
      <c r="W37" s="14">
        <f>IF(AD37=0,"",IF(LEFT(L37,5)="Geler","❄ Gelée",IF(H37="",IF(F37&lt;=TODAY(),"⚠ Indice attendu","À venir"),IF(F37&lt;=TODAY(),"✔ Calculable","Indice connu – à venir"))))</f>
        <v/>
      </c>
      <c r="X37" s="35" t="n"/>
      <c r="Y37" s="13" t="n"/>
      <c r="Z37" s="44" t="n"/>
      <c r="AA37" s="44" t="n"/>
      <c r="AB37" s="13" t="n"/>
      <c r="AC37" s="14">
        <f>IF(AND(AD37=1,F37&lt;=TODAY(),O37&lt;&gt;""),1,0)</f>
        <v/>
      </c>
      <c r="AD37" s="14">
        <f>IF(F37="",0,IF(AND(ISNUMBER(C10),F37&gt;C10),0,1))</f>
        <v/>
      </c>
    </row>
    <row r="38">
      <c r="E38" s="14" t="n">
        <v>11</v>
      </c>
      <c r="F38" s="15">
        <f>IF(OR(C3="",C8="",C17=""),"",EDATE(C8,12*C17*E38))</f>
        <v/>
      </c>
      <c r="G38" s="14">
        <f>IF(AD38=0,"",IFERROR(TEXT(VALUE(LEFT(C16,4))+E38*C17,"0")&amp;RIGHT(C16,3),""))</f>
        <v/>
      </c>
      <c r="H38" s="28">
        <f>IF(AD38=0,"",IF(OR(G38="",C15=""),"",IFERROR(IF(SUMIFS(INDEX(Indices!$A:$P,0,MATCH(C15,Indices!$1:$1,0)+1),INDEX(Indices!$A:$P,0,MATCH(C15,Indices!$1:$1,0)),G38)=0,"",SUMIFS(INDEX(Indices!$A:$P,0,MATCH(C15,Indices!$1:$1,0)+1),INDEX(Indices!$A:$P,0,MATCH(C15,Indices!$1:$1,0)),G38)),"")))</f>
        <v/>
      </c>
      <c r="I38" s="14">
        <f>IF(AD38=0,"",IF(C18="Base fixe",C16,IF(L37="Geler – rattrapage possible",I37,G37)))</f>
        <v/>
      </c>
      <c r="J38" s="28">
        <f>IF(AD38=0,"",IF(OR(I38="",C15=""),"",IFERROR(IF(SUMIFS(INDEX(Indices!$A:$P,0,MATCH(C15,Indices!$1:$1,0)+1),INDEX(Indices!$A:$P,0,MATCH(C15,Indices!$1:$1,0)),I38)=0,"",SUMIFS(INDEX(Indices!$A:$P,0,MATCH(C15,Indices!$1:$1,0)+1),INDEX(Indices!$A:$P,0,MATCH(C15,Indices!$1:$1,0)),I38)),"")))</f>
        <v/>
      </c>
      <c r="K38" s="42">
        <f>IF(OR(H38="",J38=""),"",H38/J38)</f>
        <v/>
      </c>
      <c r="L38" s="13" t="n"/>
      <c r="M38" s="16">
        <f>IF(AD38=0,"",IF(C18="Base fixe",C11,O37))</f>
        <v/>
      </c>
      <c r="N38" s="16">
        <f>IF(OR(K38="",M38=""),"",ROUND(M38*K38,2))</f>
        <v/>
      </c>
      <c r="O38" s="16">
        <f>IF(AD38=0,"",IF(LEFT(L38,5)="Geler",P38,IF(N38="","",IF(C19="",N38,MIN(N38,ROUND(M38*(1+C19/100)^IF(C18="Base fixe",E38*C17,VALUE(LEFT(G38,4))-VALUE(LEFT(I38,4))),2))))))</f>
        <v/>
      </c>
      <c r="P38" s="16">
        <f>IF(AD38=0,"",O37)</f>
        <v/>
      </c>
      <c r="Q38" s="43">
        <f>IF(OR(O38="",P38=""),"",O38/P38-1)</f>
        <v/>
      </c>
      <c r="R38" s="16">
        <f>IF(O38="","",O38/12)</f>
        <v/>
      </c>
      <c r="S38" s="16">
        <f>IF(O38="","",O38/IF(C14="Mensuelle",12,IF(C14="Trimestrielle",4,IF(C14="Semestrielle",2,1))))</f>
        <v/>
      </c>
      <c r="T38" s="16">
        <f>IF(AD38=0,"",IF(C12="",0,C12)/IF(C14="Mensuelle",12,IF(C14="Trimestrielle",4,IF(C14="Semestrielle",2,1))))</f>
        <v/>
      </c>
      <c r="U38" s="16">
        <f>IF(S38="","",(S38+T38)*C13/100)</f>
        <v/>
      </c>
      <c r="V38" s="16">
        <f>IF(S38="","",S38+T38+U38)</f>
        <v/>
      </c>
      <c r="W38" s="14">
        <f>IF(AD38=0,"",IF(LEFT(L38,5)="Geler","❄ Gelée",IF(H38="",IF(F38&lt;=TODAY(),"⚠ Indice attendu","À venir"),IF(F38&lt;=TODAY(),"✔ Calculable","Indice connu – à venir"))))</f>
        <v/>
      </c>
      <c r="X38" s="35" t="n"/>
      <c r="Y38" s="13" t="n"/>
      <c r="Z38" s="44" t="n"/>
      <c r="AA38" s="44" t="n"/>
      <c r="AB38" s="13" t="n"/>
      <c r="AC38" s="14">
        <f>IF(AND(AD38=1,F38&lt;=TODAY(),O38&lt;&gt;""),1,0)</f>
        <v/>
      </c>
      <c r="AD38" s="14">
        <f>IF(F38="",0,IF(AND(ISNUMBER(C10),F38&gt;C10),0,1))</f>
        <v/>
      </c>
    </row>
    <row r="39">
      <c r="E39" s="14" t="n">
        <v>12</v>
      </c>
      <c r="F39" s="15">
        <f>IF(OR(C3="",C8="",C17=""),"",EDATE(C8,12*C17*E39))</f>
        <v/>
      </c>
      <c r="G39" s="14">
        <f>IF(AD39=0,"",IFERROR(TEXT(VALUE(LEFT(C16,4))+E39*C17,"0")&amp;RIGHT(C16,3),""))</f>
        <v/>
      </c>
      <c r="H39" s="28">
        <f>IF(AD39=0,"",IF(OR(G39="",C15=""),"",IFERROR(IF(SUMIFS(INDEX(Indices!$A:$P,0,MATCH(C15,Indices!$1:$1,0)+1),INDEX(Indices!$A:$P,0,MATCH(C15,Indices!$1:$1,0)),G39)=0,"",SUMIFS(INDEX(Indices!$A:$P,0,MATCH(C15,Indices!$1:$1,0)+1),INDEX(Indices!$A:$P,0,MATCH(C15,Indices!$1:$1,0)),G39)),"")))</f>
        <v/>
      </c>
      <c r="I39" s="14">
        <f>IF(AD39=0,"",IF(C18="Base fixe",C16,IF(L38="Geler – rattrapage possible",I38,G38)))</f>
        <v/>
      </c>
      <c r="J39" s="28">
        <f>IF(AD39=0,"",IF(OR(I39="",C15=""),"",IFERROR(IF(SUMIFS(INDEX(Indices!$A:$P,0,MATCH(C15,Indices!$1:$1,0)+1),INDEX(Indices!$A:$P,0,MATCH(C15,Indices!$1:$1,0)),I39)=0,"",SUMIFS(INDEX(Indices!$A:$P,0,MATCH(C15,Indices!$1:$1,0)+1),INDEX(Indices!$A:$P,0,MATCH(C15,Indices!$1:$1,0)),I39)),"")))</f>
        <v/>
      </c>
      <c r="K39" s="42">
        <f>IF(OR(H39="",J39=""),"",H39/J39)</f>
        <v/>
      </c>
      <c r="L39" s="13" t="n"/>
      <c r="M39" s="16">
        <f>IF(AD39=0,"",IF(C18="Base fixe",C11,O38))</f>
        <v/>
      </c>
      <c r="N39" s="16">
        <f>IF(OR(K39="",M39=""),"",ROUND(M39*K39,2))</f>
        <v/>
      </c>
      <c r="O39" s="16">
        <f>IF(AD39=0,"",IF(LEFT(L39,5)="Geler",P39,IF(N39="","",IF(C19="",N39,MIN(N39,ROUND(M39*(1+C19/100)^IF(C18="Base fixe",E39*C17,VALUE(LEFT(G39,4))-VALUE(LEFT(I39,4))),2))))))</f>
        <v/>
      </c>
      <c r="P39" s="16">
        <f>IF(AD39=0,"",O38)</f>
        <v/>
      </c>
      <c r="Q39" s="43">
        <f>IF(OR(O39="",P39=""),"",O39/P39-1)</f>
        <v/>
      </c>
      <c r="R39" s="16">
        <f>IF(O39="","",O39/12)</f>
        <v/>
      </c>
      <c r="S39" s="16">
        <f>IF(O39="","",O39/IF(C14="Mensuelle",12,IF(C14="Trimestrielle",4,IF(C14="Semestrielle",2,1))))</f>
        <v/>
      </c>
      <c r="T39" s="16">
        <f>IF(AD39=0,"",IF(C12="",0,C12)/IF(C14="Mensuelle",12,IF(C14="Trimestrielle",4,IF(C14="Semestrielle",2,1))))</f>
        <v/>
      </c>
      <c r="U39" s="16">
        <f>IF(S39="","",(S39+T39)*C13/100)</f>
        <v/>
      </c>
      <c r="V39" s="16">
        <f>IF(S39="","",S39+T39+U39)</f>
        <v/>
      </c>
      <c r="W39" s="14">
        <f>IF(AD39=0,"",IF(LEFT(L39,5)="Geler","❄ Gelée",IF(H39="",IF(F39&lt;=TODAY(),"⚠ Indice attendu","À venir"),IF(F39&lt;=TODAY(),"✔ Calculable","Indice connu – à venir"))))</f>
        <v/>
      </c>
      <c r="X39" s="35" t="n"/>
      <c r="Y39" s="13" t="n"/>
      <c r="Z39" s="44" t="n"/>
      <c r="AA39" s="44" t="n"/>
      <c r="AB39" s="13" t="n"/>
      <c r="AC39" s="14">
        <f>IF(AND(AD39=1,F39&lt;=TODAY(),O39&lt;&gt;""),1,0)</f>
        <v/>
      </c>
      <c r="AD39" s="14">
        <f>IF(F39="",0,IF(AND(ISNUMBER(C10),F39&gt;C10),0,1))</f>
        <v/>
      </c>
    </row>
  </sheetData>
  <mergeCells count="10">
    <mergeCell ref="G6:J6"/>
    <mergeCell ref="G9:J9"/>
    <mergeCell ref="G3:J3"/>
    <mergeCell ref="G8:J8"/>
    <mergeCell ref="G4:J4"/>
    <mergeCell ref="G12:J12"/>
    <mergeCell ref="G7:J7"/>
    <mergeCell ref="G11:J11"/>
    <mergeCell ref="G5:J5"/>
    <mergeCell ref="G10:J10"/>
  </mergeCells>
  <conditionalFormatting sqref="K11">
    <cfRule type="expression" priority="1" dxfId="2">
      <formula>LEFT(K11,1)="⚠"</formula>
    </cfRule>
  </conditionalFormatting>
  <conditionalFormatting sqref="C24">
    <cfRule type="expression" priority="2" dxfId="2">
      <formula>AND(C24&lt;&gt;"",C24&lt;&gt;"OK")</formula>
    </cfRule>
  </conditionalFormatting>
  <conditionalFormatting sqref="W28:W39">
    <cfRule type="expression" priority="3" dxfId="0">
      <formula>LEFT(W28,1)="⚠"</formula>
    </cfRule>
    <cfRule type="expression" priority="4" dxfId="4">
      <formula>AND(LEFT(W28,1)="✔",Y28&lt;&gt;"Oui")</formula>
    </cfRule>
    <cfRule type="expression" priority="5" dxfId="5">
      <formula>AND(LEFT(W28,1)="✔",Y28="Oui")</formula>
    </cfRule>
    <cfRule type="expression" priority="6" dxfId="6">
      <formula>LEFT(W28,1)="❄"</formula>
    </cfRule>
  </conditionalFormatting>
  <conditionalFormatting sqref="E28:AB39">
    <cfRule type="expression" priority="7" dxfId="7">
      <formula>$AD28=0</formula>
    </cfRule>
  </conditionalFormatting>
  <dataValidations count="7">
    <dataValidation sqref="C7" showDropDown="0" showInputMessage="0" showErrorMessage="0" allowBlank="1" type="list">
      <formula1>"Commercial,Professionnel,Habitation,Dérogatoire,Autre"</formula1>
    </dataValidation>
    <dataValidation sqref="C14" showDropDown="0" showInputMessage="0" showErrorMessage="0" allowBlank="1" type="list">
      <formula1>"Mensuelle,Trimestrielle,Semestrielle,Annuelle"</formula1>
    </dataValidation>
    <dataValidation sqref="C15" showDropDown="0" showInputMessage="0" showErrorMessage="0" allowBlank="1" type="list">
      <formula1>"ILC,ILAT,ICC,IRL"</formula1>
    </dataValidation>
    <dataValidation sqref="C18" showDropDown="0" showInputMessage="0" showErrorMessage="0" allowBlank="1" type="list">
      <formula1>"Chaînée,Base fixe"</formula1>
    </dataValidation>
    <dataValidation sqref="C17" showDropDown="0" showInputMessage="0" showErrorMessage="0" allowBlank="1" type="list">
      <formula1>"1,2,3"</formula1>
    </dataValidation>
    <dataValidation sqref="Y28:Y39" showDropDown="0" showInputMessage="0" showErrorMessage="0" allowBlank="1" type="list">
      <formula1>"Oui,Non"</formula1>
    </dataValidation>
    <dataValidation sqref="L28:L39" showDropDown="0" showInputMessage="1" showErrorMessage="0" allowBlank="1" promptTitle="Décision du bailleur" prompt="Vide ou Appliquer = révision appliquée. Geler = loyer inchangé ; « rattrapage possible » repart de l'indice de la dernière révision appliquée." type="list">
      <formula1>"Appliquer,Geler – sans rattrapage,Geler – rattrapage possible"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AD39"/>
  <sheetViews>
    <sheetView zoomScale="9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" customWidth="1" min="4" max="4"/>
    <col width="5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4" customWidth="1" min="12" max="12"/>
    <col width="14" customWidth="1" min="13" max="13"/>
    <col width="13" customWidth="1" min="14" max="14"/>
    <col width="14" customWidth="1" min="15" max="15"/>
    <col width="14" customWidth="1" min="16" max="16"/>
    <col width="8" customWidth="1" min="17" max="17"/>
    <col width="12" customWidth="1" min="18" max="18"/>
    <col width="12" customWidth="1" min="19" max="19"/>
    <col width="12" customWidth="1" min="20" max="20"/>
    <col width="11" customWidth="1" min="21" max="21"/>
    <col width="12" customWidth="1" min="22" max="22"/>
    <col width="20" customWidth="1" min="23" max="23"/>
    <col width="40" customWidth="1" min="24" max="24"/>
    <col width="10" customWidth="1" min="25" max="25"/>
    <col width="12" customWidth="1" min="26" max="26"/>
    <col width="12" customWidth="1" min="27" max="27"/>
    <col width="28" customWidth="1" min="28" max="28"/>
    <col hidden="1" width="6" customWidth="1" min="29" max="29"/>
    <col hidden="1" width="6" customWidth="1" min="30" max="30"/>
  </cols>
  <sheetData>
    <row r="1">
      <c r="B1" s="1">
        <f>IF(C3="","Fiche de bail","Fiche de bail – "&amp;C3&amp;IF(C5&lt;&gt;""," – "&amp;C5,""))</f>
        <v/>
      </c>
    </row>
    <row r="2">
      <c r="G2" s="5" t="inlineStr">
        <is>
          <t>Situation actuelle</t>
        </is>
      </c>
    </row>
    <row r="3">
      <c r="B3" s="31" t="inlineStr">
        <is>
          <t>ID bail (= nom de l'onglet)</t>
        </is>
      </c>
      <c r="C3" s="32" t="inlineStr">
        <is>
          <t>B02</t>
        </is>
      </c>
      <c r="G3" s="6" t="inlineStr">
        <is>
          <t>Loyer actuel (annuel HT)</t>
        </is>
      </c>
      <c r="K3" s="33">
        <f>IF(C11="","",IF(K5=0,C11,INDEX($O$28:$O$39,K5)))</f>
        <v/>
      </c>
    </row>
    <row r="4">
      <c r="B4" s="31" t="inlineStr">
        <is>
          <t>Local (désignation / adresse)</t>
        </is>
      </c>
      <c r="C4" s="32" t="inlineStr">
        <is>
          <t>Bureaux 2e étage – 8 av. Foch</t>
        </is>
      </c>
      <c r="G4" s="6" t="inlineStr">
        <is>
          <t>Loyer actuel mensuel HT</t>
        </is>
      </c>
      <c r="K4" s="33">
        <f>IF(K3="","",K3/12)</f>
        <v/>
      </c>
    </row>
    <row r="5">
      <c r="B5" s="31" t="inlineStr">
        <is>
          <t>Locataire</t>
        </is>
      </c>
      <c r="C5" s="32" t="inlineStr">
        <is>
          <t>Cabinet Martin (SELARL)</t>
        </is>
      </c>
      <c r="G5" s="6" t="inlineStr">
        <is>
          <t>N° dernière révision effective</t>
        </is>
      </c>
      <c r="K5" s="34">
        <f>_xlfn.MAXIFS($E$28:$E$39,$AC$28:$AC$39,1)</f>
        <v/>
      </c>
    </row>
    <row r="6" ht="30" customHeight="1">
      <c r="B6" s="31" t="inlineStr">
        <is>
          <t>Adresse du locataire (courrier)</t>
        </is>
      </c>
      <c r="C6" s="35" t="n"/>
      <c r="G6" s="6" t="inlineStr">
        <is>
          <t>Prochaine révision</t>
        </is>
      </c>
      <c r="K6" s="36">
        <f>IF(_xlfn.MINIFS($F$28:$F$39,$AD$28:$AD$39,1,$F$28:$F$39,"&gt;"&amp;TODAY())=0,"—",_xlfn.MINIFS($F$28:$F$39,$AD$28:$AD$39,1,$F$28:$F$39,"&gt;"&amp;TODAY()))</f>
        <v/>
      </c>
    </row>
    <row r="7">
      <c r="B7" s="31" t="inlineStr">
        <is>
          <t>Type de bail</t>
        </is>
      </c>
      <c r="C7" s="32" t="inlineStr">
        <is>
          <t>Commercial</t>
        </is>
      </c>
      <c r="G7" s="6" t="inlineStr">
        <is>
          <t>Trimestre attendu</t>
        </is>
      </c>
      <c r="K7" s="37">
        <f>IF(K5+1&gt;12,"—",IF(INDEX($AD$28:$AD$39,K5+1)=0,"—",INDEX($G$28:$G$39,K5+1)))</f>
        <v/>
      </c>
    </row>
    <row r="8">
      <c r="B8" s="31" t="inlineStr">
        <is>
          <t>Date de prise d'effet</t>
        </is>
      </c>
      <c r="C8" s="38" t="n">
        <v>44835</v>
      </c>
      <c r="G8" s="6" t="inlineStr">
        <is>
          <t>Indice publié ?</t>
        </is>
      </c>
      <c r="K8" s="37">
        <f>IF(K7="—","—",IF(IF(OR(K7="",C15=""),"",IFERROR(IF(SUMIFS(INDEX(Indices!$A:$P,0,MATCH(C15,Indices!$1:$1,0)+1),INDEX(Indices!$A:$P,0,MATCH(C15,Indices!$1:$1,0)),K7)=0,"",SUMIFS(INDEX(Indices!$A:$P,0,MATCH(C15,Indices!$1:$1,0)+1),INDEX(Indices!$A:$P,0,MATCH(C15,Indices!$1:$1,0)),K7)),""))="","Non","Oui"))</f>
        <v/>
      </c>
    </row>
    <row r="9">
      <c r="B9" s="31" t="inlineStr">
        <is>
          <t>Durée (ans)</t>
        </is>
      </c>
      <c r="C9" s="32" t="n">
        <v>9</v>
      </c>
      <c r="G9" s="6" t="inlineStr">
        <is>
          <t>Révisions calculables non facturées</t>
        </is>
      </c>
      <c r="K9" s="34">
        <f>COUNTIFS($W$28:$W$39,"✔ Calculable",$Y$28:$Y$39,"&lt;&gt;Oui")</f>
        <v/>
      </c>
    </row>
    <row r="10">
      <c r="B10" s="31" t="inlineStr">
        <is>
          <t>Date de fin</t>
        </is>
      </c>
      <c r="C10" s="39">
        <f>IF(OR(C8="",C9=""),"",EDATE(C8,12*C9))</f>
        <v/>
      </c>
      <c r="G10" s="6" t="inlineStr">
        <is>
          <t>Révisions gelées</t>
        </is>
      </c>
      <c r="K10" s="34">
        <f>COUNTIFS($W$28:$W$39,"❄ Gelée")</f>
        <v/>
      </c>
    </row>
    <row r="11">
      <c r="B11" s="31" t="inlineStr">
        <is>
          <t>Loyer initial annuel HT</t>
        </is>
      </c>
      <c r="C11" s="40" t="n">
        <v>36000</v>
      </c>
      <c r="G11" s="6" t="inlineStr">
        <is>
          <t>Action</t>
        </is>
      </c>
      <c r="K11" s="37">
        <f>IF(C3="","",IF(K9&gt;0,"⚠ Facturer la révision ("&amp;K9&amp;" en attente)",IF(AND(K6&lt;&gt;"—",K6-TODAY()&lt;=60),IF(K8="Oui","Révision dans "&amp;INT(K6-TODAY())&amp;" j – indice publié","Révision dans "&amp;INT(K6-TODAY())&amp;" j – indice non publié"),"RAS")))</f>
        <v/>
      </c>
    </row>
    <row r="12">
      <c r="B12" s="31" t="inlineStr">
        <is>
          <t>Charges annuelles HT</t>
        </is>
      </c>
      <c r="C12" s="40" t="n">
        <v>0</v>
      </c>
      <c r="G12" s="6" t="inlineStr">
        <is>
          <t>Consigne de la prochaine révision</t>
        </is>
      </c>
      <c r="K12" s="37">
        <f>IF(K5+1&gt;12,"",INDEX($X$28:$X$39,K5+1)&amp;"")</f>
        <v/>
      </c>
    </row>
    <row r="13">
      <c r="B13" s="31" t="inlineStr">
        <is>
          <t>TVA (%)</t>
        </is>
      </c>
      <c r="C13" s="32" t="n">
        <v>20</v>
      </c>
    </row>
    <row r="14">
      <c r="B14" s="31" t="inlineStr">
        <is>
          <t>Périodicité de facturation</t>
        </is>
      </c>
      <c r="C14" s="32" t="inlineStr">
        <is>
          <t>Trimestrielle</t>
        </is>
      </c>
    </row>
    <row r="15">
      <c r="B15" s="31" t="inlineStr">
        <is>
          <t>Indice</t>
        </is>
      </c>
      <c r="C15" s="32" t="inlineStr">
        <is>
          <t>ILAT</t>
        </is>
      </c>
    </row>
    <row r="16">
      <c r="B16" s="31" t="inlineStr">
        <is>
          <t>Trimestre indice de base</t>
        </is>
      </c>
      <c r="C16" s="32" t="inlineStr">
        <is>
          <t>2022-T2</t>
        </is>
      </c>
    </row>
    <row r="17">
      <c r="B17" s="31" t="inlineStr">
        <is>
          <t>Périodicité de révision (ans)</t>
        </is>
      </c>
      <c r="C17" s="32" t="n">
        <v>3</v>
      </c>
    </row>
    <row r="18">
      <c r="B18" s="31" t="inlineStr">
        <is>
          <t>Méthode</t>
        </is>
      </c>
      <c r="C18" s="32" t="inlineStr">
        <is>
          <t>Base fixe</t>
        </is>
      </c>
    </row>
    <row r="19">
      <c r="B19" s="31" t="inlineStr">
        <is>
          <t>Plafond annuel (%) – optionnel</t>
        </is>
      </c>
      <c r="C19" s="32" t="n"/>
    </row>
    <row r="20">
      <c r="B20" s="31" t="inlineStr">
        <is>
          <t>Pennylane customer_id</t>
        </is>
      </c>
      <c r="C20" s="32" t="inlineStr">
        <is>
          <t>100002</t>
        </is>
      </c>
    </row>
    <row r="21">
      <c r="B21" s="31" t="inlineStr">
        <is>
          <t>Pennylane product_id</t>
        </is>
      </c>
      <c r="C21" s="32" t="n"/>
    </row>
    <row r="22">
      <c r="B22" s="31" t="inlineStr">
        <is>
          <t>Pennylane subscription_id</t>
        </is>
      </c>
      <c r="C22" s="32" t="n"/>
    </row>
    <row r="23" ht="45" customHeight="1">
      <c r="B23" s="31" t="inlineStr">
        <is>
          <t>Notes / clause d'indexation</t>
        </is>
      </c>
      <c r="C23" s="35" t="inlineStr">
        <is>
          <t>Révision triennale indexée ILAT, indice de base fixe</t>
        </is>
      </c>
    </row>
    <row r="24">
      <c r="B24" s="31" t="inlineStr">
        <is>
          <t>Contrôles</t>
        </is>
      </c>
      <c r="C24" s="41">
        <f>IF(C3="","",IF(AND(C8&lt;&gt;"",ISNUMBER(C11),C15&lt;&gt;"",LEN(C16)=7,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,OR(C19="",ISNUMBER(C19))),"OK",TRIM(IF(C8="","Date d'effet manquante. ","")&amp;IF(NOT(ISNUMBER(C11)),"Loyer initial manquant. ","")&amp;IF(C15="","Indice manquant. ","")&amp;IF(LEN(C16)&lt;&gt;7,"Trimestre de base au format AAAA-Tn. ","")&amp;IF(AND(LEN(C16)=7,C15&lt;&gt;"",NOT(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)),"Indice de base "&amp;C16&amp;" absent de la feuille Indices. ","")&amp;IF(AND(C19&lt;&gt;"",NOT(ISNUMBER(C19))),"Plafond non numérique. ",""))))</f>
        <v/>
      </c>
    </row>
    <row r="26">
      <c r="E26" s="5" t="inlineStr">
        <is>
          <t>Révisions</t>
        </is>
      </c>
    </row>
    <row r="27" ht="42" customHeight="1">
      <c r="E27" s="12" t="inlineStr">
        <is>
          <t>N°</t>
        </is>
      </c>
      <c r="F27" s="12" t="inlineStr">
        <is>
          <t>Date de révision</t>
        </is>
      </c>
      <c r="G27" s="12" t="inlineStr">
        <is>
          <t>Trim. référence</t>
        </is>
      </c>
      <c r="H27" s="12" t="inlineStr">
        <is>
          <t>Valeur indice réf.</t>
        </is>
      </c>
      <c r="I27" s="12" t="inlineStr">
        <is>
          <t>Trim. précédent</t>
        </is>
      </c>
      <c r="J27" s="12" t="inlineStr">
        <is>
          <t>Valeur indice préc.</t>
        </is>
      </c>
      <c r="K27" s="12" t="inlineStr">
        <is>
          <t>Coefficient</t>
        </is>
      </c>
      <c r="L27" s="12" t="inlineStr">
        <is>
          <t>Décision</t>
        </is>
      </c>
      <c r="M27" s="12" t="inlineStr">
        <is>
          <t>Base de calcul (annuel HT)</t>
        </is>
      </c>
      <c r="N27" s="12" t="inlineStr">
        <is>
          <t>Loyer révisé brut</t>
        </is>
      </c>
      <c r="O27" s="12" t="inlineStr">
        <is>
          <t>Loyer retenu (annuel HT)</t>
        </is>
      </c>
      <c r="P27" s="12" t="inlineStr">
        <is>
          <t>Loyer précédent (annuel HT)</t>
        </is>
      </c>
      <c r="Q27" s="12" t="inlineStr">
        <is>
          <t>Variation</t>
        </is>
      </c>
      <c r="R27" s="12" t="inlineStr">
        <is>
          <t>Loyer mensuel HT</t>
        </is>
      </c>
      <c r="S27" s="12" t="inlineStr">
        <is>
          <t>Loyer / échéance HT</t>
        </is>
      </c>
      <c r="T27" s="12" t="inlineStr">
        <is>
          <t>Charges / échéance HT</t>
        </is>
      </c>
      <c r="U27" s="12" t="inlineStr">
        <is>
          <t>TVA / échéance</t>
        </is>
      </c>
      <c r="V27" s="12" t="inlineStr">
        <is>
          <t>Total TTC / échéance</t>
        </is>
      </c>
      <c r="W27" s="12" t="inlineStr">
        <is>
          <t>Statut</t>
        </is>
      </c>
      <c r="X27" s="12" t="inlineStr">
        <is>
          <t>Consigne (à faire)</t>
        </is>
      </c>
      <c r="Y27" s="12" t="inlineStr">
        <is>
          <t>Appliqué ? (Oui/Non)</t>
        </is>
      </c>
      <c r="Z27" s="12" t="inlineStr">
        <is>
          <t>Date d'application</t>
        </is>
      </c>
      <c r="AA27" s="12" t="inlineStr">
        <is>
          <t>Courrier envoyé le</t>
        </is>
      </c>
      <c r="AB27" s="12" t="inlineStr">
        <is>
          <t>Commentaire</t>
        </is>
      </c>
      <c r="AC27" s="12" t="inlineStr">
        <is>
          <t>Effectif</t>
        </is>
      </c>
      <c r="AD27" s="12" t="inlineStr">
        <is>
          <t>Actif</t>
        </is>
      </c>
    </row>
    <row r="28">
      <c r="E28" s="14" t="n">
        <v>1</v>
      </c>
      <c r="F28" s="15">
        <f>IF(OR(C3="",C8="",C17=""),"",EDATE(C8,12*C17*E28))</f>
        <v/>
      </c>
      <c r="G28" s="14">
        <f>IF(AD28=0,"",IFERROR(TEXT(VALUE(LEFT(C16,4))+E28*C17,"0")&amp;RIGHT(C16,3),""))</f>
        <v/>
      </c>
      <c r="H28" s="28">
        <f>IF(AD28=0,"",IF(OR(G28="",C15=""),"",IFERROR(IF(SUMIFS(INDEX(Indices!$A:$P,0,MATCH(C15,Indices!$1:$1,0)+1),INDEX(Indices!$A:$P,0,MATCH(C15,Indices!$1:$1,0)),G28)=0,"",SUMIFS(INDEX(Indices!$A:$P,0,MATCH(C15,Indices!$1:$1,0)+1),INDEX(Indices!$A:$P,0,MATCH(C15,Indices!$1:$1,0)),G28)),"")))</f>
        <v/>
      </c>
      <c r="I28" s="14">
        <f>IF(AD28=0,"",C16)</f>
        <v/>
      </c>
      <c r="J28" s="28">
        <f>IF(AD28=0,"",IF(OR(I28="",C15=""),"",IFERROR(IF(SUMIFS(INDEX(Indices!$A:$P,0,MATCH(C15,Indices!$1:$1,0)+1),INDEX(Indices!$A:$P,0,MATCH(C15,Indices!$1:$1,0)),I28)=0,"",SUMIFS(INDEX(Indices!$A:$P,0,MATCH(C15,Indices!$1:$1,0)+1),INDEX(Indices!$A:$P,0,MATCH(C15,Indices!$1:$1,0)),I28)),"")))</f>
        <v/>
      </c>
      <c r="K28" s="42">
        <f>IF(OR(H28="",J28=""),"",H28/J28)</f>
        <v/>
      </c>
      <c r="L28" s="13" t="n"/>
      <c r="M28" s="16">
        <f>IF(AD28=0,"",C11)</f>
        <v/>
      </c>
      <c r="N28" s="16">
        <f>IF(OR(K28="",M28=""),"",ROUND(M28*K28,2))</f>
        <v/>
      </c>
      <c r="O28" s="16">
        <f>IF(AD28=0,"",IF(LEFT(L28,5)="Geler",P28,IF(N28="","",IF(C19="",N28,MIN(N28,ROUND(M28*(1+C19/100)^IF(C18="Base fixe",E28*C17,VALUE(LEFT(G28,4))-VALUE(LEFT(I28,4))),2))))))</f>
        <v/>
      </c>
      <c r="P28" s="16">
        <f>IF(AD28=0,"",C11)</f>
        <v/>
      </c>
      <c r="Q28" s="43">
        <f>IF(OR(O28="",P28=""),"",O28/P28-1)</f>
        <v/>
      </c>
      <c r="R28" s="16">
        <f>IF(O28="","",O28/12)</f>
        <v/>
      </c>
      <c r="S28" s="16">
        <f>IF(O28="","",O28/IF(C14="Mensuelle",12,IF(C14="Trimestrielle",4,IF(C14="Semestrielle",2,1))))</f>
        <v/>
      </c>
      <c r="T28" s="16">
        <f>IF(AD28=0,"",IF(C12="",0,C12)/IF(C14="Mensuelle",12,IF(C14="Trimestrielle",4,IF(C14="Semestrielle",2,1))))</f>
        <v/>
      </c>
      <c r="U28" s="16">
        <f>IF(S28="","",(S28+T28)*C13/100)</f>
        <v/>
      </c>
      <c r="V28" s="16">
        <f>IF(S28="","",S28+T28+U28)</f>
        <v/>
      </c>
      <c r="W28" s="14">
        <f>IF(AD28=0,"",IF(LEFT(L28,5)="Geler","❄ Gelée",IF(H28="",IF(F28&lt;=TODAY(),"⚠ Indice attendu","À venir"),IF(F28&lt;=TODAY(),"✔ Calculable","Indice connu – à venir"))))</f>
        <v/>
      </c>
      <c r="X28" s="35" t="n"/>
      <c r="Y28" s="13" t="n"/>
      <c r="Z28" s="44" t="n"/>
      <c r="AA28" s="44" t="n"/>
      <c r="AB28" s="13" t="n"/>
      <c r="AC28" s="14">
        <f>IF(AND(AD28=1,F28&lt;=TODAY(),O28&lt;&gt;""),1,0)</f>
        <v/>
      </c>
      <c r="AD28" s="14">
        <f>IF(F28="",0,IF(AND(ISNUMBER(C10),F28&gt;C10),0,1))</f>
        <v/>
      </c>
    </row>
    <row r="29">
      <c r="E29" s="14" t="n">
        <v>2</v>
      </c>
      <c r="F29" s="15">
        <f>IF(OR(C3="",C8="",C17=""),"",EDATE(C8,12*C17*E29))</f>
        <v/>
      </c>
      <c r="G29" s="14">
        <f>IF(AD29=0,"",IFERROR(TEXT(VALUE(LEFT(C16,4))+E29*C17,"0")&amp;RIGHT(C16,3),""))</f>
        <v/>
      </c>
      <c r="H29" s="28">
        <f>IF(AD29=0,"",IF(OR(G29="",C15=""),"",IFERROR(IF(SUMIFS(INDEX(Indices!$A:$P,0,MATCH(C15,Indices!$1:$1,0)+1),INDEX(Indices!$A:$P,0,MATCH(C15,Indices!$1:$1,0)),G29)=0,"",SUMIFS(INDEX(Indices!$A:$P,0,MATCH(C15,Indices!$1:$1,0)+1),INDEX(Indices!$A:$P,0,MATCH(C15,Indices!$1:$1,0)),G29)),"")))</f>
        <v/>
      </c>
      <c r="I29" s="14">
        <f>IF(AD29=0,"",IF(C18="Base fixe",C16,IF(L28="Geler – rattrapage possible",I28,G28)))</f>
        <v/>
      </c>
      <c r="J29" s="28">
        <f>IF(AD29=0,"",IF(OR(I29="",C15=""),"",IFERROR(IF(SUMIFS(INDEX(Indices!$A:$P,0,MATCH(C15,Indices!$1:$1,0)+1),INDEX(Indices!$A:$P,0,MATCH(C15,Indices!$1:$1,0)),I29)=0,"",SUMIFS(INDEX(Indices!$A:$P,0,MATCH(C15,Indices!$1:$1,0)+1),INDEX(Indices!$A:$P,0,MATCH(C15,Indices!$1:$1,0)),I29)),"")))</f>
        <v/>
      </c>
      <c r="K29" s="42">
        <f>IF(OR(H29="",J29=""),"",H29/J29)</f>
        <v/>
      </c>
      <c r="L29" s="13" t="n"/>
      <c r="M29" s="16">
        <f>IF(AD29=0,"",IF(C18="Base fixe",C11,O28))</f>
        <v/>
      </c>
      <c r="N29" s="16">
        <f>IF(OR(K29="",M29=""),"",ROUND(M29*K29,2))</f>
        <v/>
      </c>
      <c r="O29" s="16">
        <f>IF(AD29=0,"",IF(LEFT(L29,5)="Geler",P29,IF(N29="","",IF(C19="",N29,MIN(N29,ROUND(M29*(1+C19/100)^IF(C18="Base fixe",E29*C17,VALUE(LEFT(G29,4))-VALUE(LEFT(I29,4))),2))))))</f>
        <v/>
      </c>
      <c r="P29" s="16">
        <f>IF(AD29=0,"",O28)</f>
        <v/>
      </c>
      <c r="Q29" s="43">
        <f>IF(OR(O29="",P29=""),"",O29/P29-1)</f>
        <v/>
      </c>
      <c r="R29" s="16">
        <f>IF(O29="","",O29/12)</f>
        <v/>
      </c>
      <c r="S29" s="16">
        <f>IF(O29="","",O29/IF(C14="Mensuelle",12,IF(C14="Trimestrielle",4,IF(C14="Semestrielle",2,1))))</f>
        <v/>
      </c>
      <c r="T29" s="16">
        <f>IF(AD29=0,"",IF(C12="",0,C12)/IF(C14="Mensuelle",12,IF(C14="Trimestrielle",4,IF(C14="Semestrielle",2,1))))</f>
        <v/>
      </c>
      <c r="U29" s="16">
        <f>IF(S29="","",(S29+T29)*C13/100)</f>
        <v/>
      </c>
      <c r="V29" s="16">
        <f>IF(S29="","",S29+T29+U29)</f>
        <v/>
      </c>
      <c r="W29" s="14">
        <f>IF(AD29=0,"",IF(LEFT(L29,5)="Geler","❄ Gelée",IF(H29="",IF(F29&lt;=TODAY(),"⚠ Indice attendu","À venir"),IF(F29&lt;=TODAY(),"✔ Calculable","Indice connu – à venir"))))</f>
        <v/>
      </c>
      <c r="X29" s="35" t="n"/>
      <c r="Y29" s="13" t="n"/>
      <c r="Z29" s="44" t="n"/>
      <c r="AA29" s="44" t="n"/>
      <c r="AB29" s="13" t="n"/>
      <c r="AC29" s="14">
        <f>IF(AND(AD29=1,F29&lt;=TODAY(),O29&lt;&gt;""),1,0)</f>
        <v/>
      </c>
      <c r="AD29" s="14">
        <f>IF(F29="",0,IF(AND(ISNUMBER(C10),F29&gt;C10),0,1))</f>
        <v/>
      </c>
    </row>
    <row r="30">
      <c r="E30" s="14" t="n">
        <v>3</v>
      </c>
      <c r="F30" s="15">
        <f>IF(OR(C3="",C8="",C17=""),"",EDATE(C8,12*C17*E30))</f>
        <v/>
      </c>
      <c r="G30" s="14">
        <f>IF(AD30=0,"",IFERROR(TEXT(VALUE(LEFT(C16,4))+E30*C17,"0")&amp;RIGHT(C16,3),""))</f>
        <v/>
      </c>
      <c r="H30" s="28">
        <f>IF(AD30=0,"",IF(OR(G30="",C15=""),"",IFERROR(IF(SUMIFS(INDEX(Indices!$A:$P,0,MATCH(C15,Indices!$1:$1,0)+1),INDEX(Indices!$A:$P,0,MATCH(C15,Indices!$1:$1,0)),G30)=0,"",SUMIFS(INDEX(Indices!$A:$P,0,MATCH(C15,Indices!$1:$1,0)+1),INDEX(Indices!$A:$P,0,MATCH(C15,Indices!$1:$1,0)),G30)),"")))</f>
        <v/>
      </c>
      <c r="I30" s="14">
        <f>IF(AD30=0,"",IF(C18="Base fixe",C16,IF(L29="Geler – rattrapage possible",I29,G29)))</f>
        <v/>
      </c>
      <c r="J30" s="28">
        <f>IF(AD30=0,"",IF(OR(I30="",C15=""),"",IFERROR(IF(SUMIFS(INDEX(Indices!$A:$P,0,MATCH(C15,Indices!$1:$1,0)+1),INDEX(Indices!$A:$P,0,MATCH(C15,Indices!$1:$1,0)),I30)=0,"",SUMIFS(INDEX(Indices!$A:$P,0,MATCH(C15,Indices!$1:$1,0)+1),INDEX(Indices!$A:$P,0,MATCH(C15,Indices!$1:$1,0)),I30)),"")))</f>
        <v/>
      </c>
      <c r="K30" s="42">
        <f>IF(OR(H30="",J30=""),"",H30/J30)</f>
        <v/>
      </c>
      <c r="L30" s="13" t="n"/>
      <c r="M30" s="16">
        <f>IF(AD30=0,"",IF(C18="Base fixe",C11,O29))</f>
        <v/>
      </c>
      <c r="N30" s="16">
        <f>IF(OR(K30="",M30=""),"",ROUND(M30*K30,2))</f>
        <v/>
      </c>
      <c r="O30" s="16">
        <f>IF(AD30=0,"",IF(LEFT(L30,5)="Geler",P30,IF(N30="","",IF(C19="",N30,MIN(N30,ROUND(M30*(1+C19/100)^IF(C18="Base fixe",E30*C17,VALUE(LEFT(G30,4))-VALUE(LEFT(I30,4))),2))))))</f>
        <v/>
      </c>
      <c r="P30" s="16">
        <f>IF(AD30=0,"",O29)</f>
        <v/>
      </c>
      <c r="Q30" s="43">
        <f>IF(OR(O30="",P30=""),"",O30/P30-1)</f>
        <v/>
      </c>
      <c r="R30" s="16">
        <f>IF(O30="","",O30/12)</f>
        <v/>
      </c>
      <c r="S30" s="16">
        <f>IF(O30="","",O30/IF(C14="Mensuelle",12,IF(C14="Trimestrielle",4,IF(C14="Semestrielle",2,1))))</f>
        <v/>
      </c>
      <c r="T30" s="16">
        <f>IF(AD30=0,"",IF(C12="",0,C12)/IF(C14="Mensuelle",12,IF(C14="Trimestrielle",4,IF(C14="Semestrielle",2,1))))</f>
        <v/>
      </c>
      <c r="U30" s="16">
        <f>IF(S30="","",(S30+T30)*C13/100)</f>
        <v/>
      </c>
      <c r="V30" s="16">
        <f>IF(S30="","",S30+T30+U30)</f>
        <v/>
      </c>
      <c r="W30" s="14">
        <f>IF(AD30=0,"",IF(LEFT(L30,5)="Geler","❄ Gelée",IF(H30="",IF(F30&lt;=TODAY(),"⚠ Indice attendu","À venir"),IF(F30&lt;=TODAY(),"✔ Calculable","Indice connu – à venir"))))</f>
        <v/>
      </c>
      <c r="X30" s="35" t="n"/>
      <c r="Y30" s="13" t="n"/>
      <c r="Z30" s="44" t="n"/>
      <c r="AA30" s="44" t="n"/>
      <c r="AB30" s="13" t="n"/>
      <c r="AC30" s="14">
        <f>IF(AND(AD30=1,F30&lt;=TODAY(),O30&lt;&gt;""),1,0)</f>
        <v/>
      </c>
      <c r="AD30" s="14">
        <f>IF(F30="",0,IF(AND(ISNUMBER(C10),F30&gt;C10),0,1))</f>
        <v/>
      </c>
    </row>
    <row r="31">
      <c r="E31" s="14" t="n">
        <v>4</v>
      </c>
      <c r="F31" s="15">
        <f>IF(OR(C3="",C8="",C17=""),"",EDATE(C8,12*C17*E31))</f>
        <v/>
      </c>
      <c r="G31" s="14">
        <f>IF(AD31=0,"",IFERROR(TEXT(VALUE(LEFT(C16,4))+E31*C17,"0")&amp;RIGHT(C16,3),""))</f>
        <v/>
      </c>
      <c r="H31" s="28">
        <f>IF(AD31=0,"",IF(OR(G31="",C15=""),"",IFERROR(IF(SUMIFS(INDEX(Indices!$A:$P,0,MATCH(C15,Indices!$1:$1,0)+1),INDEX(Indices!$A:$P,0,MATCH(C15,Indices!$1:$1,0)),G31)=0,"",SUMIFS(INDEX(Indices!$A:$P,0,MATCH(C15,Indices!$1:$1,0)+1),INDEX(Indices!$A:$P,0,MATCH(C15,Indices!$1:$1,0)),G31)),"")))</f>
        <v/>
      </c>
      <c r="I31" s="14">
        <f>IF(AD31=0,"",IF(C18="Base fixe",C16,IF(L30="Geler – rattrapage possible",I30,G30)))</f>
        <v/>
      </c>
      <c r="J31" s="28">
        <f>IF(AD31=0,"",IF(OR(I31="",C15=""),"",IFERROR(IF(SUMIFS(INDEX(Indices!$A:$P,0,MATCH(C15,Indices!$1:$1,0)+1),INDEX(Indices!$A:$P,0,MATCH(C15,Indices!$1:$1,0)),I31)=0,"",SUMIFS(INDEX(Indices!$A:$P,0,MATCH(C15,Indices!$1:$1,0)+1),INDEX(Indices!$A:$P,0,MATCH(C15,Indices!$1:$1,0)),I31)),"")))</f>
        <v/>
      </c>
      <c r="K31" s="42">
        <f>IF(OR(H31="",J31=""),"",H31/J31)</f>
        <v/>
      </c>
      <c r="L31" s="13" t="n"/>
      <c r="M31" s="16">
        <f>IF(AD31=0,"",IF(C18="Base fixe",C11,O30))</f>
        <v/>
      </c>
      <c r="N31" s="16">
        <f>IF(OR(K31="",M31=""),"",ROUND(M31*K31,2))</f>
        <v/>
      </c>
      <c r="O31" s="16">
        <f>IF(AD31=0,"",IF(LEFT(L31,5)="Geler",P31,IF(N31="","",IF(C19="",N31,MIN(N31,ROUND(M31*(1+C19/100)^IF(C18="Base fixe",E31*C17,VALUE(LEFT(G31,4))-VALUE(LEFT(I31,4))),2))))))</f>
        <v/>
      </c>
      <c r="P31" s="16">
        <f>IF(AD31=0,"",O30)</f>
        <v/>
      </c>
      <c r="Q31" s="43">
        <f>IF(OR(O31="",P31=""),"",O31/P31-1)</f>
        <v/>
      </c>
      <c r="R31" s="16">
        <f>IF(O31="","",O31/12)</f>
        <v/>
      </c>
      <c r="S31" s="16">
        <f>IF(O31="","",O31/IF(C14="Mensuelle",12,IF(C14="Trimestrielle",4,IF(C14="Semestrielle",2,1))))</f>
        <v/>
      </c>
      <c r="T31" s="16">
        <f>IF(AD31=0,"",IF(C12="",0,C12)/IF(C14="Mensuelle",12,IF(C14="Trimestrielle",4,IF(C14="Semestrielle",2,1))))</f>
        <v/>
      </c>
      <c r="U31" s="16">
        <f>IF(S31="","",(S31+T31)*C13/100)</f>
        <v/>
      </c>
      <c r="V31" s="16">
        <f>IF(S31="","",S31+T31+U31)</f>
        <v/>
      </c>
      <c r="W31" s="14">
        <f>IF(AD31=0,"",IF(LEFT(L31,5)="Geler","❄ Gelée",IF(H31="",IF(F31&lt;=TODAY(),"⚠ Indice attendu","À venir"),IF(F31&lt;=TODAY(),"✔ Calculable","Indice connu – à venir"))))</f>
        <v/>
      </c>
      <c r="X31" s="35" t="n"/>
      <c r="Y31" s="13" t="n"/>
      <c r="Z31" s="44" t="n"/>
      <c r="AA31" s="44" t="n"/>
      <c r="AB31" s="13" t="n"/>
      <c r="AC31" s="14">
        <f>IF(AND(AD31=1,F31&lt;=TODAY(),O31&lt;&gt;""),1,0)</f>
        <v/>
      </c>
      <c r="AD31" s="14">
        <f>IF(F31="",0,IF(AND(ISNUMBER(C10),F31&gt;C10),0,1))</f>
        <v/>
      </c>
    </row>
    <row r="32">
      <c r="E32" s="14" t="n">
        <v>5</v>
      </c>
      <c r="F32" s="15">
        <f>IF(OR(C3="",C8="",C17=""),"",EDATE(C8,12*C17*E32))</f>
        <v/>
      </c>
      <c r="G32" s="14">
        <f>IF(AD32=0,"",IFERROR(TEXT(VALUE(LEFT(C16,4))+E32*C17,"0")&amp;RIGHT(C16,3),""))</f>
        <v/>
      </c>
      <c r="H32" s="28">
        <f>IF(AD32=0,"",IF(OR(G32="",C15=""),"",IFERROR(IF(SUMIFS(INDEX(Indices!$A:$P,0,MATCH(C15,Indices!$1:$1,0)+1),INDEX(Indices!$A:$P,0,MATCH(C15,Indices!$1:$1,0)),G32)=0,"",SUMIFS(INDEX(Indices!$A:$P,0,MATCH(C15,Indices!$1:$1,0)+1),INDEX(Indices!$A:$P,0,MATCH(C15,Indices!$1:$1,0)),G32)),"")))</f>
        <v/>
      </c>
      <c r="I32" s="14">
        <f>IF(AD32=0,"",IF(C18="Base fixe",C16,IF(L31="Geler – rattrapage possible",I31,G31)))</f>
        <v/>
      </c>
      <c r="J32" s="28">
        <f>IF(AD32=0,"",IF(OR(I32="",C15=""),"",IFERROR(IF(SUMIFS(INDEX(Indices!$A:$P,0,MATCH(C15,Indices!$1:$1,0)+1),INDEX(Indices!$A:$P,0,MATCH(C15,Indices!$1:$1,0)),I32)=0,"",SUMIFS(INDEX(Indices!$A:$P,0,MATCH(C15,Indices!$1:$1,0)+1),INDEX(Indices!$A:$P,0,MATCH(C15,Indices!$1:$1,0)),I32)),"")))</f>
        <v/>
      </c>
      <c r="K32" s="42">
        <f>IF(OR(H32="",J32=""),"",H32/J32)</f>
        <v/>
      </c>
      <c r="L32" s="13" t="n"/>
      <c r="M32" s="16">
        <f>IF(AD32=0,"",IF(C18="Base fixe",C11,O31))</f>
        <v/>
      </c>
      <c r="N32" s="16">
        <f>IF(OR(K32="",M32=""),"",ROUND(M32*K32,2))</f>
        <v/>
      </c>
      <c r="O32" s="16">
        <f>IF(AD32=0,"",IF(LEFT(L32,5)="Geler",P32,IF(N32="","",IF(C19="",N32,MIN(N32,ROUND(M32*(1+C19/100)^IF(C18="Base fixe",E32*C17,VALUE(LEFT(G32,4))-VALUE(LEFT(I32,4))),2))))))</f>
        <v/>
      </c>
      <c r="P32" s="16">
        <f>IF(AD32=0,"",O31)</f>
        <v/>
      </c>
      <c r="Q32" s="43">
        <f>IF(OR(O32="",P32=""),"",O32/P32-1)</f>
        <v/>
      </c>
      <c r="R32" s="16">
        <f>IF(O32="","",O32/12)</f>
        <v/>
      </c>
      <c r="S32" s="16">
        <f>IF(O32="","",O32/IF(C14="Mensuelle",12,IF(C14="Trimestrielle",4,IF(C14="Semestrielle",2,1))))</f>
        <v/>
      </c>
      <c r="T32" s="16">
        <f>IF(AD32=0,"",IF(C12="",0,C12)/IF(C14="Mensuelle",12,IF(C14="Trimestrielle",4,IF(C14="Semestrielle",2,1))))</f>
        <v/>
      </c>
      <c r="U32" s="16">
        <f>IF(S32="","",(S32+T32)*C13/100)</f>
        <v/>
      </c>
      <c r="V32" s="16">
        <f>IF(S32="","",S32+T32+U32)</f>
        <v/>
      </c>
      <c r="W32" s="14">
        <f>IF(AD32=0,"",IF(LEFT(L32,5)="Geler","❄ Gelée",IF(H32="",IF(F32&lt;=TODAY(),"⚠ Indice attendu","À venir"),IF(F32&lt;=TODAY(),"✔ Calculable","Indice connu – à venir"))))</f>
        <v/>
      </c>
      <c r="X32" s="35" t="n"/>
      <c r="Y32" s="13" t="n"/>
      <c r="Z32" s="44" t="n"/>
      <c r="AA32" s="44" t="n"/>
      <c r="AB32" s="13" t="n"/>
      <c r="AC32" s="14">
        <f>IF(AND(AD32=1,F32&lt;=TODAY(),O32&lt;&gt;""),1,0)</f>
        <v/>
      </c>
      <c r="AD32" s="14">
        <f>IF(F32="",0,IF(AND(ISNUMBER(C10),F32&gt;C10),0,1))</f>
        <v/>
      </c>
    </row>
    <row r="33">
      <c r="E33" s="14" t="n">
        <v>6</v>
      </c>
      <c r="F33" s="15">
        <f>IF(OR(C3="",C8="",C17=""),"",EDATE(C8,12*C17*E33))</f>
        <v/>
      </c>
      <c r="G33" s="14">
        <f>IF(AD33=0,"",IFERROR(TEXT(VALUE(LEFT(C16,4))+E33*C17,"0")&amp;RIGHT(C16,3),""))</f>
        <v/>
      </c>
      <c r="H33" s="28">
        <f>IF(AD33=0,"",IF(OR(G33="",C15=""),"",IFERROR(IF(SUMIFS(INDEX(Indices!$A:$P,0,MATCH(C15,Indices!$1:$1,0)+1),INDEX(Indices!$A:$P,0,MATCH(C15,Indices!$1:$1,0)),G33)=0,"",SUMIFS(INDEX(Indices!$A:$P,0,MATCH(C15,Indices!$1:$1,0)+1),INDEX(Indices!$A:$P,0,MATCH(C15,Indices!$1:$1,0)),G33)),"")))</f>
        <v/>
      </c>
      <c r="I33" s="14">
        <f>IF(AD33=0,"",IF(C18="Base fixe",C16,IF(L32="Geler – rattrapage possible",I32,G32)))</f>
        <v/>
      </c>
      <c r="J33" s="28">
        <f>IF(AD33=0,"",IF(OR(I33="",C15=""),"",IFERROR(IF(SUMIFS(INDEX(Indices!$A:$P,0,MATCH(C15,Indices!$1:$1,0)+1),INDEX(Indices!$A:$P,0,MATCH(C15,Indices!$1:$1,0)),I33)=0,"",SUMIFS(INDEX(Indices!$A:$P,0,MATCH(C15,Indices!$1:$1,0)+1),INDEX(Indices!$A:$P,0,MATCH(C15,Indices!$1:$1,0)),I33)),"")))</f>
        <v/>
      </c>
      <c r="K33" s="42">
        <f>IF(OR(H33="",J33=""),"",H33/J33)</f>
        <v/>
      </c>
      <c r="L33" s="13" t="n"/>
      <c r="M33" s="16">
        <f>IF(AD33=0,"",IF(C18="Base fixe",C11,O32))</f>
        <v/>
      </c>
      <c r="N33" s="16">
        <f>IF(OR(K33="",M33=""),"",ROUND(M33*K33,2))</f>
        <v/>
      </c>
      <c r="O33" s="16">
        <f>IF(AD33=0,"",IF(LEFT(L33,5)="Geler",P33,IF(N33="","",IF(C19="",N33,MIN(N33,ROUND(M33*(1+C19/100)^IF(C18="Base fixe",E33*C17,VALUE(LEFT(G33,4))-VALUE(LEFT(I33,4))),2))))))</f>
        <v/>
      </c>
      <c r="P33" s="16">
        <f>IF(AD33=0,"",O32)</f>
        <v/>
      </c>
      <c r="Q33" s="43">
        <f>IF(OR(O33="",P33=""),"",O33/P33-1)</f>
        <v/>
      </c>
      <c r="R33" s="16">
        <f>IF(O33="","",O33/12)</f>
        <v/>
      </c>
      <c r="S33" s="16">
        <f>IF(O33="","",O33/IF(C14="Mensuelle",12,IF(C14="Trimestrielle",4,IF(C14="Semestrielle",2,1))))</f>
        <v/>
      </c>
      <c r="T33" s="16">
        <f>IF(AD33=0,"",IF(C12="",0,C12)/IF(C14="Mensuelle",12,IF(C14="Trimestrielle",4,IF(C14="Semestrielle",2,1))))</f>
        <v/>
      </c>
      <c r="U33" s="16">
        <f>IF(S33="","",(S33+T33)*C13/100)</f>
        <v/>
      </c>
      <c r="V33" s="16">
        <f>IF(S33="","",S33+T33+U33)</f>
        <v/>
      </c>
      <c r="W33" s="14">
        <f>IF(AD33=0,"",IF(LEFT(L33,5)="Geler","❄ Gelée",IF(H33="",IF(F33&lt;=TODAY(),"⚠ Indice attendu","À venir"),IF(F33&lt;=TODAY(),"✔ Calculable","Indice connu – à venir"))))</f>
        <v/>
      </c>
      <c r="X33" s="35" t="n"/>
      <c r="Y33" s="13" t="n"/>
      <c r="Z33" s="44" t="n"/>
      <c r="AA33" s="44" t="n"/>
      <c r="AB33" s="13" t="n"/>
      <c r="AC33" s="14">
        <f>IF(AND(AD33=1,F33&lt;=TODAY(),O33&lt;&gt;""),1,0)</f>
        <v/>
      </c>
      <c r="AD33" s="14">
        <f>IF(F33="",0,IF(AND(ISNUMBER(C10),F33&gt;C10),0,1))</f>
        <v/>
      </c>
    </row>
    <row r="34">
      <c r="E34" s="14" t="n">
        <v>7</v>
      </c>
      <c r="F34" s="15">
        <f>IF(OR(C3="",C8="",C17=""),"",EDATE(C8,12*C17*E34))</f>
        <v/>
      </c>
      <c r="G34" s="14">
        <f>IF(AD34=0,"",IFERROR(TEXT(VALUE(LEFT(C16,4))+E34*C17,"0")&amp;RIGHT(C16,3),""))</f>
        <v/>
      </c>
      <c r="H34" s="28">
        <f>IF(AD34=0,"",IF(OR(G34="",C15=""),"",IFERROR(IF(SUMIFS(INDEX(Indices!$A:$P,0,MATCH(C15,Indices!$1:$1,0)+1),INDEX(Indices!$A:$P,0,MATCH(C15,Indices!$1:$1,0)),G34)=0,"",SUMIFS(INDEX(Indices!$A:$P,0,MATCH(C15,Indices!$1:$1,0)+1),INDEX(Indices!$A:$P,0,MATCH(C15,Indices!$1:$1,0)),G34)),"")))</f>
        <v/>
      </c>
      <c r="I34" s="14">
        <f>IF(AD34=0,"",IF(C18="Base fixe",C16,IF(L33="Geler – rattrapage possible",I33,G33)))</f>
        <v/>
      </c>
      <c r="J34" s="28">
        <f>IF(AD34=0,"",IF(OR(I34="",C15=""),"",IFERROR(IF(SUMIFS(INDEX(Indices!$A:$P,0,MATCH(C15,Indices!$1:$1,0)+1),INDEX(Indices!$A:$P,0,MATCH(C15,Indices!$1:$1,0)),I34)=0,"",SUMIFS(INDEX(Indices!$A:$P,0,MATCH(C15,Indices!$1:$1,0)+1),INDEX(Indices!$A:$P,0,MATCH(C15,Indices!$1:$1,0)),I34)),"")))</f>
        <v/>
      </c>
      <c r="K34" s="42">
        <f>IF(OR(H34="",J34=""),"",H34/J34)</f>
        <v/>
      </c>
      <c r="L34" s="13" t="n"/>
      <c r="M34" s="16">
        <f>IF(AD34=0,"",IF(C18="Base fixe",C11,O33))</f>
        <v/>
      </c>
      <c r="N34" s="16">
        <f>IF(OR(K34="",M34=""),"",ROUND(M34*K34,2))</f>
        <v/>
      </c>
      <c r="O34" s="16">
        <f>IF(AD34=0,"",IF(LEFT(L34,5)="Geler",P34,IF(N34="","",IF(C19="",N34,MIN(N34,ROUND(M34*(1+C19/100)^IF(C18="Base fixe",E34*C17,VALUE(LEFT(G34,4))-VALUE(LEFT(I34,4))),2))))))</f>
        <v/>
      </c>
      <c r="P34" s="16">
        <f>IF(AD34=0,"",O33)</f>
        <v/>
      </c>
      <c r="Q34" s="43">
        <f>IF(OR(O34="",P34=""),"",O34/P34-1)</f>
        <v/>
      </c>
      <c r="R34" s="16">
        <f>IF(O34="","",O34/12)</f>
        <v/>
      </c>
      <c r="S34" s="16">
        <f>IF(O34="","",O34/IF(C14="Mensuelle",12,IF(C14="Trimestrielle",4,IF(C14="Semestrielle",2,1))))</f>
        <v/>
      </c>
      <c r="T34" s="16">
        <f>IF(AD34=0,"",IF(C12="",0,C12)/IF(C14="Mensuelle",12,IF(C14="Trimestrielle",4,IF(C14="Semestrielle",2,1))))</f>
        <v/>
      </c>
      <c r="U34" s="16">
        <f>IF(S34="","",(S34+T34)*C13/100)</f>
        <v/>
      </c>
      <c r="V34" s="16">
        <f>IF(S34="","",S34+T34+U34)</f>
        <v/>
      </c>
      <c r="W34" s="14">
        <f>IF(AD34=0,"",IF(LEFT(L34,5)="Geler","❄ Gelée",IF(H34="",IF(F34&lt;=TODAY(),"⚠ Indice attendu","À venir"),IF(F34&lt;=TODAY(),"✔ Calculable","Indice connu – à venir"))))</f>
        <v/>
      </c>
      <c r="X34" s="35" t="n"/>
      <c r="Y34" s="13" t="n"/>
      <c r="Z34" s="44" t="n"/>
      <c r="AA34" s="44" t="n"/>
      <c r="AB34" s="13" t="n"/>
      <c r="AC34" s="14">
        <f>IF(AND(AD34=1,F34&lt;=TODAY(),O34&lt;&gt;""),1,0)</f>
        <v/>
      </c>
      <c r="AD34" s="14">
        <f>IF(F34="",0,IF(AND(ISNUMBER(C10),F34&gt;C10),0,1))</f>
        <v/>
      </c>
    </row>
    <row r="35">
      <c r="E35" s="14" t="n">
        <v>8</v>
      </c>
      <c r="F35" s="15">
        <f>IF(OR(C3="",C8="",C17=""),"",EDATE(C8,12*C17*E35))</f>
        <v/>
      </c>
      <c r="G35" s="14">
        <f>IF(AD35=0,"",IFERROR(TEXT(VALUE(LEFT(C16,4))+E35*C17,"0")&amp;RIGHT(C16,3),""))</f>
        <v/>
      </c>
      <c r="H35" s="28">
        <f>IF(AD35=0,"",IF(OR(G35="",C15=""),"",IFERROR(IF(SUMIFS(INDEX(Indices!$A:$P,0,MATCH(C15,Indices!$1:$1,0)+1),INDEX(Indices!$A:$P,0,MATCH(C15,Indices!$1:$1,0)),G35)=0,"",SUMIFS(INDEX(Indices!$A:$P,0,MATCH(C15,Indices!$1:$1,0)+1),INDEX(Indices!$A:$P,0,MATCH(C15,Indices!$1:$1,0)),G35)),"")))</f>
        <v/>
      </c>
      <c r="I35" s="14">
        <f>IF(AD35=0,"",IF(C18="Base fixe",C16,IF(L34="Geler – rattrapage possible",I34,G34)))</f>
        <v/>
      </c>
      <c r="J35" s="28">
        <f>IF(AD35=0,"",IF(OR(I35="",C15=""),"",IFERROR(IF(SUMIFS(INDEX(Indices!$A:$P,0,MATCH(C15,Indices!$1:$1,0)+1),INDEX(Indices!$A:$P,0,MATCH(C15,Indices!$1:$1,0)),I35)=0,"",SUMIFS(INDEX(Indices!$A:$P,0,MATCH(C15,Indices!$1:$1,0)+1),INDEX(Indices!$A:$P,0,MATCH(C15,Indices!$1:$1,0)),I35)),"")))</f>
        <v/>
      </c>
      <c r="K35" s="42">
        <f>IF(OR(H35="",J35=""),"",H35/J35)</f>
        <v/>
      </c>
      <c r="L35" s="13" t="n"/>
      <c r="M35" s="16">
        <f>IF(AD35=0,"",IF(C18="Base fixe",C11,O34))</f>
        <v/>
      </c>
      <c r="N35" s="16">
        <f>IF(OR(K35="",M35=""),"",ROUND(M35*K35,2))</f>
        <v/>
      </c>
      <c r="O35" s="16">
        <f>IF(AD35=0,"",IF(LEFT(L35,5)="Geler",P35,IF(N35="","",IF(C19="",N35,MIN(N35,ROUND(M35*(1+C19/100)^IF(C18="Base fixe",E35*C17,VALUE(LEFT(G35,4))-VALUE(LEFT(I35,4))),2))))))</f>
        <v/>
      </c>
      <c r="P35" s="16">
        <f>IF(AD35=0,"",O34)</f>
        <v/>
      </c>
      <c r="Q35" s="43">
        <f>IF(OR(O35="",P35=""),"",O35/P35-1)</f>
        <v/>
      </c>
      <c r="R35" s="16">
        <f>IF(O35="","",O35/12)</f>
        <v/>
      </c>
      <c r="S35" s="16">
        <f>IF(O35="","",O35/IF(C14="Mensuelle",12,IF(C14="Trimestrielle",4,IF(C14="Semestrielle",2,1))))</f>
        <v/>
      </c>
      <c r="T35" s="16">
        <f>IF(AD35=0,"",IF(C12="",0,C12)/IF(C14="Mensuelle",12,IF(C14="Trimestrielle",4,IF(C14="Semestrielle",2,1))))</f>
        <v/>
      </c>
      <c r="U35" s="16">
        <f>IF(S35="","",(S35+T35)*C13/100)</f>
        <v/>
      </c>
      <c r="V35" s="16">
        <f>IF(S35="","",S35+T35+U35)</f>
        <v/>
      </c>
      <c r="W35" s="14">
        <f>IF(AD35=0,"",IF(LEFT(L35,5)="Geler","❄ Gelée",IF(H35="",IF(F35&lt;=TODAY(),"⚠ Indice attendu","À venir"),IF(F35&lt;=TODAY(),"✔ Calculable","Indice connu – à venir"))))</f>
        <v/>
      </c>
      <c r="X35" s="35" t="n"/>
      <c r="Y35" s="13" t="n"/>
      <c r="Z35" s="44" t="n"/>
      <c r="AA35" s="44" t="n"/>
      <c r="AB35" s="13" t="n"/>
      <c r="AC35" s="14">
        <f>IF(AND(AD35=1,F35&lt;=TODAY(),O35&lt;&gt;""),1,0)</f>
        <v/>
      </c>
      <c r="AD35" s="14">
        <f>IF(F35="",0,IF(AND(ISNUMBER(C10),F35&gt;C10),0,1))</f>
        <v/>
      </c>
    </row>
    <row r="36">
      <c r="E36" s="14" t="n">
        <v>9</v>
      </c>
      <c r="F36" s="15">
        <f>IF(OR(C3="",C8="",C17=""),"",EDATE(C8,12*C17*E36))</f>
        <v/>
      </c>
      <c r="G36" s="14">
        <f>IF(AD36=0,"",IFERROR(TEXT(VALUE(LEFT(C16,4))+E36*C17,"0")&amp;RIGHT(C16,3),""))</f>
        <v/>
      </c>
      <c r="H36" s="28">
        <f>IF(AD36=0,"",IF(OR(G36="",C15=""),"",IFERROR(IF(SUMIFS(INDEX(Indices!$A:$P,0,MATCH(C15,Indices!$1:$1,0)+1),INDEX(Indices!$A:$P,0,MATCH(C15,Indices!$1:$1,0)),G36)=0,"",SUMIFS(INDEX(Indices!$A:$P,0,MATCH(C15,Indices!$1:$1,0)+1),INDEX(Indices!$A:$P,0,MATCH(C15,Indices!$1:$1,0)),G36)),"")))</f>
        <v/>
      </c>
      <c r="I36" s="14">
        <f>IF(AD36=0,"",IF(C18="Base fixe",C16,IF(L35="Geler – rattrapage possible",I35,G35)))</f>
        <v/>
      </c>
      <c r="J36" s="28">
        <f>IF(AD36=0,"",IF(OR(I36="",C15=""),"",IFERROR(IF(SUMIFS(INDEX(Indices!$A:$P,0,MATCH(C15,Indices!$1:$1,0)+1),INDEX(Indices!$A:$P,0,MATCH(C15,Indices!$1:$1,0)),I36)=0,"",SUMIFS(INDEX(Indices!$A:$P,0,MATCH(C15,Indices!$1:$1,0)+1),INDEX(Indices!$A:$P,0,MATCH(C15,Indices!$1:$1,0)),I36)),"")))</f>
        <v/>
      </c>
      <c r="K36" s="42">
        <f>IF(OR(H36="",J36=""),"",H36/J36)</f>
        <v/>
      </c>
      <c r="L36" s="13" t="n"/>
      <c r="M36" s="16">
        <f>IF(AD36=0,"",IF(C18="Base fixe",C11,O35))</f>
        <v/>
      </c>
      <c r="N36" s="16">
        <f>IF(OR(K36="",M36=""),"",ROUND(M36*K36,2))</f>
        <v/>
      </c>
      <c r="O36" s="16">
        <f>IF(AD36=0,"",IF(LEFT(L36,5)="Geler",P36,IF(N36="","",IF(C19="",N36,MIN(N36,ROUND(M36*(1+C19/100)^IF(C18="Base fixe",E36*C17,VALUE(LEFT(G36,4))-VALUE(LEFT(I36,4))),2))))))</f>
        <v/>
      </c>
      <c r="P36" s="16">
        <f>IF(AD36=0,"",O35)</f>
        <v/>
      </c>
      <c r="Q36" s="43">
        <f>IF(OR(O36="",P36=""),"",O36/P36-1)</f>
        <v/>
      </c>
      <c r="R36" s="16">
        <f>IF(O36="","",O36/12)</f>
        <v/>
      </c>
      <c r="S36" s="16">
        <f>IF(O36="","",O36/IF(C14="Mensuelle",12,IF(C14="Trimestrielle",4,IF(C14="Semestrielle",2,1))))</f>
        <v/>
      </c>
      <c r="T36" s="16">
        <f>IF(AD36=0,"",IF(C12="",0,C12)/IF(C14="Mensuelle",12,IF(C14="Trimestrielle",4,IF(C14="Semestrielle",2,1))))</f>
        <v/>
      </c>
      <c r="U36" s="16">
        <f>IF(S36="","",(S36+T36)*C13/100)</f>
        <v/>
      </c>
      <c r="V36" s="16">
        <f>IF(S36="","",S36+T36+U36)</f>
        <v/>
      </c>
      <c r="W36" s="14">
        <f>IF(AD36=0,"",IF(LEFT(L36,5)="Geler","❄ Gelée",IF(H36="",IF(F36&lt;=TODAY(),"⚠ Indice attendu","À venir"),IF(F36&lt;=TODAY(),"✔ Calculable","Indice connu – à venir"))))</f>
        <v/>
      </c>
      <c r="X36" s="35" t="n"/>
      <c r="Y36" s="13" t="n"/>
      <c r="Z36" s="44" t="n"/>
      <c r="AA36" s="44" t="n"/>
      <c r="AB36" s="13" t="n"/>
      <c r="AC36" s="14">
        <f>IF(AND(AD36=1,F36&lt;=TODAY(),O36&lt;&gt;""),1,0)</f>
        <v/>
      </c>
      <c r="AD36" s="14">
        <f>IF(F36="",0,IF(AND(ISNUMBER(C10),F36&gt;C10),0,1))</f>
        <v/>
      </c>
    </row>
    <row r="37">
      <c r="E37" s="14" t="n">
        <v>10</v>
      </c>
      <c r="F37" s="15">
        <f>IF(OR(C3="",C8="",C17=""),"",EDATE(C8,12*C17*E37))</f>
        <v/>
      </c>
      <c r="G37" s="14">
        <f>IF(AD37=0,"",IFERROR(TEXT(VALUE(LEFT(C16,4))+E37*C17,"0")&amp;RIGHT(C16,3),""))</f>
        <v/>
      </c>
      <c r="H37" s="28">
        <f>IF(AD37=0,"",IF(OR(G37="",C15=""),"",IFERROR(IF(SUMIFS(INDEX(Indices!$A:$P,0,MATCH(C15,Indices!$1:$1,0)+1),INDEX(Indices!$A:$P,0,MATCH(C15,Indices!$1:$1,0)),G37)=0,"",SUMIFS(INDEX(Indices!$A:$P,0,MATCH(C15,Indices!$1:$1,0)+1),INDEX(Indices!$A:$P,0,MATCH(C15,Indices!$1:$1,0)),G37)),"")))</f>
        <v/>
      </c>
      <c r="I37" s="14">
        <f>IF(AD37=0,"",IF(C18="Base fixe",C16,IF(L36="Geler – rattrapage possible",I36,G36)))</f>
        <v/>
      </c>
      <c r="J37" s="28">
        <f>IF(AD37=0,"",IF(OR(I37="",C15=""),"",IFERROR(IF(SUMIFS(INDEX(Indices!$A:$P,0,MATCH(C15,Indices!$1:$1,0)+1),INDEX(Indices!$A:$P,0,MATCH(C15,Indices!$1:$1,0)),I37)=0,"",SUMIFS(INDEX(Indices!$A:$P,0,MATCH(C15,Indices!$1:$1,0)+1),INDEX(Indices!$A:$P,0,MATCH(C15,Indices!$1:$1,0)),I37)),"")))</f>
        <v/>
      </c>
      <c r="K37" s="42">
        <f>IF(OR(H37="",J37=""),"",H37/J37)</f>
        <v/>
      </c>
      <c r="L37" s="13" t="n"/>
      <c r="M37" s="16">
        <f>IF(AD37=0,"",IF(C18="Base fixe",C11,O36))</f>
        <v/>
      </c>
      <c r="N37" s="16">
        <f>IF(OR(K37="",M37=""),"",ROUND(M37*K37,2))</f>
        <v/>
      </c>
      <c r="O37" s="16">
        <f>IF(AD37=0,"",IF(LEFT(L37,5)="Geler",P37,IF(N37="","",IF(C19="",N37,MIN(N37,ROUND(M37*(1+C19/100)^IF(C18="Base fixe",E37*C17,VALUE(LEFT(G37,4))-VALUE(LEFT(I37,4))),2))))))</f>
        <v/>
      </c>
      <c r="P37" s="16">
        <f>IF(AD37=0,"",O36)</f>
        <v/>
      </c>
      <c r="Q37" s="43">
        <f>IF(OR(O37="",P37=""),"",O37/P37-1)</f>
        <v/>
      </c>
      <c r="R37" s="16">
        <f>IF(O37="","",O37/12)</f>
        <v/>
      </c>
      <c r="S37" s="16">
        <f>IF(O37="","",O37/IF(C14="Mensuelle",12,IF(C14="Trimestrielle",4,IF(C14="Semestrielle",2,1))))</f>
        <v/>
      </c>
      <c r="T37" s="16">
        <f>IF(AD37=0,"",IF(C12="",0,C12)/IF(C14="Mensuelle",12,IF(C14="Trimestrielle",4,IF(C14="Semestrielle",2,1))))</f>
        <v/>
      </c>
      <c r="U37" s="16">
        <f>IF(S37="","",(S37+T37)*C13/100)</f>
        <v/>
      </c>
      <c r="V37" s="16">
        <f>IF(S37="","",S37+T37+U37)</f>
        <v/>
      </c>
      <c r="W37" s="14">
        <f>IF(AD37=0,"",IF(LEFT(L37,5)="Geler","❄ Gelée",IF(H37="",IF(F37&lt;=TODAY(),"⚠ Indice attendu","À venir"),IF(F37&lt;=TODAY(),"✔ Calculable","Indice connu – à venir"))))</f>
        <v/>
      </c>
      <c r="X37" s="35" t="n"/>
      <c r="Y37" s="13" t="n"/>
      <c r="Z37" s="44" t="n"/>
      <c r="AA37" s="44" t="n"/>
      <c r="AB37" s="13" t="n"/>
      <c r="AC37" s="14">
        <f>IF(AND(AD37=1,F37&lt;=TODAY(),O37&lt;&gt;""),1,0)</f>
        <v/>
      </c>
      <c r="AD37" s="14">
        <f>IF(F37="",0,IF(AND(ISNUMBER(C10),F37&gt;C10),0,1))</f>
        <v/>
      </c>
    </row>
    <row r="38">
      <c r="E38" s="14" t="n">
        <v>11</v>
      </c>
      <c r="F38" s="15">
        <f>IF(OR(C3="",C8="",C17=""),"",EDATE(C8,12*C17*E38))</f>
        <v/>
      </c>
      <c r="G38" s="14">
        <f>IF(AD38=0,"",IFERROR(TEXT(VALUE(LEFT(C16,4))+E38*C17,"0")&amp;RIGHT(C16,3),""))</f>
        <v/>
      </c>
      <c r="H38" s="28">
        <f>IF(AD38=0,"",IF(OR(G38="",C15=""),"",IFERROR(IF(SUMIFS(INDEX(Indices!$A:$P,0,MATCH(C15,Indices!$1:$1,0)+1),INDEX(Indices!$A:$P,0,MATCH(C15,Indices!$1:$1,0)),G38)=0,"",SUMIFS(INDEX(Indices!$A:$P,0,MATCH(C15,Indices!$1:$1,0)+1),INDEX(Indices!$A:$P,0,MATCH(C15,Indices!$1:$1,0)),G38)),"")))</f>
        <v/>
      </c>
      <c r="I38" s="14">
        <f>IF(AD38=0,"",IF(C18="Base fixe",C16,IF(L37="Geler – rattrapage possible",I37,G37)))</f>
        <v/>
      </c>
      <c r="J38" s="28">
        <f>IF(AD38=0,"",IF(OR(I38="",C15=""),"",IFERROR(IF(SUMIFS(INDEX(Indices!$A:$P,0,MATCH(C15,Indices!$1:$1,0)+1),INDEX(Indices!$A:$P,0,MATCH(C15,Indices!$1:$1,0)),I38)=0,"",SUMIFS(INDEX(Indices!$A:$P,0,MATCH(C15,Indices!$1:$1,0)+1),INDEX(Indices!$A:$P,0,MATCH(C15,Indices!$1:$1,0)),I38)),"")))</f>
        <v/>
      </c>
      <c r="K38" s="42">
        <f>IF(OR(H38="",J38=""),"",H38/J38)</f>
        <v/>
      </c>
      <c r="L38" s="13" t="n"/>
      <c r="M38" s="16">
        <f>IF(AD38=0,"",IF(C18="Base fixe",C11,O37))</f>
        <v/>
      </c>
      <c r="N38" s="16">
        <f>IF(OR(K38="",M38=""),"",ROUND(M38*K38,2))</f>
        <v/>
      </c>
      <c r="O38" s="16">
        <f>IF(AD38=0,"",IF(LEFT(L38,5)="Geler",P38,IF(N38="","",IF(C19="",N38,MIN(N38,ROUND(M38*(1+C19/100)^IF(C18="Base fixe",E38*C17,VALUE(LEFT(G38,4))-VALUE(LEFT(I38,4))),2))))))</f>
        <v/>
      </c>
      <c r="P38" s="16">
        <f>IF(AD38=0,"",O37)</f>
        <v/>
      </c>
      <c r="Q38" s="43">
        <f>IF(OR(O38="",P38=""),"",O38/P38-1)</f>
        <v/>
      </c>
      <c r="R38" s="16">
        <f>IF(O38="","",O38/12)</f>
        <v/>
      </c>
      <c r="S38" s="16">
        <f>IF(O38="","",O38/IF(C14="Mensuelle",12,IF(C14="Trimestrielle",4,IF(C14="Semestrielle",2,1))))</f>
        <v/>
      </c>
      <c r="T38" s="16">
        <f>IF(AD38=0,"",IF(C12="",0,C12)/IF(C14="Mensuelle",12,IF(C14="Trimestrielle",4,IF(C14="Semestrielle",2,1))))</f>
        <v/>
      </c>
      <c r="U38" s="16">
        <f>IF(S38="","",(S38+T38)*C13/100)</f>
        <v/>
      </c>
      <c r="V38" s="16">
        <f>IF(S38="","",S38+T38+U38)</f>
        <v/>
      </c>
      <c r="W38" s="14">
        <f>IF(AD38=0,"",IF(LEFT(L38,5)="Geler","❄ Gelée",IF(H38="",IF(F38&lt;=TODAY(),"⚠ Indice attendu","À venir"),IF(F38&lt;=TODAY(),"✔ Calculable","Indice connu – à venir"))))</f>
        <v/>
      </c>
      <c r="X38" s="35" t="n"/>
      <c r="Y38" s="13" t="n"/>
      <c r="Z38" s="44" t="n"/>
      <c r="AA38" s="44" t="n"/>
      <c r="AB38" s="13" t="n"/>
      <c r="AC38" s="14">
        <f>IF(AND(AD38=1,F38&lt;=TODAY(),O38&lt;&gt;""),1,0)</f>
        <v/>
      </c>
      <c r="AD38" s="14">
        <f>IF(F38="",0,IF(AND(ISNUMBER(C10),F38&gt;C10),0,1))</f>
        <v/>
      </c>
    </row>
    <row r="39">
      <c r="E39" s="14" t="n">
        <v>12</v>
      </c>
      <c r="F39" s="15">
        <f>IF(OR(C3="",C8="",C17=""),"",EDATE(C8,12*C17*E39))</f>
        <v/>
      </c>
      <c r="G39" s="14">
        <f>IF(AD39=0,"",IFERROR(TEXT(VALUE(LEFT(C16,4))+E39*C17,"0")&amp;RIGHT(C16,3),""))</f>
        <v/>
      </c>
      <c r="H39" s="28">
        <f>IF(AD39=0,"",IF(OR(G39="",C15=""),"",IFERROR(IF(SUMIFS(INDEX(Indices!$A:$P,0,MATCH(C15,Indices!$1:$1,0)+1),INDEX(Indices!$A:$P,0,MATCH(C15,Indices!$1:$1,0)),G39)=0,"",SUMIFS(INDEX(Indices!$A:$P,0,MATCH(C15,Indices!$1:$1,0)+1),INDEX(Indices!$A:$P,0,MATCH(C15,Indices!$1:$1,0)),G39)),"")))</f>
        <v/>
      </c>
      <c r="I39" s="14">
        <f>IF(AD39=0,"",IF(C18="Base fixe",C16,IF(L38="Geler – rattrapage possible",I38,G38)))</f>
        <v/>
      </c>
      <c r="J39" s="28">
        <f>IF(AD39=0,"",IF(OR(I39="",C15=""),"",IFERROR(IF(SUMIFS(INDEX(Indices!$A:$P,0,MATCH(C15,Indices!$1:$1,0)+1),INDEX(Indices!$A:$P,0,MATCH(C15,Indices!$1:$1,0)),I39)=0,"",SUMIFS(INDEX(Indices!$A:$P,0,MATCH(C15,Indices!$1:$1,0)+1),INDEX(Indices!$A:$P,0,MATCH(C15,Indices!$1:$1,0)),I39)),"")))</f>
        <v/>
      </c>
      <c r="K39" s="42">
        <f>IF(OR(H39="",J39=""),"",H39/J39)</f>
        <v/>
      </c>
      <c r="L39" s="13" t="n"/>
      <c r="M39" s="16">
        <f>IF(AD39=0,"",IF(C18="Base fixe",C11,O38))</f>
        <v/>
      </c>
      <c r="N39" s="16">
        <f>IF(OR(K39="",M39=""),"",ROUND(M39*K39,2))</f>
        <v/>
      </c>
      <c r="O39" s="16">
        <f>IF(AD39=0,"",IF(LEFT(L39,5)="Geler",P39,IF(N39="","",IF(C19="",N39,MIN(N39,ROUND(M39*(1+C19/100)^IF(C18="Base fixe",E39*C17,VALUE(LEFT(G39,4))-VALUE(LEFT(I39,4))),2))))))</f>
        <v/>
      </c>
      <c r="P39" s="16">
        <f>IF(AD39=0,"",O38)</f>
        <v/>
      </c>
      <c r="Q39" s="43">
        <f>IF(OR(O39="",P39=""),"",O39/P39-1)</f>
        <v/>
      </c>
      <c r="R39" s="16">
        <f>IF(O39="","",O39/12)</f>
        <v/>
      </c>
      <c r="S39" s="16">
        <f>IF(O39="","",O39/IF(C14="Mensuelle",12,IF(C14="Trimestrielle",4,IF(C14="Semestrielle",2,1))))</f>
        <v/>
      </c>
      <c r="T39" s="16">
        <f>IF(AD39=0,"",IF(C12="",0,C12)/IF(C14="Mensuelle",12,IF(C14="Trimestrielle",4,IF(C14="Semestrielle",2,1))))</f>
        <v/>
      </c>
      <c r="U39" s="16">
        <f>IF(S39="","",(S39+T39)*C13/100)</f>
        <v/>
      </c>
      <c r="V39" s="16">
        <f>IF(S39="","",S39+T39+U39)</f>
        <v/>
      </c>
      <c r="W39" s="14">
        <f>IF(AD39=0,"",IF(LEFT(L39,5)="Geler","❄ Gelée",IF(H39="",IF(F39&lt;=TODAY(),"⚠ Indice attendu","À venir"),IF(F39&lt;=TODAY(),"✔ Calculable","Indice connu – à venir"))))</f>
        <v/>
      </c>
      <c r="X39" s="35" t="n"/>
      <c r="Y39" s="13" t="n"/>
      <c r="Z39" s="44" t="n"/>
      <c r="AA39" s="44" t="n"/>
      <c r="AB39" s="13" t="n"/>
      <c r="AC39" s="14">
        <f>IF(AND(AD39=1,F39&lt;=TODAY(),O39&lt;&gt;""),1,0)</f>
        <v/>
      </c>
      <c r="AD39" s="14">
        <f>IF(F39="",0,IF(AND(ISNUMBER(C10),F39&gt;C10),0,1))</f>
        <v/>
      </c>
    </row>
  </sheetData>
  <mergeCells count="10">
    <mergeCell ref="G6:J6"/>
    <mergeCell ref="G9:J9"/>
    <mergeCell ref="G3:J3"/>
    <mergeCell ref="G8:J8"/>
    <mergeCell ref="G4:J4"/>
    <mergeCell ref="G12:J12"/>
    <mergeCell ref="G7:J7"/>
    <mergeCell ref="G11:J11"/>
    <mergeCell ref="G5:J5"/>
    <mergeCell ref="G10:J10"/>
  </mergeCells>
  <conditionalFormatting sqref="K11">
    <cfRule type="expression" priority="1" dxfId="2">
      <formula>LEFT(K11,1)="⚠"</formula>
    </cfRule>
  </conditionalFormatting>
  <conditionalFormatting sqref="C24">
    <cfRule type="expression" priority="2" dxfId="2">
      <formula>AND(C24&lt;&gt;"",C24&lt;&gt;"OK")</formula>
    </cfRule>
  </conditionalFormatting>
  <conditionalFormatting sqref="W28:W39">
    <cfRule type="expression" priority="3" dxfId="0">
      <formula>LEFT(W28,1)="⚠"</formula>
    </cfRule>
    <cfRule type="expression" priority="4" dxfId="4">
      <formula>AND(LEFT(W28,1)="✔",Y28&lt;&gt;"Oui")</formula>
    </cfRule>
    <cfRule type="expression" priority="5" dxfId="5">
      <formula>AND(LEFT(W28,1)="✔",Y28="Oui")</formula>
    </cfRule>
    <cfRule type="expression" priority="6" dxfId="6">
      <formula>LEFT(W28,1)="❄"</formula>
    </cfRule>
  </conditionalFormatting>
  <conditionalFormatting sqref="E28:AB39">
    <cfRule type="expression" priority="7" dxfId="7">
      <formula>$AD28=0</formula>
    </cfRule>
  </conditionalFormatting>
  <dataValidations count="7">
    <dataValidation sqref="C7" showDropDown="0" showInputMessage="0" showErrorMessage="0" allowBlank="1" type="list">
      <formula1>"Commercial,Professionnel,Habitation,Dérogatoire,Autre"</formula1>
    </dataValidation>
    <dataValidation sqref="C14" showDropDown="0" showInputMessage="0" showErrorMessage="0" allowBlank="1" type="list">
      <formula1>"Mensuelle,Trimestrielle,Semestrielle,Annuelle"</formula1>
    </dataValidation>
    <dataValidation sqref="C15" showDropDown="0" showInputMessage="0" showErrorMessage="0" allowBlank="1" type="list">
      <formula1>"ILC,ILAT,ICC,IRL"</formula1>
    </dataValidation>
    <dataValidation sqref="C18" showDropDown="0" showInputMessage="0" showErrorMessage="0" allowBlank="1" type="list">
      <formula1>"Chaînée,Base fixe"</formula1>
    </dataValidation>
    <dataValidation sqref="C17" showDropDown="0" showInputMessage="0" showErrorMessage="0" allowBlank="1" type="list">
      <formula1>"1,2,3"</formula1>
    </dataValidation>
    <dataValidation sqref="Y28:Y39" showDropDown="0" showInputMessage="0" showErrorMessage="0" allowBlank="1" type="list">
      <formula1>"Oui,Non"</formula1>
    </dataValidation>
    <dataValidation sqref="L28:L39" showDropDown="0" showInputMessage="1" showErrorMessage="0" allowBlank="1" promptTitle="Décision du bailleur" prompt="Vide ou Appliquer = révision appliquée. Geler = loyer inchangé ; « rattrapage possible » repart de l'indice de la dernière révision appliquée." type="list">
      <formula1>"Appliquer,Geler – sans rattrapage,Geler – rattrapage possible"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AD39"/>
  <sheetViews>
    <sheetView zoomScale="9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" customWidth="1" min="4" max="4"/>
    <col width="5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4" customWidth="1" min="12" max="12"/>
    <col width="14" customWidth="1" min="13" max="13"/>
    <col width="13" customWidth="1" min="14" max="14"/>
    <col width="14" customWidth="1" min="15" max="15"/>
    <col width="14" customWidth="1" min="16" max="16"/>
    <col width="8" customWidth="1" min="17" max="17"/>
    <col width="12" customWidth="1" min="18" max="18"/>
    <col width="12" customWidth="1" min="19" max="19"/>
    <col width="12" customWidth="1" min="20" max="20"/>
    <col width="11" customWidth="1" min="21" max="21"/>
    <col width="12" customWidth="1" min="22" max="22"/>
    <col width="20" customWidth="1" min="23" max="23"/>
    <col width="40" customWidth="1" min="24" max="24"/>
    <col width="10" customWidth="1" min="25" max="25"/>
    <col width="12" customWidth="1" min="26" max="26"/>
    <col width="12" customWidth="1" min="27" max="27"/>
    <col width="28" customWidth="1" min="28" max="28"/>
    <col hidden="1" width="6" customWidth="1" min="29" max="29"/>
    <col hidden="1" width="6" customWidth="1" min="30" max="30"/>
  </cols>
  <sheetData>
    <row r="1">
      <c r="B1" s="1">
        <f>IF(C3="","Fiche de bail","Fiche de bail – "&amp;C3&amp;IF(C5&lt;&gt;""," – "&amp;C5,""))</f>
        <v/>
      </c>
    </row>
    <row r="2">
      <c r="G2" s="5" t="inlineStr">
        <is>
          <t>Situation actuelle</t>
        </is>
      </c>
    </row>
    <row r="3">
      <c r="B3" s="31" t="inlineStr">
        <is>
          <t>ID bail (= nom de l'onglet)</t>
        </is>
      </c>
      <c r="C3" s="32" t="inlineStr">
        <is>
          <t>B03</t>
        </is>
      </c>
      <c r="G3" s="6" t="inlineStr">
        <is>
          <t>Loyer actuel (annuel HT)</t>
        </is>
      </c>
      <c r="K3" s="33">
        <f>IF(C11="","",IF(K5=0,C11,INDEX($O$28:$O$39,K5)))</f>
        <v/>
      </c>
    </row>
    <row r="4">
      <c r="B4" s="31" t="inlineStr">
        <is>
          <t>Local (désignation / adresse)</t>
        </is>
      </c>
      <c r="C4" s="32" t="inlineStr">
        <is>
          <t>Entrepôt ZA des Landes</t>
        </is>
      </c>
      <c r="G4" s="6" t="inlineStr">
        <is>
          <t>Loyer actuel mensuel HT</t>
        </is>
      </c>
      <c r="K4" s="33">
        <f>IF(K3="","",K3/12)</f>
        <v/>
      </c>
    </row>
    <row r="5">
      <c r="B5" s="31" t="inlineStr">
        <is>
          <t>Locataire</t>
        </is>
      </c>
      <c r="C5" s="32" t="inlineStr">
        <is>
          <t>Logistix SARL</t>
        </is>
      </c>
      <c r="G5" s="6" t="inlineStr">
        <is>
          <t>N° dernière révision effective</t>
        </is>
      </c>
      <c r="K5" s="34">
        <f>_xlfn.MAXIFS($E$28:$E$39,$AC$28:$AC$39,1)</f>
        <v/>
      </c>
    </row>
    <row r="6" ht="30" customHeight="1">
      <c r="B6" s="31" t="inlineStr">
        <is>
          <t>Adresse du locataire (courrier)</t>
        </is>
      </c>
      <c r="C6" s="35" t="n"/>
      <c r="G6" s="6" t="inlineStr">
        <is>
          <t>Prochaine révision</t>
        </is>
      </c>
      <c r="K6" s="36">
        <f>IF(_xlfn.MINIFS($F$28:$F$39,$AD$28:$AD$39,1,$F$28:$F$39,"&gt;"&amp;TODAY())=0,"—",_xlfn.MINIFS($F$28:$F$39,$AD$28:$AD$39,1,$F$28:$F$39,"&gt;"&amp;TODAY()))</f>
        <v/>
      </c>
    </row>
    <row r="7">
      <c r="B7" s="31" t="inlineStr">
        <is>
          <t>Type de bail</t>
        </is>
      </c>
      <c r="C7" s="32" t="inlineStr">
        <is>
          <t>Commercial</t>
        </is>
      </c>
      <c r="G7" s="6" t="inlineStr">
        <is>
          <t>Trimestre attendu</t>
        </is>
      </c>
      <c r="K7" s="37">
        <f>IF(K5+1&gt;12,"—",IF(INDEX($AD$28:$AD$39,K5+1)=0,"—",INDEX($G$28:$G$39,K5+1)))</f>
        <v/>
      </c>
    </row>
    <row r="8">
      <c r="B8" s="31" t="inlineStr">
        <is>
          <t>Date de prise d'effet</t>
        </is>
      </c>
      <c r="C8" s="38" t="n">
        <v>43480</v>
      </c>
      <c r="G8" s="6" t="inlineStr">
        <is>
          <t>Indice publié ?</t>
        </is>
      </c>
      <c r="K8" s="37">
        <f>IF(K7="—","—",IF(IF(OR(K7="",C15=""),"",IFERROR(IF(SUMIFS(INDEX(Indices!$A:$P,0,MATCH(C15,Indices!$1:$1,0)+1),INDEX(Indices!$A:$P,0,MATCH(C15,Indices!$1:$1,0)),K7)=0,"",SUMIFS(INDEX(Indices!$A:$P,0,MATCH(C15,Indices!$1:$1,0)+1),INDEX(Indices!$A:$P,0,MATCH(C15,Indices!$1:$1,0)),K7)),""))="","Non","Oui"))</f>
        <v/>
      </c>
    </row>
    <row r="9">
      <c r="B9" s="31" t="inlineStr">
        <is>
          <t>Durée (ans)</t>
        </is>
      </c>
      <c r="C9" s="32" t="n">
        <v>9</v>
      </c>
      <c r="G9" s="6" t="inlineStr">
        <is>
          <t>Révisions calculables non facturées</t>
        </is>
      </c>
      <c r="K9" s="34">
        <f>COUNTIFS($W$28:$W$39,"✔ Calculable",$Y$28:$Y$39,"&lt;&gt;Oui")</f>
        <v/>
      </c>
    </row>
    <row r="10">
      <c r="B10" s="31" t="inlineStr">
        <is>
          <t>Date de fin</t>
        </is>
      </c>
      <c r="C10" s="39">
        <f>IF(OR(C8="",C9=""),"",EDATE(C8,12*C9))</f>
        <v/>
      </c>
      <c r="G10" s="6" t="inlineStr">
        <is>
          <t>Révisions gelées</t>
        </is>
      </c>
      <c r="K10" s="34">
        <f>COUNTIFS($W$28:$W$39,"❄ Gelée")</f>
        <v/>
      </c>
    </row>
    <row r="11">
      <c r="B11" s="31" t="inlineStr">
        <is>
          <t>Loyer initial annuel HT</t>
        </is>
      </c>
      <c r="C11" s="40" t="n">
        <v>60000</v>
      </c>
      <c r="G11" s="6" t="inlineStr">
        <is>
          <t>Action</t>
        </is>
      </c>
      <c r="K11" s="37">
        <f>IF(C3="","",IF(K9&gt;0,"⚠ Facturer la révision ("&amp;K9&amp;" en attente)",IF(AND(K6&lt;&gt;"—",K6-TODAY()&lt;=60),IF(K8="Oui","Révision dans "&amp;INT(K6-TODAY())&amp;" j – indice publié","Révision dans "&amp;INT(K6-TODAY())&amp;" j – indice non publié"),"RAS")))</f>
        <v/>
      </c>
    </row>
    <row r="12">
      <c r="B12" s="31" t="inlineStr">
        <is>
          <t>Charges annuelles HT</t>
        </is>
      </c>
      <c r="C12" s="40" t="n">
        <v>6000</v>
      </c>
      <c r="G12" s="6" t="inlineStr">
        <is>
          <t>Consigne de la prochaine révision</t>
        </is>
      </c>
      <c r="K12" s="37">
        <f>IF(K5+1&gt;12,"",INDEX($X$28:$X$39,K5+1)&amp;"")</f>
        <v/>
      </c>
    </row>
    <row r="13">
      <c r="B13" s="31" t="inlineStr">
        <is>
          <t>TVA (%)</t>
        </is>
      </c>
      <c r="C13" s="32" t="n">
        <v>20</v>
      </c>
    </row>
    <row r="14">
      <c r="B14" s="31" t="inlineStr">
        <is>
          <t>Périodicité de facturation</t>
        </is>
      </c>
      <c r="C14" s="32" t="inlineStr">
        <is>
          <t>Trimestrielle</t>
        </is>
      </c>
    </row>
    <row r="15">
      <c r="B15" s="31" t="inlineStr">
        <is>
          <t>Indice</t>
        </is>
      </c>
      <c r="C15" s="32" t="inlineStr">
        <is>
          <t>ICC</t>
        </is>
      </c>
    </row>
    <row r="16">
      <c r="B16" s="31" t="inlineStr">
        <is>
          <t>Trimestre indice de base</t>
        </is>
      </c>
      <c r="C16" s="32" t="inlineStr">
        <is>
          <t>2018-T3</t>
        </is>
      </c>
    </row>
    <row r="17">
      <c r="B17" s="31" t="inlineStr">
        <is>
          <t>Périodicité de révision (ans)</t>
        </is>
      </c>
      <c r="C17" s="32" t="n">
        <v>1</v>
      </c>
    </row>
    <row r="18">
      <c r="B18" s="31" t="inlineStr">
        <is>
          <t>Méthode</t>
        </is>
      </c>
      <c r="C18" s="32" t="inlineStr">
        <is>
          <t>Chaînée</t>
        </is>
      </c>
    </row>
    <row r="19">
      <c r="B19" s="31" t="inlineStr">
        <is>
          <t>Plafond annuel (%) – optionnel</t>
        </is>
      </c>
      <c r="C19" s="32" t="n">
        <v>3.5</v>
      </c>
    </row>
    <row r="20">
      <c r="B20" s="31" t="inlineStr">
        <is>
          <t>Pennylane customer_id</t>
        </is>
      </c>
      <c r="C20" s="32" t="n"/>
    </row>
    <row r="21">
      <c r="B21" s="31" t="inlineStr">
        <is>
          <t>Pennylane product_id</t>
        </is>
      </c>
      <c r="C21" s="32" t="n"/>
    </row>
    <row r="22">
      <c r="B22" s="31" t="inlineStr">
        <is>
          <t>Pennylane subscription_id</t>
        </is>
      </c>
      <c r="C22" s="32" t="n"/>
    </row>
    <row r="23" ht="45" customHeight="1">
      <c r="B23" s="31" t="inlineStr">
        <is>
          <t>Notes / clause d'indexation</t>
        </is>
      </c>
      <c r="C23" s="35" t="inlineStr">
        <is>
          <t>Bail antérieur à 2014 renouvelé, clause ICC ; plafond contractuel 3,5 %</t>
        </is>
      </c>
    </row>
    <row r="24">
      <c r="B24" s="31" t="inlineStr">
        <is>
          <t>Contrôles</t>
        </is>
      </c>
      <c r="C24" s="41">
        <f>IF(C3="","",IF(AND(C8&lt;&gt;"",ISNUMBER(C11),C15&lt;&gt;"",LEN(C16)=7,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,OR(C19="",ISNUMBER(C19))),"OK",TRIM(IF(C8="","Date d'effet manquante. ","")&amp;IF(NOT(ISNUMBER(C11)),"Loyer initial manquant. ","")&amp;IF(C15="","Indice manquant. ","")&amp;IF(LEN(C16)&lt;&gt;7,"Trimestre de base au format AAAA-Tn. ","")&amp;IF(AND(LEN(C16)=7,C15&lt;&gt;"",NOT(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)),"Indice de base "&amp;C16&amp;" absent de la feuille Indices. ","")&amp;IF(AND(C19&lt;&gt;"",NOT(ISNUMBER(C19))),"Plafond non numérique. ",""))))</f>
        <v/>
      </c>
    </row>
    <row r="26">
      <c r="E26" s="5" t="inlineStr">
        <is>
          <t>Révisions</t>
        </is>
      </c>
    </row>
    <row r="27" ht="42" customHeight="1">
      <c r="E27" s="12" t="inlineStr">
        <is>
          <t>N°</t>
        </is>
      </c>
      <c r="F27" s="12" t="inlineStr">
        <is>
          <t>Date de révision</t>
        </is>
      </c>
      <c r="G27" s="12" t="inlineStr">
        <is>
          <t>Trim. référence</t>
        </is>
      </c>
      <c r="H27" s="12" t="inlineStr">
        <is>
          <t>Valeur indice réf.</t>
        </is>
      </c>
      <c r="I27" s="12" t="inlineStr">
        <is>
          <t>Trim. précédent</t>
        </is>
      </c>
      <c r="J27" s="12" t="inlineStr">
        <is>
          <t>Valeur indice préc.</t>
        </is>
      </c>
      <c r="K27" s="12" t="inlineStr">
        <is>
          <t>Coefficient</t>
        </is>
      </c>
      <c r="L27" s="12" t="inlineStr">
        <is>
          <t>Décision</t>
        </is>
      </c>
      <c r="M27" s="12" t="inlineStr">
        <is>
          <t>Base de calcul (annuel HT)</t>
        </is>
      </c>
      <c r="N27" s="12" t="inlineStr">
        <is>
          <t>Loyer révisé brut</t>
        </is>
      </c>
      <c r="O27" s="12" t="inlineStr">
        <is>
          <t>Loyer retenu (annuel HT)</t>
        </is>
      </c>
      <c r="P27" s="12" t="inlineStr">
        <is>
          <t>Loyer précédent (annuel HT)</t>
        </is>
      </c>
      <c r="Q27" s="12" t="inlineStr">
        <is>
          <t>Variation</t>
        </is>
      </c>
      <c r="R27" s="12" t="inlineStr">
        <is>
          <t>Loyer mensuel HT</t>
        </is>
      </c>
      <c r="S27" s="12" t="inlineStr">
        <is>
          <t>Loyer / échéance HT</t>
        </is>
      </c>
      <c r="T27" s="12" t="inlineStr">
        <is>
          <t>Charges / échéance HT</t>
        </is>
      </c>
      <c r="U27" s="12" t="inlineStr">
        <is>
          <t>TVA / échéance</t>
        </is>
      </c>
      <c r="V27" s="12" t="inlineStr">
        <is>
          <t>Total TTC / échéance</t>
        </is>
      </c>
      <c r="W27" s="12" t="inlineStr">
        <is>
          <t>Statut</t>
        </is>
      </c>
      <c r="X27" s="12" t="inlineStr">
        <is>
          <t>Consigne (à faire)</t>
        </is>
      </c>
      <c r="Y27" s="12" t="inlineStr">
        <is>
          <t>Appliqué ? (Oui/Non)</t>
        </is>
      </c>
      <c r="Z27" s="12" t="inlineStr">
        <is>
          <t>Date d'application</t>
        </is>
      </c>
      <c r="AA27" s="12" t="inlineStr">
        <is>
          <t>Courrier envoyé le</t>
        </is>
      </c>
      <c r="AB27" s="12" t="inlineStr">
        <is>
          <t>Commentaire</t>
        </is>
      </c>
      <c r="AC27" s="12" t="inlineStr">
        <is>
          <t>Effectif</t>
        </is>
      </c>
      <c r="AD27" s="12" t="inlineStr">
        <is>
          <t>Actif</t>
        </is>
      </c>
    </row>
    <row r="28">
      <c r="E28" s="14" t="n">
        <v>1</v>
      </c>
      <c r="F28" s="15">
        <f>IF(OR(C3="",C8="",C17=""),"",EDATE(C8,12*C17*E28))</f>
        <v/>
      </c>
      <c r="G28" s="14">
        <f>IF(AD28=0,"",IFERROR(TEXT(VALUE(LEFT(C16,4))+E28*C17,"0")&amp;RIGHT(C16,3),""))</f>
        <v/>
      </c>
      <c r="H28" s="28">
        <f>IF(AD28=0,"",IF(OR(G28="",C15=""),"",IFERROR(IF(SUMIFS(INDEX(Indices!$A:$P,0,MATCH(C15,Indices!$1:$1,0)+1),INDEX(Indices!$A:$P,0,MATCH(C15,Indices!$1:$1,0)),G28)=0,"",SUMIFS(INDEX(Indices!$A:$P,0,MATCH(C15,Indices!$1:$1,0)+1),INDEX(Indices!$A:$P,0,MATCH(C15,Indices!$1:$1,0)),G28)),"")))</f>
        <v/>
      </c>
      <c r="I28" s="14">
        <f>IF(AD28=0,"",C16)</f>
        <v/>
      </c>
      <c r="J28" s="28">
        <f>IF(AD28=0,"",IF(OR(I28="",C15=""),"",IFERROR(IF(SUMIFS(INDEX(Indices!$A:$P,0,MATCH(C15,Indices!$1:$1,0)+1),INDEX(Indices!$A:$P,0,MATCH(C15,Indices!$1:$1,0)),I28)=0,"",SUMIFS(INDEX(Indices!$A:$P,0,MATCH(C15,Indices!$1:$1,0)+1),INDEX(Indices!$A:$P,0,MATCH(C15,Indices!$1:$1,0)),I28)),"")))</f>
        <v/>
      </c>
      <c r="K28" s="42">
        <f>IF(OR(H28="",J28=""),"",H28/J28)</f>
        <v/>
      </c>
      <c r="L28" s="13" t="n"/>
      <c r="M28" s="16">
        <f>IF(AD28=0,"",C11)</f>
        <v/>
      </c>
      <c r="N28" s="16">
        <f>IF(OR(K28="",M28=""),"",ROUND(M28*K28,2))</f>
        <v/>
      </c>
      <c r="O28" s="16">
        <f>IF(AD28=0,"",IF(LEFT(L28,5)="Geler",P28,IF(N28="","",IF(C19="",N28,MIN(N28,ROUND(M28*(1+C19/100)^IF(C18="Base fixe",E28*C17,VALUE(LEFT(G28,4))-VALUE(LEFT(I28,4))),2))))))</f>
        <v/>
      </c>
      <c r="P28" s="16">
        <f>IF(AD28=0,"",C11)</f>
        <v/>
      </c>
      <c r="Q28" s="43">
        <f>IF(OR(O28="",P28=""),"",O28/P28-1)</f>
        <v/>
      </c>
      <c r="R28" s="16">
        <f>IF(O28="","",O28/12)</f>
        <v/>
      </c>
      <c r="S28" s="16">
        <f>IF(O28="","",O28/IF(C14="Mensuelle",12,IF(C14="Trimestrielle",4,IF(C14="Semestrielle",2,1))))</f>
        <v/>
      </c>
      <c r="T28" s="16">
        <f>IF(AD28=0,"",IF(C12="",0,C12)/IF(C14="Mensuelle",12,IF(C14="Trimestrielle",4,IF(C14="Semestrielle",2,1))))</f>
        <v/>
      </c>
      <c r="U28" s="16">
        <f>IF(S28="","",(S28+T28)*C13/100)</f>
        <v/>
      </c>
      <c r="V28" s="16">
        <f>IF(S28="","",S28+T28+U28)</f>
        <v/>
      </c>
      <c r="W28" s="14">
        <f>IF(AD28=0,"",IF(LEFT(L28,5)="Geler","❄ Gelée",IF(H28="",IF(F28&lt;=TODAY(),"⚠ Indice attendu","À venir"),IF(F28&lt;=TODAY(),"✔ Calculable","Indice connu – à venir"))))</f>
        <v/>
      </c>
      <c r="X28" s="35" t="n"/>
      <c r="Y28" s="13" t="inlineStr">
        <is>
          <t>Oui</t>
        </is>
      </c>
      <c r="Z28" s="44" t="n"/>
      <c r="AA28" s="44" t="n"/>
      <c r="AB28" s="13" t="n"/>
      <c r="AC28" s="14">
        <f>IF(AND(AD28=1,F28&lt;=TODAY(),O28&lt;&gt;""),1,0)</f>
        <v/>
      </c>
      <c r="AD28" s="14">
        <f>IF(F28="",0,IF(AND(ISNUMBER(C10),F28&gt;C10),0,1))</f>
        <v/>
      </c>
    </row>
    <row r="29">
      <c r="E29" s="14" t="n">
        <v>2</v>
      </c>
      <c r="F29" s="15">
        <f>IF(OR(C3="",C8="",C17=""),"",EDATE(C8,12*C17*E29))</f>
        <v/>
      </c>
      <c r="G29" s="14">
        <f>IF(AD29=0,"",IFERROR(TEXT(VALUE(LEFT(C16,4))+E29*C17,"0")&amp;RIGHT(C16,3),""))</f>
        <v/>
      </c>
      <c r="H29" s="28">
        <f>IF(AD29=0,"",IF(OR(G29="",C15=""),"",IFERROR(IF(SUMIFS(INDEX(Indices!$A:$P,0,MATCH(C15,Indices!$1:$1,0)+1),INDEX(Indices!$A:$P,0,MATCH(C15,Indices!$1:$1,0)),G29)=0,"",SUMIFS(INDEX(Indices!$A:$P,0,MATCH(C15,Indices!$1:$1,0)+1),INDEX(Indices!$A:$P,0,MATCH(C15,Indices!$1:$1,0)),G29)),"")))</f>
        <v/>
      </c>
      <c r="I29" s="14">
        <f>IF(AD29=0,"",IF(C18="Base fixe",C16,IF(L28="Geler – rattrapage possible",I28,G28)))</f>
        <v/>
      </c>
      <c r="J29" s="28">
        <f>IF(AD29=0,"",IF(OR(I29="",C15=""),"",IFERROR(IF(SUMIFS(INDEX(Indices!$A:$P,0,MATCH(C15,Indices!$1:$1,0)+1),INDEX(Indices!$A:$P,0,MATCH(C15,Indices!$1:$1,0)),I29)=0,"",SUMIFS(INDEX(Indices!$A:$P,0,MATCH(C15,Indices!$1:$1,0)+1),INDEX(Indices!$A:$P,0,MATCH(C15,Indices!$1:$1,0)),I29)),"")))</f>
        <v/>
      </c>
      <c r="K29" s="42">
        <f>IF(OR(H29="",J29=""),"",H29/J29)</f>
        <v/>
      </c>
      <c r="L29" s="13" t="n"/>
      <c r="M29" s="16">
        <f>IF(AD29=0,"",IF(C18="Base fixe",C11,O28))</f>
        <v/>
      </c>
      <c r="N29" s="16">
        <f>IF(OR(K29="",M29=""),"",ROUND(M29*K29,2))</f>
        <v/>
      </c>
      <c r="O29" s="16">
        <f>IF(AD29=0,"",IF(LEFT(L29,5)="Geler",P29,IF(N29="","",IF(C19="",N29,MIN(N29,ROUND(M29*(1+C19/100)^IF(C18="Base fixe",E29*C17,VALUE(LEFT(G29,4))-VALUE(LEFT(I29,4))),2))))))</f>
        <v/>
      </c>
      <c r="P29" s="16">
        <f>IF(AD29=0,"",O28)</f>
        <v/>
      </c>
      <c r="Q29" s="43">
        <f>IF(OR(O29="",P29=""),"",O29/P29-1)</f>
        <v/>
      </c>
      <c r="R29" s="16">
        <f>IF(O29="","",O29/12)</f>
        <v/>
      </c>
      <c r="S29" s="16">
        <f>IF(O29="","",O29/IF(C14="Mensuelle",12,IF(C14="Trimestrielle",4,IF(C14="Semestrielle",2,1))))</f>
        <v/>
      </c>
      <c r="T29" s="16">
        <f>IF(AD29=0,"",IF(C12="",0,C12)/IF(C14="Mensuelle",12,IF(C14="Trimestrielle",4,IF(C14="Semestrielle",2,1))))</f>
        <v/>
      </c>
      <c r="U29" s="16">
        <f>IF(S29="","",(S29+T29)*C13/100)</f>
        <v/>
      </c>
      <c r="V29" s="16">
        <f>IF(S29="","",S29+T29+U29)</f>
        <v/>
      </c>
      <c r="W29" s="14">
        <f>IF(AD29=0,"",IF(LEFT(L29,5)="Geler","❄ Gelée",IF(H29="",IF(F29&lt;=TODAY(),"⚠ Indice attendu","À venir"),IF(F29&lt;=TODAY(),"✔ Calculable","Indice connu – à venir"))))</f>
        <v/>
      </c>
      <c r="X29" s="35" t="n"/>
      <c r="Y29" s="13" t="inlineStr">
        <is>
          <t>Oui</t>
        </is>
      </c>
      <c r="Z29" s="44" t="n"/>
      <c r="AA29" s="44" t="n"/>
      <c r="AB29" s="13" t="n"/>
      <c r="AC29" s="14">
        <f>IF(AND(AD29=1,F29&lt;=TODAY(),O29&lt;&gt;""),1,0)</f>
        <v/>
      </c>
      <c r="AD29" s="14">
        <f>IF(F29="",0,IF(AND(ISNUMBER(C10),F29&gt;C10),0,1))</f>
        <v/>
      </c>
    </row>
    <row r="30">
      <c r="E30" s="14" t="n">
        <v>3</v>
      </c>
      <c r="F30" s="15">
        <f>IF(OR(C3="",C8="",C17=""),"",EDATE(C8,12*C17*E30))</f>
        <v/>
      </c>
      <c r="G30" s="14">
        <f>IF(AD30=0,"",IFERROR(TEXT(VALUE(LEFT(C16,4))+E30*C17,"0")&amp;RIGHT(C16,3),""))</f>
        <v/>
      </c>
      <c r="H30" s="28">
        <f>IF(AD30=0,"",IF(OR(G30="",C15=""),"",IFERROR(IF(SUMIFS(INDEX(Indices!$A:$P,0,MATCH(C15,Indices!$1:$1,0)+1),INDEX(Indices!$A:$P,0,MATCH(C15,Indices!$1:$1,0)),G30)=0,"",SUMIFS(INDEX(Indices!$A:$P,0,MATCH(C15,Indices!$1:$1,0)+1),INDEX(Indices!$A:$P,0,MATCH(C15,Indices!$1:$1,0)),G30)),"")))</f>
        <v/>
      </c>
      <c r="I30" s="14">
        <f>IF(AD30=0,"",IF(C18="Base fixe",C16,IF(L29="Geler – rattrapage possible",I29,G29)))</f>
        <v/>
      </c>
      <c r="J30" s="28">
        <f>IF(AD30=0,"",IF(OR(I30="",C15=""),"",IFERROR(IF(SUMIFS(INDEX(Indices!$A:$P,0,MATCH(C15,Indices!$1:$1,0)+1),INDEX(Indices!$A:$P,0,MATCH(C15,Indices!$1:$1,0)),I30)=0,"",SUMIFS(INDEX(Indices!$A:$P,0,MATCH(C15,Indices!$1:$1,0)+1),INDEX(Indices!$A:$P,0,MATCH(C15,Indices!$1:$1,0)),I30)),"")))</f>
        <v/>
      </c>
      <c r="K30" s="42">
        <f>IF(OR(H30="",J30=""),"",H30/J30)</f>
        <v/>
      </c>
      <c r="L30" s="13" t="n"/>
      <c r="M30" s="16">
        <f>IF(AD30=0,"",IF(C18="Base fixe",C11,O29))</f>
        <v/>
      </c>
      <c r="N30" s="16">
        <f>IF(OR(K30="",M30=""),"",ROUND(M30*K30,2))</f>
        <v/>
      </c>
      <c r="O30" s="16">
        <f>IF(AD30=0,"",IF(LEFT(L30,5)="Geler",P30,IF(N30="","",IF(C19="",N30,MIN(N30,ROUND(M30*(1+C19/100)^IF(C18="Base fixe",E30*C17,VALUE(LEFT(G30,4))-VALUE(LEFT(I30,4))),2))))))</f>
        <v/>
      </c>
      <c r="P30" s="16">
        <f>IF(AD30=0,"",O29)</f>
        <v/>
      </c>
      <c r="Q30" s="43">
        <f>IF(OR(O30="",P30=""),"",O30/P30-1)</f>
        <v/>
      </c>
      <c r="R30" s="16">
        <f>IF(O30="","",O30/12)</f>
        <v/>
      </c>
      <c r="S30" s="16">
        <f>IF(O30="","",O30/IF(C14="Mensuelle",12,IF(C14="Trimestrielle",4,IF(C14="Semestrielle",2,1))))</f>
        <v/>
      </c>
      <c r="T30" s="16">
        <f>IF(AD30=0,"",IF(C12="",0,C12)/IF(C14="Mensuelle",12,IF(C14="Trimestrielle",4,IF(C14="Semestrielle",2,1))))</f>
        <v/>
      </c>
      <c r="U30" s="16">
        <f>IF(S30="","",(S30+T30)*C13/100)</f>
        <v/>
      </c>
      <c r="V30" s="16">
        <f>IF(S30="","",S30+T30+U30)</f>
        <v/>
      </c>
      <c r="W30" s="14">
        <f>IF(AD30=0,"",IF(LEFT(L30,5)="Geler","❄ Gelée",IF(H30="",IF(F30&lt;=TODAY(),"⚠ Indice attendu","À venir"),IF(F30&lt;=TODAY(),"✔ Calculable","Indice connu – à venir"))))</f>
        <v/>
      </c>
      <c r="X30" s="35" t="n"/>
      <c r="Y30" s="13" t="inlineStr">
        <is>
          <t>Oui</t>
        </is>
      </c>
      <c r="Z30" s="44" t="n"/>
      <c r="AA30" s="44" t="n"/>
      <c r="AB30" s="13" t="n"/>
      <c r="AC30" s="14">
        <f>IF(AND(AD30=1,F30&lt;=TODAY(),O30&lt;&gt;""),1,0)</f>
        <v/>
      </c>
      <c r="AD30" s="14">
        <f>IF(F30="",0,IF(AND(ISNUMBER(C10),F30&gt;C10),0,1))</f>
        <v/>
      </c>
    </row>
    <row r="31">
      <c r="E31" s="14" t="n">
        <v>4</v>
      </c>
      <c r="F31" s="15">
        <f>IF(OR(C3="",C8="",C17=""),"",EDATE(C8,12*C17*E31))</f>
        <v/>
      </c>
      <c r="G31" s="14">
        <f>IF(AD31=0,"",IFERROR(TEXT(VALUE(LEFT(C16,4))+E31*C17,"0")&amp;RIGHT(C16,3),""))</f>
        <v/>
      </c>
      <c r="H31" s="28">
        <f>IF(AD31=0,"",IF(OR(G31="",C15=""),"",IFERROR(IF(SUMIFS(INDEX(Indices!$A:$P,0,MATCH(C15,Indices!$1:$1,0)+1),INDEX(Indices!$A:$P,0,MATCH(C15,Indices!$1:$1,0)),G31)=0,"",SUMIFS(INDEX(Indices!$A:$P,0,MATCH(C15,Indices!$1:$1,0)+1),INDEX(Indices!$A:$P,0,MATCH(C15,Indices!$1:$1,0)),G31)),"")))</f>
        <v/>
      </c>
      <c r="I31" s="14">
        <f>IF(AD31=0,"",IF(C18="Base fixe",C16,IF(L30="Geler – rattrapage possible",I30,G30)))</f>
        <v/>
      </c>
      <c r="J31" s="28">
        <f>IF(AD31=0,"",IF(OR(I31="",C15=""),"",IFERROR(IF(SUMIFS(INDEX(Indices!$A:$P,0,MATCH(C15,Indices!$1:$1,0)+1),INDEX(Indices!$A:$P,0,MATCH(C15,Indices!$1:$1,0)),I31)=0,"",SUMIFS(INDEX(Indices!$A:$P,0,MATCH(C15,Indices!$1:$1,0)+1),INDEX(Indices!$A:$P,0,MATCH(C15,Indices!$1:$1,0)),I31)),"")))</f>
        <v/>
      </c>
      <c r="K31" s="42">
        <f>IF(OR(H31="",J31=""),"",H31/J31)</f>
        <v/>
      </c>
      <c r="L31" s="13" t="n"/>
      <c r="M31" s="16">
        <f>IF(AD31=0,"",IF(C18="Base fixe",C11,O30))</f>
        <v/>
      </c>
      <c r="N31" s="16">
        <f>IF(OR(K31="",M31=""),"",ROUND(M31*K31,2))</f>
        <v/>
      </c>
      <c r="O31" s="16">
        <f>IF(AD31=0,"",IF(LEFT(L31,5)="Geler",P31,IF(N31="","",IF(C19="",N31,MIN(N31,ROUND(M31*(1+C19/100)^IF(C18="Base fixe",E31*C17,VALUE(LEFT(G31,4))-VALUE(LEFT(I31,4))),2))))))</f>
        <v/>
      </c>
      <c r="P31" s="16">
        <f>IF(AD31=0,"",O30)</f>
        <v/>
      </c>
      <c r="Q31" s="43">
        <f>IF(OR(O31="",P31=""),"",O31/P31-1)</f>
        <v/>
      </c>
      <c r="R31" s="16">
        <f>IF(O31="","",O31/12)</f>
        <v/>
      </c>
      <c r="S31" s="16">
        <f>IF(O31="","",O31/IF(C14="Mensuelle",12,IF(C14="Trimestrielle",4,IF(C14="Semestrielle",2,1))))</f>
        <v/>
      </c>
      <c r="T31" s="16">
        <f>IF(AD31=0,"",IF(C12="",0,C12)/IF(C14="Mensuelle",12,IF(C14="Trimestrielle",4,IF(C14="Semestrielle",2,1))))</f>
        <v/>
      </c>
      <c r="U31" s="16">
        <f>IF(S31="","",(S31+T31)*C13/100)</f>
        <v/>
      </c>
      <c r="V31" s="16">
        <f>IF(S31="","",S31+T31+U31)</f>
        <v/>
      </c>
      <c r="W31" s="14">
        <f>IF(AD31=0,"",IF(LEFT(L31,5)="Geler","❄ Gelée",IF(H31="",IF(F31&lt;=TODAY(),"⚠ Indice attendu","À venir"),IF(F31&lt;=TODAY(),"✔ Calculable","Indice connu – à venir"))))</f>
        <v/>
      </c>
      <c r="X31" s="35" t="n"/>
      <c r="Y31" s="13" t="inlineStr">
        <is>
          <t>Oui</t>
        </is>
      </c>
      <c r="Z31" s="44" t="n"/>
      <c r="AA31" s="44" t="n"/>
      <c r="AB31" s="13" t="n"/>
      <c r="AC31" s="14">
        <f>IF(AND(AD31=1,F31&lt;=TODAY(),O31&lt;&gt;""),1,0)</f>
        <v/>
      </c>
      <c r="AD31" s="14">
        <f>IF(F31="",0,IF(AND(ISNUMBER(C10),F31&gt;C10),0,1))</f>
        <v/>
      </c>
    </row>
    <row r="32">
      <c r="E32" s="14" t="n">
        <v>5</v>
      </c>
      <c r="F32" s="15">
        <f>IF(OR(C3="",C8="",C17=""),"",EDATE(C8,12*C17*E32))</f>
        <v/>
      </c>
      <c r="G32" s="14">
        <f>IF(AD32=0,"",IFERROR(TEXT(VALUE(LEFT(C16,4))+E32*C17,"0")&amp;RIGHT(C16,3),""))</f>
        <v/>
      </c>
      <c r="H32" s="28">
        <f>IF(AD32=0,"",IF(OR(G32="",C15=""),"",IFERROR(IF(SUMIFS(INDEX(Indices!$A:$P,0,MATCH(C15,Indices!$1:$1,0)+1),INDEX(Indices!$A:$P,0,MATCH(C15,Indices!$1:$1,0)),G32)=0,"",SUMIFS(INDEX(Indices!$A:$P,0,MATCH(C15,Indices!$1:$1,0)+1),INDEX(Indices!$A:$P,0,MATCH(C15,Indices!$1:$1,0)),G32)),"")))</f>
        <v/>
      </c>
      <c r="I32" s="14">
        <f>IF(AD32=0,"",IF(C18="Base fixe",C16,IF(L31="Geler – rattrapage possible",I31,G31)))</f>
        <v/>
      </c>
      <c r="J32" s="28">
        <f>IF(AD32=0,"",IF(OR(I32="",C15=""),"",IFERROR(IF(SUMIFS(INDEX(Indices!$A:$P,0,MATCH(C15,Indices!$1:$1,0)+1),INDEX(Indices!$A:$P,0,MATCH(C15,Indices!$1:$1,0)),I32)=0,"",SUMIFS(INDEX(Indices!$A:$P,0,MATCH(C15,Indices!$1:$1,0)+1),INDEX(Indices!$A:$P,0,MATCH(C15,Indices!$1:$1,0)),I32)),"")))</f>
        <v/>
      </c>
      <c r="K32" s="42">
        <f>IF(OR(H32="",J32=""),"",H32/J32)</f>
        <v/>
      </c>
      <c r="L32" s="13" t="n"/>
      <c r="M32" s="16">
        <f>IF(AD32=0,"",IF(C18="Base fixe",C11,O31))</f>
        <v/>
      </c>
      <c r="N32" s="16">
        <f>IF(OR(K32="",M32=""),"",ROUND(M32*K32,2))</f>
        <v/>
      </c>
      <c r="O32" s="16">
        <f>IF(AD32=0,"",IF(LEFT(L32,5)="Geler",P32,IF(N32="","",IF(C19="",N32,MIN(N32,ROUND(M32*(1+C19/100)^IF(C18="Base fixe",E32*C17,VALUE(LEFT(G32,4))-VALUE(LEFT(I32,4))),2))))))</f>
        <v/>
      </c>
      <c r="P32" s="16">
        <f>IF(AD32=0,"",O31)</f>
        <v/>
      </c>
      <c r="Q32" s="43">
        <f>IF(OR(O32="",P32=""),"",O32/P32-1)</f>
        <v/>
      </c>
      <c r="R32" s="16">
        <f>IF(O32="","",O32/12)</f>
        <v/>
      </c>
      <c r="S32" s="16">
        <f>IF(O32="","",O32/IF(C14="Mensuelle",12,IF(C14="Trimestrielle",4,IF(C14="Semestrielle",2,1))))</f>
        <v/>
      </c>
      <c r="T32" s="16">
        <f>IF(AD32=0,"",IF(C12="",0,C12)/IF(C14="Mensuelle",12,IF(C14="Trimestrielle",4,IF(C14="Semestrielle",2,1))))</f>
        <v/>
      </c>
      <c r="U32" s="16">
        <f>IF(S32="","",(S32+T32)*C13/100)</f>
        <v/>
      </c>
      <c r="V32" s="16">
        <f>IF(S32="","",S32+T32+U32)</f>
        <v/>
      </c>
      <c r="W32" s="14">
        <f>IF(AD32=0,"",IF(LEFT(L32,5)="Geler","❄ Gelée",IF(H32="",IF(F32&lt;=TODAY(),"⚠ Indice attendu","À venir"),IF(F32&lt;=TODAY(),"✔ Calculable","Indice connu – à venir"))))</f>
        <v/>
      </c>
      <c r="X32" s="35" t="n"/>
      <c r="Y32" s="13" t="inlineStr">
        <is>
          <t>Oui</t>
        </is>
      </c>
      <c r="Z32" s="44" t="n"/>
      <c r="AA32" s="44" t="n"/>
      <c r="AB32" s="13" t="n"/>
      <c r="AC32" s="14">
        <f>IF(AND(AD32=1,F32&lt;=TODAY(),O32&lt;&gt;""),1,0)</f>
        <v/>
      </c>
      <c r="AD32" s="14">
        <f>IF(F32="",0,IF(AND(ISNUMBER(C10),F32&gt;C10),0,1))</f>
        <v/>
      </c>
    </row>
    <row r="33">
      <c r="E33" s="14" t="n">
        <v>6</v>
      </c>
      <c r="F33" s="15">
        <f>IF(OR(C3="",C8="",C17=""),"",EDATE(C8,12*C17*E33))</f>
        <v/>
      </c>
      <c r="G33" s="14">
        <f>IF(AD33=0,"",IFERROR(TEXT(VALUE(LEFT(C16,4))+E33*C17,"0")&amp;RIGHT(C16,3),""))</f>
        <v/>
      </c>
      <c r="H33" s="28">
        <f>IF(AD33=0,"",IF(OR(G33="",C15=""),"",IFERROR(IF(SUMIFS(INDEX(Indices!$A:$P,0,MATCH(C15,Indices!$1:$1,0)+1),INDEX(Indices!$A:$P,0,MATCH(C15,Indices!$1:$1,0)),G33)=0,"",SUMIFS(INDEX(Indices!$A:$P,0,MATCH(C15,Indices!$1:$1,0)+1),INDEX(Indices!$A:$P,0,MATCH(C15,Indices!$1:$1,0)),G33)),"")))</f>
        <v/>
      </c>
      <c r="I33" s="14">
        <f>IF(AD33=0,"",IF(C18="Base fixe",C16,IF(L32="Geler – rattrapage possible",I32,G32)))</f>
        <v/>
      </c>
      <c r="J33" s="28">
        <f>IF(AD33=0,"",IF(OR(I33="",C15=""),"",IFERROR(IF(SUMIFS(INDEX(Indices!$A:$P,0,MATCH(C15,Indices!$1:$1,0)+1),INDEX(Indices!$A:$P,0,MATCH(C15,Indices!$1:$1,0)),I33)=0,"",SUMIFS(INDEX(Indices!$A:$P,0,MATCH(C15,Indices!$1:$1,0)+1),INDEX(Indices!$A:$P,0,MATCH(C15,Indices!$1:$1,0)),I33)),"")))</f>
        <v/>
      </c>
      <c r="K33" s="42">
        <f>IF(OR(H33="",J33=""),"",H33/J33)</f>
        <v/>
      </c>
      <c r="L33" s="13" t="inlineStr">
        <is>
          <t>Geler – rattrapage possible</t>
        </is>
      </c>
      <c r="M33" s="16">
        <f>IF(AD33=0,"",IF(C18="Base fixe",C11,O32))</f>
        <v/>
      </c>
      <c r="N33" s="16">
        <f>IF(OR(K33="",M33=""),"",ROUND(M33*K33,2))</f>
        <v/>
      </c>
      <c r="O33" s="16">
        <f>IF(AD33=0,"",IF(LEFT(L33,5)="Geler",P33,IF(N33="","",IF(C19="",N33,MIN(N33,ROUND(M33*(1+C19/100)^IF(C18="Base fixe",E33*C17,VALUE(LEFT(G33,4))-VALUE(LEFT(I33,4))),2))))))</f>
        <v/>
      </c>
      <c r="P33" s="16">
        <f>IF(AD33=0,"",O32)</f>
        <v/>
      </c>
      <c r="Q33" s="43">
        <f>IF(OR(O33="",P33=""),"",O33/P33-1)</f>
        <v/>
      </c>
      <c r="R33" s="16">
        <f>IF(O33="","",O33/12)</f>
        <v/>
      </c>
      <c r="S33" s="16">
        <f>IF(O33="","",O33/IF(C14="Mensuelle",12,IF(C14="Trimestrielle",4,IF(C14="Semestrielle",2,1))))</f>
        <v/>
      </c>
      <c r="T33" s="16">
        <f>IF(AD33=0,"",IF(C12="",0,C12)/IF(C14="Mensuelle",12,IF(C14="Trimestrielle",4,IF(C14="Semestrielle",2,1))))</f>
        <v/>
      </c>
      <c r="U33" s="16">
        <f>IF(S33="","",(S33+T33)*C13/100)</f>
        <v/>
      </c>
      <c r="V33" s="16">
        <f>IF(S33="","",S33+T33+U33)</f>
        <v/>
      </c>
      <c r="W33" s="14">
        <f>IF(AD33=0,"",IF(LEFT(L33,5)="Geler","❄ Gelée",IF(H33="",IF(F33&lt;=TODAY(),"⚠ Indice attendu","À venir"),IF(F33&lt;=TODAY(),"✔ Calculable","Indice connu – à venir"))))</f>
        <v/>
      </c>
      <c r="X33" s="35" t="inlineStr">
        <is>
          <t>Gel d'un an négocié (avenant du 10/01/2025), rattrapage à la révision 2026 : recalculer sur l'indice 2023-T3.</t>
        </is>
      </c>
      <c r="Y33" s="13" t="n"/>
      <c r="Z33" s="44" t="n"/>
      <c r="AA33" s="44" t="n"/>
      <c r="AB33" s="13" t="n"/>
      <c r="AC33" s="14">
        <f>IF(AND(AD33=1,F33&lt;=TODAY(),O33&lt;&gt;""),1,0)</f>
        <v/>
      </c>
      <c r="AD33" s="14">
        <f>IF(F33="",0,IF(AND(ISNUMBER(C10),F33&gt;C10),0,1))</f>
        <v/>
      </c>
    </row>
    <row r="34">
      <c r="E34" s="14" t="n">
        <v>7</v>
      </c>
      <c r="F34" s="15">
        <f>IF(OR(C3="",C8="",C17=""),"",EDATE(C8,12*C17*E34))</f>
        <v/>
      </c>
      <c r="G34" s="14">
        <f>IF(AD34=0,"",IFERROR(TEXT(VALUE(LEFT(C16,4))+E34*C17,"0")&amp;RIGHT(C16,3),""))</f>
        <v/>
      </c>
      <c r="H34" s="28">
        <f>IF(AD34=0,"",IF(OR(G34="",C15=""),"",IFERROR(IF(SUMIFS(INDEX(Indices!$A:$P,0,MATCH(C15,Indices!$1:$1,0)+1),INDEX(Indices!$A:$P,0,MATCH(C15,Indices!$1:$1,0)),G34)=0,"",SUMIFS(INDEX(Indices!$A:$P,0,MATCH(C15,Indices!$1:$1,0)+1),INDEX(Indices!$A:$P,0,MATCH(C15,Indices!$1:$1,0)),G34)),"")))</f>
        <v/>
      </c>
      <c r="I34" s="14">
        <f>IF(AD34=0,"",IF(C18="Base fixe",C16,IF(L33="Geler – rattrapage possible",I33,G33)))</f>
        <v/>
      </c>
      <c r="J34" s="28">
        <f>IF(AD34=0,"",IF(OR(I34="",C15=""),"",IFERROR(IF(SUMIFS(INDEX(Indices!$A:$P,0,MATCH(C15,Indices!$1:$1,0)+1),INDEX(Indices!$A:$P,0,MATCH(C15,Indices!$1:$1,0)),I34)=0,"",SUMIFS(INDEX(Indices!$A:$P,0,MATCH(C15,Indices!$1:$1,0)+1),INDEX(Indices!$A:$P,0,MATCH(C15,Indices!$1:$1,0)),I34)),"")))</f>
        <v/>
      </c>
      <c r="K34" s="42">
        <f>IF(OR(H34="",J34=""),"",H34/J34)</f>
        <v/>
      </c>
      <c r="L34" s="13" t="n"/>
      <c r="M34" s="16">
        <f>IF(AD34=0,"",IF(C18="Base fixe",C11,O33))</f>
        <v/>
      </c>
      <c r="N34" s="16">
        <f>IF(OR(K34="",M34=""),"",ROUND(M34*K34,2))</f>
        <v/>
      </c>
      <c r="O34" s="16">
        <f>IF(AD34=0,"",IF(LEFT(L34,5)="Geler",P34,IF(N34="","",IF(C19="",N34,MIN(N34,ROUND(M34*(1+C19/100)^IF(C18="Base fixe",E34*C17,VALUE(LEFT(G34,4))-VALUE(LEFT(I34,4))),2))))))</f>
        <v/>
      </c>
      <c r="P34" s="16">
        <f>IF(AD34=0,"",O33)</f>
        <v/>
      </c>
      <c r="Q34" s="43">
        <f>IF(OR(O34="",P34=""),"",O34/P34-1)</f>
        <v/>
      </c>
      <c r="R34" s="16">
        <f>IF(O34="","",O34/12)</f>
        <v/>
      </c>
      <c r="S34" s="16">
        <f>IF(O34="","",O34/IF(C14="Mensuelle",12,IF(C14="Trimestrielle",4,IF(C14="Semestrielle",2,1))))</f>
        <v/>
      </c>
      <c r="T34" s="16">
        <f>IF(AD34=0,"",IF(C12="",0,C12)/IF(C14="Mensuelle",12,IF(C14="Trimestrielle",4,IF(C14="Semestrielle",2,1))))</f>
        <v/>
      </c>
      <c r="U34" s="16">
        <f>IF(S34="","",(S34+T34)*C13/100)</f>
        <v/>
      </c>
      <c r="V34" s="16">
        <f>IF(S34="","",S34+T34+U34)</f>
        <v/>
      </c>
      <c r="W34" s="14">
        <f>IF(AD34=0,"",IF(LEFT(L34,5)="Geler","❄ Gelée",IF(H34="",IF(F34&lt;=TODAY(),"⚠ Indice attendu","À venir"),IF(F34&lt;=TODAY(),"✔ Calculable","Indice connu – à venir"))))</f>
        <v/>
      </c>
      <c r="X34" s="35" t="inlineStr">
        <is>
          <t>Appliquer le rattrapage : coefficient calculé sur 2 ans d'indice. Prévenir le locataire avant facturation.</t>
        </is>
      </c>
      <c r="Y34" s="13" t="n"/>
      <c r="Z34" s="44" t="n"/>
      <c r="AA34" s="44" t="n"/>
      <c r="AB34" s="13" t="n"/>
      <c r="AC34" s="14">
        <f>IF(AND(AD34=1,F34&lt;=TODAY(),O34&lt;&gt;""),1,0)</f>
        <v/>
      </c>
      <c r="AD34" s="14">
        <f>IF(F34="",0,IF(AND(ISNUMBER(C10),F34&gt;C10),0,1))</f>
        <v/>
      </c>
    </row>
    <row r="35">
      <c r="E35" s="14" t="n">
        <v>8</v>
      </c>
      <c r="F35" s="15">
        <f>IF(OR(C3="",C8="",C17=""),"",EDATE(C8,12*C17*E35))</f>
        <v/>
      </c>
      <c r="G35" s="14">
        <f>IF(AD35=0,"",IFERROR(TEXT(VALUE(LEFT(C16,4))+E35*C17,"0")&amp;RIGHT(C16,3),""))</f>
        <v/>
      </c>
      <c r="H35" s="28">
        <f>IF(AD35=0,"",IF(OR(G35="",C15=""),"",IFERROR(IF(SUMIFS(INDEX(Indices!$A:$P,0,MATCH(C15,Indices!$1:$1,0)+1),INDEX(Indices!$A:$P,0,MATCH(C15,Indices!$1:$1,0)),G35)=0,"",SUMIFS(INDEX(Indices!$A:$P,0,MATCH(C15,Indices!$1:$1,0)+1),INDEX(Indices!$A:$P,0,MATCH(C15,Indices!$1:$1,0)),G35)),"")))</f>
        <v/>
      </c>
      <c r="I35" s="14">
        <f>IF(AD35=0,"",IF(C18="Base fixe",C16,IF(L34="Geler – rattrapage possible",I34,G34)))</f>
        <v/>
      </c>
      <c r="J35" s="28">
        <f>IF(AD35=0,"",IF(OR(I35="",C15=""),"",IFERROR(IF(SUMIFS(INDEX(Indices!$A:$P,0,MATCH(C15,Indices!$1:$1,0)+1),INDEX(Indices!$A:$P,0,MATCH(C15,Indices!$1:$1,0)),I35)=0,"",SUMIFS(INDEX(Indices!$A:$P,0,MATCH(C15,Indices!$1:$1,0)+1),INDEX(Indices!$A:$P,0,MATCH(C15,Indices!$1:$1,0)),I35)),"")))</f>
        <v/>
      </c>
      <c r="K35" s="42">
        <f>IF(OR(H35="",J35=""),"",H35/J35)</f>
        <v/>
      </c>
      <c r="L35" s="13" t="n"/>
      <c r="M35" s="16">
        <f>IF(AD35=0,"",IF(C18="Base fixe",C11,O34))</f>
        <v/>
      </c>
      <c r="N35" s="16">
        <f>IF(OR(K35="",M35=""),"",ROUND(M35*K35,2))</f>
        <v/>
      </c>
      <c r="O35" s="16">
        <f>IF(AD35=0,"",IF(LEFT(L35,5)="Geler",P35,IF(N35="","",IF(C19="",N35,MIN(N35,ROUND(M35*(1+C19/100)^IF(C18="Base fixe",E35*C17,VALUE(LEFT(G35,4))-VALUE(LEFT(I35,4))),2))))))</f>
        <v/>
      </c>
      <c r="P35" s="16">
        <f>IF(AD35=0,"",O34)</f>
        <v/>
      </c>
      <c r="Q35" s="43">
        <f>IF(OR(O35="",P35=""),"",O35/P35-1)</f>
        <v/>
      </c>
      <c r="R35" s="16">
        <f>IF(O35="","",O35/12)</f>
        <v/>
      </c>
      <c r="S35" s="16">
        <f>IF(O35="","",O35/IF(C14="Mensuelle",12,IF(C14="Trimestrielle",4,IF(C14="Semestrielle",2,1))))</f>
        <v/>
      </c>
      <c r="T35" s="16">
        <f>IF(AD35=0,"",IF(C12="",0,C12)/IF(C14="Mensuelle",12,IF(C14="Trimestrielle",4,IF(C14="Semestrielle",2,1))))</f>
        <v/>
      </c>
      <c r="U35" s="16">
        <f>IF(S35="","",(S35+T35)*C13/100)</f>
        <v/>
      </c>
      <c r="V35" s="16">
        <f>IF(S35="","",S35+T35+U35)</f>
        <v/>
      </c>
      <c r="W35" s="14">
        <f>IF(AD35=0,"",IF(LEFT(L35,5)="Geler","❄ Gelée",IF(H35="",IF(F35&lt;=TODAY(),"⚠ Indice attendu","À venir"),IF(F35&lt;=TODAY(),"✔ Calculable","Indice connu – à venir"))))</f>
        <v/>
      </c>
      <c r="X35" s="35" t="n"/>
      <c r="Y35" s="13" t="n"/>
      <c r="Z35" s="44" t="n"/>
      <c r="AA35" s="44" t="n"/>
      <c r="AB35" s="13" t="n"/>
      <c r="AC35" s="14">
        <f>IF(AND(AD35=1,F35&lt;=TODAY(),O35&lt;&gt;""),1,0)</f>
        <v/>
      </c>
      <c r="AD35" s="14">
        <f>IF(F35="",0,IF(AND(ISNUMBER(C10),F35&gt;C10),0,1))</f>
        <v/>
      </c>
    </row>
    <row r="36">
      <c r="E36" s="14" t="n">
        <v>9</v>
      </c>
      <c r="F36" s="15">
        <f>IF(OR(C3="",C8="",C17=""),"",EDATE(C8,12*C17*E36))</f>
        <v/>
      </c>
      <c r="G36" s="14">
        <f>IF(AD36=0,"",IFERROR(TEXT(VALUE(LEFT(C16,4))+E36*C17,"0")&amp;RIGHT(C16,3),""))</f>
        <v/>
      </c>
      <c r="H36" s="28">
        <f>IF(AD36=0,"",IF(OR(G36="",C15=""),"",IFERROR(IF(SUMIFS(INDEX(Indices!$A:$P,0,MATCH(C15,Indices!$1:$1,0)+1),INDEX(Indices!$A:$P,0,MATCH(C15,Indices!$1:$1,0)),G36)=0,"",SUMIFS(INDEX(Indices!$A:$P,0,MATCH(C15,Indices!$1:$1,0)+1),INDEX(Indices!$A:$P,0,MATCH(C15,Indices!$1:$1,0)),G36)),"")))</f>
        <v/>
      </c>
      <c r="I36" s="14">
        <f>IF(AD36=0,"",IF(C18="Base fixe",C16,IF(L35="Geler – rattrapage possible",I35,G35)))</f>
        <v/>
      </c>
      <c r="J36" s="28">
        <f>IF(AD36=0,"",IF(OR(I36="",C15=""),"",IFERROR(IF(SUMIFS(INDEX(Indices!$A:$P,0,MATCH(C15,Indices!$1:$1,0)+1),INDEX(Indices!$A:$P,0,MATCH(C15,Indices!$1:$1,0)),I36)=0,"",SUMIFS(INDEX(Indices!$A:$P,0,MATCH(C15,Indices!$1:$1,0)+1),INDEX(Indices!$A:$P,0,MATCH(C15,Indices!$1:$1,0)),I36)),"")))</f>
        <v/>
      </c>
      <c r="K36" s="42">
        <f>IF(OR(H36="",J36=""),"",H36/J36)</f>
        <v/>
      </c>
      <c r="L36" s="13" t="n"/>
      <c r="M36" s="16">
        <f>IF(AD36=0,"",IF(C18="Base fixe",C11,O35))</f>
        <v/>
      </c>
      <c r="N36" s="16">
        <f>IF(OR(K36="",M36=""),"",ROUND(M36*K36,2))</f>
        <v/>
      </c>
      <c r="O36" s="16">
        <f>IF(AD36=0,"",IF(LEFT(L36,5)="Geler",P36,IF(N36="","",IF(C19="",N36,MIN(N36,ROUND(M36*(1+C19/100)^IF(C18="Base fixe",E36*C17,VALUE(LEFT(G36,4))-VALUE(LEFT(I36,4))),2))))))</f>
        <v/>
      </c>
      <c r="P36" s="16">
        <f>IF(AD36=0,"",O35)</f>
        <v/>
      </c>
      <c r="Q36" s="43">
        <f>IF(OR(O36="",P36=""),"",O36/P36-1)</f>
        <v/>
      </c>
      <c r="R36" s="16">
        <f>IF(O36="","",O36/12)</f>
        <v/>
      </c>
      <c r="S36" s="16">
        <f>IF(O36="","",O36/IF(C14="Mensuelle",12,IF(C14="Trimestrielle",4,IF(C14="Semestrielle",2,1))))</f>
        <v/>
      </c>
      <c r="T36" s="16">
        <f>IF(AD36=0,"",IF(C12="",0,C12)/IF(C14="Mensuelle",12,IF(C14="Trimestrielle",4,IF(C14="Semestrielle",2,1))))</f>
        <v/>
      </c>
      <c r="U36" s="16">
        <f>IF(S36="","",(S36+T36)*C13/100)</f>
        <v/>
      </c>
      <c r="V36" s="16">
        <f>IF(S36="","",S36+T36+U36)</f>
        <v/>
      </c>
      <c r="W36" s="14">
        <f>IF(AD36=0,"",IF(LEFT(L36,5)="Geler","❄ Gelée",IF(H36="",IF(F36&lt;=TODAY(),"⚠ Indice attendu","À venir"),IF(F36&lt;=TODAY(),"✔ Calculable","Indice connu – à venir"))))</f>
        <v/>
      </c>
      <c r="X36" s="35" t="n"/>
      <c r="Y36" s="13" t="n"/>
      <c r="Z36" s="44" t="n"/>
      <c r="AA36" s="44" t="n"/>
      <c r="AB36" s="13" t="n"/>
      <c r="AC36" s="14">
        <f>IF(AND(AD36=1,F36&lt;=TODAY(),O36&lt;&gt;""),1,0)</f>
        <v/>
      </c>
      <c r="AD36" s="14">
        <f>IF(F36="",0,IF(AND(ISNUMBER(C10),F36&gt;C10),0,1))</f>
        <v/>
      </c>
    </row>
    <row r="37">
      <c r="E37" s="14" t="n">
        <v>10</v>
      </c>
      <c r="F37" s="15">
        <f>IF(OR(C3="",C8="",C17=""),"",EDATE(C8,12*C17*E37))</f>
        <v/>
      </c>
      <c r="G37" s="14">
        <f>IF(AD37=0,"",IFERROR(TEXT(VALUE(LEFT(C16,4))+E37*C17,"0")&amp;RIGHT(C16,3),""))</f>
        <v/>
      </c>
      <c r="H37" s="28">
        <f>IF(AD37=0,"",IF(OR(G37="",C15=""),"",IFERROR(IF(SUMIFS(INDEX(Indices!$A:$P,0,MATCH(C15,Indices!$1:$1,0)+1),INDEX(Indices!$A:$P,0,MATCH(C15,Indices!$1:$1,0)),G37)=0,"",SUMIFS(INDEX(Indices!$A:$P,0,MATCH(C15,Indices!$1:$1,0)+1),INDEX(Indices!$A:$P,0,MATCH(C15,Indices!$1:$1,0)),G37)),"")))</f>
        <v/>
      </c>
      <c r="I37" s="14">
        <f>IF(AD37=0,"",IF(C18="Base fixe",C16,IF(L36="Geler – rattrapage possible",I36,G36)))</f>
        <v/>
      </c>
      <c r="J37" s="28">
        <f>IF(AD37=0,"",IF(OR(I37="",C15=""),"",IFERROR(IF(SUMIFS(INDEX(Indices!$A:$P,0,MATCH(C15,Indices!$1:$1,0)+1),INDEX(Indices!$A:$P,0,MATCH(C15,Indices!$1:$1,0)),I37)=0,"",SUMIFS(INDEX(Indices!$A:$P,0,MATCH(C15,Indices!$1:$1,0)+1),INDEX(Indices!$A:$P,0,MATCH(C15,Indices!$1:$1,0)),I37)),"")))</f>
        <v/>
      </c>
      <c r="K37" s="42">
        <f>IF(OR(H37="",J37=""),"",H37/J37)</f>
        <v/>
      </c>
      <c r="L37" s="13" t="n"/>
      <c r="M37" s="16">
        <f>IF(AD37=0,"",IF(C18="Base fixe",C11,O36))</f>
        <v/>
      </c>
      <c r="N37" s="16">
        <f>IF(OR(K37="",M37=""),"",ROUND(M37*K37,2))</f>
        <v/>
      </c>
      <c r="O37" s="16">
        <f>IF(AD37=0,"",IF(LEFT(L37,5)="Geler",P37,IF(N37="","",IF(C19="",N37,MIN(N37,ROUND(M37*(1+C19/100)^IF(C18="Base fixe",E37*C17,VALUE(LEFT(G37,4))-VALUE(LEFT(I37,4))),2))))))</f>
        <v/>
      </c>
      <c r="P37" s="16">
        <f>IF(AD37=0,"",O36)</f>
        <v/>
      </c>
      <c r="Q37" s="43">
        <f>IF(OR(O37="",P37=""),"",O37/P37-1)</f>
        <v/>
      </c>
      <c r="R37" s="16">
        <f>IF(O37="","",O37/12)</f>
        <v/>
      </c>
      <c r="S37" s="16">
        <f>IF(O37="","",O37/IF(C14="Mensuelle",12,IF(C14="Trimestrielle",4,IF(C14="Semestrielle",2,1))))</f>
        <v/>
      </c>
      <c r="T37" s="16">
        <f>IF(AD37=0,"",IF(C12="",0,C12)/IF(C14="Mensuelle",12,IF(C14="Trimestrielle",4,IF(C14="Semestrielle",2,1))))</f>
        <v/>
      </c>
      <c r="U37" s="16">
        <f>IF(S37="","",(S37+T37)*C13/100)</f>
        <v/>
      </c>
      <c r="V37" s="16">
        <f>IF(S37="","",S37+T37+U37)</f>
        <v/>
      </c>
      <c r="W37" s="14">
        <f>IF(AD37=0,"",IF(LEFT(L37,5)="Geler","❄ Gelée",IF(H37="",IF(F37&lt;=TODAY(),"⚠ Indice attendu","À venir"),IF(F37&lt;=TODAY(),"✔ Calculable","Indice connu – à venir"))))</f>
        <v/>
      </c>
      <c r="X37" s="35" t="n"/>
      <c r="Y37" s="13" t="n"/>
      <c r="Z37" s="44" t="n"/>
      <c r="AA37" s="44" t="n"/>
      <c r="AB37" s="13" t="n"/>
      <c r="AC37" s="14">
        <f>IF(AND(AD37=1,F37&lt;=TODAY(),O37&lt;&gt;""),1,0)</f>
        <v/>
      </c>
      <c r="AD37" s="14">
        <f>IF(F37="",0,IF(AND(ISNUMBER(C10),F37&gt;C10),0,1))</f>
        <v/>
      </c>
    </row>
    <row r="38">
      <c r="E38" s="14" t="n">
        <v>11</v>
      </c>
      <c r="F38" s="15">
        <f>IF(OR(C3="",C8="",C17=""),"",EDATE(C8,12*C17*E38))</f>
        <v/>
      </c>
      <c r="G38" s="14">
        <f>IF(AD38=0,"",IFERROR(TEXT(VALUE(LEFT(C16,4))+E38*C17,"0")&amp;RIGHT(C16,3),""))</f>
        <v/>
      </c>
      <c r="H38" s="28">
        <f>IF(AD38=0,"",IF(OR(G38="",C15=""),"",IFERROR(IF(SUMIFS(INDEX(Indices!$A:$P,0,MATCH(C15,Indices!$1:$1,0)+1),INDEX(Indices!$A:$P,0,MATCH(C15,Indices!$1:$1,0)),G38)=0,"",SUMIFS(INDEX(Indices!$A:$P,0,MATCH(C15,Indices!$1:$1,0)+1),INDEX(Indices!$A:$P,0,MATCH(C15,Indices!$1:$1,0)),G38)),"")))</f>
        <v/>
      </c>
      <c r="I38" s="14">
        <f>IF(AD38=0,"",IF(C18="Base fixe",C16,IF(L37="Geler – rattrapage possible",I37,G37)))</f>
        <v/>
      </c>
      <c r="J38" s="28">
        <f>IF(AD38=0,"",IF(OR(I38="",C15=""),"",IFERROR(IF(SUMIFS(INDEX(Indices!$A:$P,0,MATCH(C15,Indices!$1:$1,0)+1),INDEX(Indices!$A:$P,0,MATCH(C15,Indices!$1:$1,0)),I38)=0,"",SUMIFS(INDEX(Indices!$A:$P,0,MATCH(C15,Indices!$1:$1,0)+1),INDEX(Indices!$A:$P,0,MATCH(C15,Indices!$1:$1,0)),I38)),"")))</f>
        <v/>
      </c>
      <c r="K38" s="42">
        <f>IF(OR(H38="",J38=""),"",H38/J38)</f>
        <v/>
      </c>
      <c r="L38" s="13" t="n"/>
      <c r="M38" s="16">
        <f>IF(AD38=0,"",IF(C18="Base fixe",C11,O37))</f>
        <v/>
      </c>
      <c r="N38" s="16">
        <f>IF(OR(K38="",M38=""),"",ROUND(M38*K38,2))</f>
        <v/>
      </c>
      <c r="O38" s="16">
        <f>IF(AD38=0,"",IF(LEFT(L38,5)="Geler",P38,IF(N38="","",IF(C19="",N38,MIN(N38,ROUND(M38*(1+C19/100)^IF(C18="Base fixe",E38*C17,VALUE(LEFT(G38,4))-VALUE(LEFT(I38,4))),2))))))</f>
        <v/>
      </c>
      <c r="P38" s="16">
        <f>IF(AD38=0,"",O37)</f>
        <v/>
      </c>
      <c r="Q38" s="43">
        <f>IF(OR(O38="",P38=""),"",O38/P38-1)</f>
        <v/>
      </c>
      <c r="R38" s="16">
        <f>IF(O38="","",O38/12)</f>
        <v/>
      </c>
      <c r="S38" s="16">
        <f>IF(O38="","",O38/IF(C14="Mensuelle",12,IF(C14="Trimestrielle",4,IF(C14="Semestrielle",2,1))))</f>
        <v/>
      </c>
      <c r="T38" s="16">
        <f>IF(AD38=0,"",IF(C12="",0,C12)/IF(C14="Mensuelle",12,IF(C14="Trimestrielle",4,IF(C14="Semestrielle",2,1))))</f>
        <v/>
      </c>
      <c r="U38" s="16">
        <f>IF(S38="","",(S38+T38)*C13/100)</f>
        <v/>
      </c>
      <c r="V38" s="16">
        <f>IF(S38="","",S38+T38+U38)</f>
        <v/>
      </c>
      <c r="W38" s="14">
        <f>IF(AD38=0,"",IF(LEFT(L38,5)="Geler","❄ Gelée",IF(H38="",IF(F38&lt;=TODAY(),"⚠ Indice attendu","À venir"),IF(F38&lt;=TODAY(),"✔ Calculable","Indice connu – à venir"))))</f>
        <v/>
      </c>
      <c r="X38" s="35" t="n"/>
      <c r="Y38" s="13" t="n"/>
      <c r="Z38" s="44" t="n"/>
      <c r="AA38" s="44" t="n"/>
      <c r="AB38" s="13" t="n"/>
      <c r="AC38" s="14">
        <f>IF(AND(AD38=1,F38&lt;=TODAY(),O38&lt;&gt;""),1,0)</f>
        <v/>
      </c>
      <c r="AD38" s="14">
        <f>IF(F38="",0,IF(AND(ISNUMBER(C10),F38&gt;C10),0,1))</f>
        <v/>
      </c>
    </row>
    <row r="39">
      <c r="E39" s="14" t="n">
        <v>12</v>
      </c>
      <c r="F39" s="15">
        <f>IF(OR(C3="",C8="",C17=""),"",EDATE(C8,12*C17*E39))</f>
        <v/>
      </c>
      <c r="G39" s="14">
        <f>IF(AD39=0,"",IFERROR(TEXT(VALUE(LEFT(C16,4))+E39*C17,"0")&amp;RIGHT(C16,3),""))</f>
        <v/>
      </c>
      <c r="H39" s="28">
        <f>IF(AD39=0,"",IF(OR(G39="",C15=""),"",IFERROR(IF(SUMIFS(INDEX(Indices!$A:$P,0,MATCH(C15,Indices!$1:$1,0)+1),INDEX(Indices!$A:$P,0,MATCH(C15,Indices!$1:$1,0)),G39)=0,"",SUMIFS(INDEX(Indices!$A:$P,0,MATCH(C15,Indices!$1:$1,0)+1),INDEX(Indices!$A:$P,0,MATCH(C15,Indices!$1:$1,0)),G39)),"")))</f>
        <v/>
      </c>
      <c r="I39" s="14">
        <f>IF(AD39=0,"",IF(C18="Base fixe",C16,IF(L38="Geler – rattrapage possible",I38,G38)))</f>
        <v/>
      </c>
      <c r="J39" s="28">
        <f>IF(AD39=0,"",IF(OR(I39="",C15=""),"",IFERROR(IF(SUMIFS(INDEX(Indices!$A:$P,0,MATCH(C15,Indices!$1:$1,0)+1),INDEX(Indices!$A:$P,0,MATCH(C15,Indices!$1:$1,0)),I39)=0,"",SUMIFS(INDEX(Indices!$A:$P,0,MATCH(C15,Indices!$1:$1,0)+1),INDEX(Indices!$A:$P,0,MATCH(C15,Indices!$1:$1,0)),I39)),"")))</f>
        <v/>
      </c>
      <c r="K39" s="42">
        <f>IF(OR(H39="",J39=""),"",H39/J39)</f>
        <v/>
      </c>
      <c r="L39" s="13" t="n"/>
      <c r="M39" s="16">
        <f>IF(AD39=0,"",IF(C18="Base fixe",C11,O38))</f>
        <v/>
      </c>
      <c r="N39" s="16">
        <f>IF(OR(K39="",M39=""),"",ROUND(M39*K39,2))</f>
        <v/>
      </c>
      <c r="O39" s="16">
        <f>IF(AD39=0,"",IF(LEFT(L39,5)="Geler",P39,IF(N39="","",IF(C19="",N39,MIN(N39,ROUND(M39*(1+C19/100)^IF(C18="Base fixe",E39*C17,VALUE(LEFT(G39,4))-VALUE(LEFT(I39,4))),2))))))</f>
        <v/>
      </c>
      <c r="P39" s="16">
        <f>IF(AD39=0,"",O38)</f>
        <v/>
      </c>
      <c r="Q39" s="43">
        <f>IF(OR(O39="",P39=""),"",O39/P39-1)</f>
        <v/>
      </c>
      <c r="R39" s="16">
        <f>IF(O39="","",O39/12)</f>
        <v/>
      </c>
      <c r="S39" s="16">
        <f>IF(O39="","",O39/IF(C14="Mensuelle",12,IF(C14="Trimestrielle",4,IF(C14="Semestrielle",2,1))))</f>
        <v/>
      </c>
      <c r="T39" s="16">
        <f>IF(AD39=0,"",IF(C12="",0,C12)/IF(C14="Mensuelle",12,IF(C14="Trimestrielle",4,IF(C14="Semestrielle",2,1))))</f>
        <v/>
      </c>
      <c r="U39" s="16">
        <f>IF(S39="","",(S39+T39)*C13/100)</f>
        <v/>
      </c>
      <c r="V39" s="16">
        <f>IF(S39="","",S39+T39+U39)</f>
        <v/>
      </c>
      <c r="W39" s="14">
        <f>IF(AD39=0,"",IF(LEFT(L39,5)="Geler","❄ Gelée",IF(H39="",IF(F39&lt;=TODAY(),"⚠ Indice attendu","À venir"),IF(F39&lt;=TODAY(),"✔ Calculable","Indice connu – à venir"))))</f>
        <v/>
      </c>
      <c r="X39" s="35" t="n"/>
      <c r="Y39" s="13" t="n"/>
      <c r="Z39" s="44" t="n"/>
      <c r="AA39" s="44" t="n"/>
      <c r="AB39" s="13" t="n"/>
      <c r="AC39" s="14">
        <f>IF(AND(AD39=1,F39&lt;=TODAY(),O39&lt;&gt;""),1,0)</f>
        <v/>
      </c>
      <c r="AD39" s="14">
        <f>IF(F39="",0,IF(AND(ISNUMBER(C10),F39&gt;C10),0,1))</f>
        <v/>
      </c>
    </row>
  </sheetData>
  <mergeCells count="10">
    <mergeCell ref="G6:J6"/>
    <mergeCell ref="G9:J9"/>
    <mergeCell ref="G3:J3"/>
    <mergeCell ref="G8:J8"/>
    <mergeCell ref="G4:J4"/>
    <mergeCell ref="G12:J12"/>
    <mergeCell ref="G7:J7"/>
    <mergeCell ref="G11:J11"/>
    <mergeCell ref="G5:J5"/>
    <mergeCell ref="G10:J10"/>
  </mergeCells>
  <conditionalFormatting sqref="K11">
    <cfRule type="expression" priority="1" dxfId="2">
      <formula>LEFT(K11,1)="⚠"</formula>
    </cfRule>
  </conditionalFormatting>
  <conditionalFormatting sqref="C24">
    <cfRule type="expression" priority="2" dxfId="2">
      <formula>AND(C24&lt;&gt;"",C24&lt;&gt;"OK")</formula>
    </cfRule>
  </conditionalFormatting>
  <conditionalFormatting sqref="W28:W39">
    <cfRule type="expression" priority="3" dxfId="0">
      <formula>LEFT(W28,1)="⚠"</formula>
    </cfRule>
    <cfRule type="expression" priority="4" dxfId="4">
      <formula>AND(LEFT(W28,1)="✔",Y28&lt;&gt;"Oui")</formula>
    </cfRule>
    <cfRule type="expression" priority="5" dxfId="5">
      <formula>AND(LEFT(W28,1)="✔",Y28="Oui")</formula>
    </cfRule>
    <cfRule type="expression" priority="6" dxfId="6">
      <formula>LEFT(W28,1)="❄"</formula>
    </cfRule>
  </conditionalFormatting>
  <conditionalFormatting sqref="E28:AB39">
    <cfRule type="expression" priority="7" dxfId="7">
      <formula>$AD28=0</formula>
    </cfRule>
  </conditionalFormatting>
  <dataValidations count="7">
    <dataValidation sqref="C7" showDropDown="0" showInputMessage="0" showErrorMessage="0" allowBlank="1" type="list">
      <formula1>"Commercial,Professionnel,Habitation,Dérogatoire,Autre"</formula1>
    </dataValidation>
    <dataValidation sqref="C14" showDropDown="0" showInputMessage="0" showErrorMessage="0" allowBlank="1" type="list">
      <formula1>"Mensuelle,Trimestrielle,Semestrielle,Annuelle"</formula1>
    </dataValidation>
    <dataValidation sqref="C15" showDropDown="0" showInputMessage="0" showErrorMessage="0" allowBlank="1" type="list">
      <formula1>"ILC,ILAT,ICC,IRL"</formula1>
    </dataValidation>
    <dataValidation sqref="C18" showDropDown="0" showInputMessage="0" showErrorMessage="0" allowBlank="1" type="list">
      <formula1>"Chaînée,Base fixe"</formula1>
    </dataValidation>
    <dataValidation sqref="C17" showDropDown="0" showInputMessage="0" showErrorMessage="0" allowBlank="1" type="list">
      <formula1>"1,2,3"</formula1>
    </dataValidation>
    <dataValidation sqref="Y28:Y39" showDropDown="0" showInputMessage="0" showErrorMessage="0" allowBlank="1" type="list">
      <formula1>"Oui,Non"</formula1>
    </dataValidation>
    <dataValidation sqref="L28:L39" showDropDown="0" showInputMessage="1" showErrorMessage="0" allowBlank="1" promptTitle="Décision du bailleur" prompt="Vide ou Appliquer = révision appliquée. Geler = loyer inchangé ; « rattrapage possible » repart de l'indice de la dernière révision appliquée." type="list">
      <formula1>"Appliquer,Geler – sans rattrapage,Geler – rattrapage possible"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AD39"/>
  <sheetViews>
    <sheetView zoomScale="9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" customWidth="1" min="4" max="4"/>
    <col width="5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4" customWidth="1" min="12" max="12"/>
    <col width="14" customWidth="1" min="13" max="13"/>
    <col width="13" customWidth="1" min="14" max="14"/>
    <col width="14" customWidth="1" min="15" max="15"/>
    <col width="14" customWidth="1" min="16" max="16"/>
    <col width="8" customWidth="1" min="17" max="17"/>
    <col width="12" customWidth="1" min="18" max="18"/>
    <col width="12" customWidth="1" min="19" max="19"/>
    <col width="12" customWidth="1" min="20" max="20"/>
    <col width="11" customWidth="1" min="21" max="21"/>
    <col width="12" customWidth="1" min="22" max="22"/>
    <col width="20" customWidth="1" min="23" max="23"/>
    <col width="40" customWidth="1" min="24" max="24"/>
    <col width="10" customWidth="1" min="25" max="25"/>
    <col width="12" customWidth="1" min="26" max="26"/>
    <col width="12" customWidth="1" min="27" max="27"/>
    <col width="28" customWidth="1" min="28" max="28"/>
    <col hidden="1" width="6" customWidth="1" min="29" max="29"/>
    <col hidden="1" width="6" customWidth="1" min="30" max="30"/>
  </cols>
  <sheetData>
    <row r="1">
      <c r="B1" s="1">
        <f>IF(C3="","Fiche de bail","Fiche de bail – "&amp;C3&amp;IF(C5&lt;&gt;""," – "&amp;C5,""))</f>
        <v/>
      </c>
    </row>
    <row r="2">
      <c r="G2" s="5" t="inlineStr">
        <is>
          <t>Situation actuelle</t>
        </is>
      </c>
    </row>
    <row r="3">
      <c r="B3" s="31" t="inlineStr">
        <is>
          <t>ID bail (= nom de l'onglet)</t>
        </is>
      </c>
      <c r="C3" s="32" t="inlineStr">
        <is>
          <t>B04</t>
        </is>
      </c>
      <c r="G3" s="6" t="inlineStr">
        <is>
          <t>Loyer actuel (annuel HT)</t>
        </is>
      </c>
      <c r="K3" s="33">
        <f>IF(C11="","",IF(K5=0,C11,INDEX($O$28:$O$39,K5)))</f>
        <v/>
      </c>
    </row>
    <row r="4">
      <c r="B4" s="31" t="inlineStr">
        <is>
          <t>Local (désignation / adresse)</t>
        </is>
      </c>
      <c r="C4" s="32" t="inlineStr">
        <is>
          <t>Local 45 bd Haussmann</t>
        </is>
      </c>
      <c r="G4" s="6" t="inlineStr">
        <is>
          <t>Loyer actuel mensuel HT</t>
        </is>
      </c>
      <c r="K4" s="33">
        <f>IF(K3="","",K3/12)</f>
        <v/>
      </c>
    </row>
    <row r="5">
      <c r="B5" s="31" t="inlineStr">
        <is>
          <t>Locataire</t>
        </is>
      </c>
      <c r="C5" s="32" t="inlineStr">
        <is>
          <t>Nouveau preneur (à compléter)</t>
        </is>
      </c>
      <c r="G5" s="6" t="inlineStr">
        <is>
          <t>N° dernière révision effective</t>
        </is>
      </c>
      <c r="K5" s="34">
        <f>_xlfn.MAXIFS($E$28:$E$39,$AC$28:$AC$39,1)</f>
        <v/>
      </c>
    </row>
    <row r="6" ht="30" customHeight="1">
      <c r="B6" s="31" t="inlineStr">
        <is>
          <t>Adresse du locataire (courrier)</t>
        </is>
      </c>
      <c r="C6" s="35" t="n"/>
      <c r="G6" s="6" t="inlineStr">
        <is>
          <t>Prochaine révision</t>
        </is>
      </c>
      <c r="K6" s="36">
        <f>IF(_xlfn.MINIFS($F$28:$F$39,$AD$28:$AD$39,1,$F$28:$F$39,"&gt;"&amp;TODAY())=0,"—",_xlfn.MINIFS($F$28:$F$39,$AD$28:$AD$39,1,$F$28:$F$39,"&gt;"&amp;TODAY()))</f>
        <v/>
      </c>
    </row>
    <row r="7">
      <c r="B7" s="31" t="inlineStr">
        <is>
          <t>Type de bail</t>
        </is>
      </c>
      <c r="C7" s="32" t="inlineStr">
        <is>
          <t>Commercial</t>
        </is>
      </c>
      <c r="G7" s="6" t="inlineStr">
        <is>
          <t>Trimestre attendu</t>
        </is>
      </c>
      <c r="K7" s="37">
        <f>IF(K5+1&gt;12,"—",IF(INDEX($AD$28:$AD$39,K5+1)=0,"—",INDEX($G$28:$G$39,K5+1)))</f>
        <v/>
      </c>
    </row>
    <row r="8">
      <c r="B8" s="31" t="inlineStr">
        <is>
          <t>Date de prise d'effet</t>
        </is>
      </c>
      <c r="C8" s="38" t="n">
        <v>45839</v>
      </c>
      <c r="G8" s="6" t="inlineStr">
        <is>
          <t>Indice publié ?</t>
        </is>
      </c>
      <c r="K8" s="37">
        <f>IF(K7="—","—",IF(IF(OR(K7="",C15=""),"",IFERROR(IF(SUMIFS(INDEX(Indices!$A:$P,0,MATCH(C15,Indices!$1:$1,0)+1),INDEX(Indices!$A:$P,0,MATCH(C15,Indices!$1:$1,0)),K7)=0,"",SUMIFS(INDEX(Indices!$A:$P,0,MATCH(C15,Indices!$1:$1,0)+1),INDEX(Indices!$A:$P,0,MATCH(C15,Indices!$1:$1,0)),K7)),""))="","Non","Oui"))</f>
        <v/>
      </c>
    </row>
    <row r="9">
      <c r="B9" s="31" t="inlineStr">
        <is>
          <t>Durée (ans)</t>
        </is>
      </c>
      <c r="C9" s="32" t="n">
        <v>9</v>
      </c>
      <c r="G9" s="6" t="inlineStr">
        <is>
          <t>Révisions calculables non facturées</t>
        </is>
      </c>
      <c r="K9" s="34">
        <f>COUNTIFS($W$28:$W$39,"✔ Calculable",$Y$28:$Y$39,"&lt;&gt;Oui")</f>
        <v/>
      </c>
    </row>
    <row r="10">
      <c r="B10" s="31" t="inlineStr">
        <is>
          <t>Date de fin</t>
        </is>
      </c>
      <c r="C10" s="39">
        <f>IF(OR(C8="",C9=""),"",EDATE(C8,12*C9))</f>
        <v/>
      </c>
      <c r="G10" s="6" t="inlineStr">
        <is>
          <t>Révisions gelées</t>
        </is>
      </c>
      <c r="K10" s="34">
        <f>COUNTIFS($W$28:$W$39,"❄ Gelée")</f>
        <v/>
      </c>
    </row>
    <row r="11">
      <c r="B11" s="31" t="inlineStr">
        <is>
          <t>Loyer initial annuel HT</t>
        </is>
      </c>
      <c r="C11" s="40" t="n">
        <v>18000</v>
      </c>
      <c r="G11" s="6" t="inlineStr">
        <is>
          <t>Action</t>
        </is>
      </c>
      <c r="K11" s="37">
        <f>IF(C3="","",IF(K9&gt;0,"⚠ Facturer la révision ("&amp;K9&amp;" en attente)",IF(AND(K6&lt;&gt;"—",K6-TODAY()&lt;=60),IF(K8="Oui","Révision dans "&amp;INT(K6-TODAY())&amp;" j – indice publié","Révision dans "&amp;INT(K6-TODAY())&amp;" j – indice non publié"),"RAS")))</f>
        <v/>
      </c>
    </row>
    <row r="12">
      <c r="B12" s="31" t="inlineStr">
        <is>
          <t>Charges annuelles HT</t>
        </is>
      </c>
      <c r="C12" s="40" t="n">
        <v>0</v>
      </c>
      <c r="G12" s="6" t="inlineStr">
        <is>
          <t>Consigne de la prochaine révision</t>
        </is>
      </c>
      <c r="K12" s="37">
        <f>IF(K5+1&gt;12,"",INDEX($X$28:$X$39,K5+1)&amp;"")</f>
        <v/>
      </c>
    </row>
    <row r="13">
      <c r="B13" s="31" t="inlineStr">
        <is>
          <t>TVA (%)</t>
        </is>
      </c>
      <c r="C13" s="32" t="n">
        <v>20</v>
      </c>
    </row>
    <row r="14">
      <c r="B14" s="31" t="inlineStr">
        <is>
          <t>Périodicité de facturation</t>
        </is>
      </c>
      <c r="C14" s="32" t="inlineStr">
        <is>
          <t>Mensuelle</t>
        </is>
      </c>
    </row>
    <row r="15">
      <c r="B15" s="31" t="inlineStr">
        <is>
          <t>Indice</t>
        </is>
      </c>
      <c r="C15" s="32" t="inlineStr">
        <is>
          <t>ILC</t>
        </is>
      </c>
    </row>
    <row r="16">
      <c r="B16" s="31" t="inlineStr">
        <is>
          <t>Trimestre indice de base</t>
        </is>
      </c>
      <c r="C16" s="32" t="inlineStr">
        <is>
          <t>2025-T1</t>
        </is>
      </c>
    </row>
    <row r="17">
      <c r="B17" s="31" t="inlineStr">
        <is>
          <t>Périodicité de révision (ans)</t>
        </is>
      </c>
      <c r="C17" s="32" t="n">
        <v>1</v>
      </c>
    </row>
    <row r="18">
      <c r="B18" s="31" t="inlineStr">
        <is>
          <t>Méthode</t>
        </is>
      </c>
      <c r="C18" s="32" t="inlineStr">
        <is>
          <t>Chaînée</t>
        </is>
      </c>
    </row>
    <row r="19">
      <c r="B19" s="31" t="inlineStr">
        <is>
          <t>Plafond annuel (%) – optionnel</t>
        </is>
      </c>
      <c r="C19" s="32" t="n"/>
    </row>
    <row r="20">
      <c r="B20" s="31" t="inlineStr">
        <is>
          <t>Pennylane customer_id</t>
        </is>
      </c>
      <c r="C20" s="32" t="n"/>
    </row>
    <row r="21">
      <c r="B21" s="31" t="inlineStr">
        <is>
          <t>Pennylane product_id</t>
        </is>
      </c>
      <c r="C21" s="32" t="n"/>
    </row>
    <row r="22">
      <c r="B22" s="31" t="inlineStr">
        <is>
          <t>Pennylane subscription_id</t>
        </is>
      </c>
      <c r="C22" s="32" t="n"/>
    </row>
    <row r="23" ht="45" customHeight="1">
      <c r="B23" s="31" t="inlineStr">
        <is>
          <t>Notes / clause d'indexation</t>
        </is>
      </c>
      <c r="C23" s="35" t="inlineStr">
        <is>
          <t>customer_id Pennylane à créer</t>
        </is>
      </c>
    </row>
    <row r="24">
      <c r="B24" s="31" t="inlineStr">
        <is>
          <t>Contrôles</t>
        </is>
      </c>
      <c r="C24" s="41">
        <f>IF(C3="","",IF(AND(C8&lt;&gt;"",ISNUMBER(C11),C15&lt;&gt;"",LEN(C16)=7,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,OR(C19="",ISNUMBER(C19))),"OK",TRIM(IF(C8="","Date d'effet manquante. ","")&amp;IF(NOT(ISNUMBER(C11)),"Loyer initial manquant. ","")&amp;IF(C15="","Indice manquant. ","")&amp;IF(LEN(C16)&lt;&gt;7,"Trimestre de base au format AAAA-Tn. ","")&amp;IF(AND(LEN(C16)=7,C15&lt;&gt;"",NOT(IF(OR(C16="",C15=""),"",IFERROR(IF(SUMIFS(INDEX(Indices!$A:$P,0,MATCH(C15,Indices!$1:$1,0)+1),INDEX(Indices!$A:$P,0,MATCH(C15,Indices!$1:$1,0)),C16)=0,"",SUMIFS(INDEX(Indices!$A:$P,0,MATCH(C15,Indices!$1:$1,0)+1),INDEX(Indices!$A:$P,0,MATCH(C15,Indices!$1:$1,0)),C16)),""))&lt;&gt;"")),"Indice de base "&amp;C16&amp;" absent de la feuille Indices. ","")&amp;IF(AND(C19&lt;&gt;"",NOT(ISNUMBER(C19))),"Plafond non numérique. ",""))))</f>
        <v/>
      </c>
    </row>
    <row r="26">
      <c r="E26" s="5" t="inlineStr">
        <is>
          <t>Révisions</t>
        </is>
      </c>
    </row>
    <row r="27" ht="42" customHeight="1">
      <c r="E27" s="12" t="inlineStr">
        <is>
          <t>N°</t>
        </is>
      </c>
      <c r="F27" s="12" t="inlineStr">
        <is>
          <t>Date de révision</t>
        </is>
      </c>
      <c r="G27" s="12" t="inlineStr">
        <is>
          <t>Trim. référence</t>
        </is>
      </c>
      <c r="H27" s="12" t="inlineStr">
        <is>
          <t>Valeur indice réf.</t>
        </is>
      </c>
      <c r="I27" s="12" t="inlineStr">
        <is>
          <t>Trim. précédent</t>
        </is>
      </c>
      <c r="J27" s="12" t="inlineStr">
        <is>
          <t>Valeur indice préc.</t>
        </is>
      </c>
      <c r="K27" s="12" t="inlineStr">
        <is>
          <t>Coefficient</t>
        </is>
      </c>
      <c r="L27" s="12" t="inlineStr">
        <is>
          <t>Décision</t>
        </is>
      </c>
      <c r="M27" s="12" t="inlineStr">
        <is>
          <t>Base de calcul (annuel HT)</t>
        </is>
      </c>
      <c r="N27" s="12" t="inlineStr">
        <is>
          <t>Loyer révisé brut</t>
        </is>
      </c>
      <c r="O27" s="12" t="inlineStr">
        <is>
          <t>Loyer retenu (annuel HT)</t>
        </is>
      </c>
      <c r="P27" s="12" t="inlineStr">
        <is>
          <t>Loyer précédent (annuel HT)</t>
        </is>
      </c>
      <c r="Q27" s="12" t="inlineStr">
        <is>
          <t>Variation</t>
        </is>
      </c>
      <c r="R27" s="12" t="inlineStr">
        <is>
          <t>Loyer mensuel HT</t>
        </is>
      </c>
      <c r="S27" s="12" t="inlineStr">
        <is>
          <t>Loyer / échéance HT</t>
        </is>
      </c>
      <c r="T27" s="12" t="inlineStr">
        <is>
          <t>Charges / échéance HT</t>
        </is>
      </c>
      <c r="U27" s="12" t="inlineStr">
        <is>
          <t>TVA / échéance</t>
        </is>
      </c>
      <c r="V27" s="12" t="inlineStr">
        <is>
          <t>Total TTC / échéance</t>
        </is>
      </c>
      <c r="W27" s="12" t="inlineStr">
        <is>
          <t>Statut</t>
        </is>
      </c>
      <c r="X27" s="12" t="inlineStr">
        <is>
          <t>Consigne (à faire)</t>
        </is>
      </c>
      <c r="Y27" s="12" t="inlineStr">
        <is>
          <t>Appliqué ? (Oui/Non)</t>
        </is>
      </c>
      <c r="Z27" s="12" t="inlineStr">
        <is>
          <t>Date d'application</t>
        </is>
      </c>
      <c r="AA27" s="12" t="inlineStr">
        <is>
          <t>Courrier envoyé le</t>
        </is>
      </c>
      <c r="AB27" s="12" t="inlineStr">
        <is>
          <t>Commentaire</t>
        </is>
      </c>
      <c r="AC27" s="12" t="inlineStr">
        <is>
          <t>Effectif</t>
        </is>
      </c>
      <c r="AD27" s="12" t="inlineStr">
        <is>
          <t>Actif</t>
        </is>
      </c>
    </row>
    <row r="28">
      <c r="E28" s="14" t="n">
        <v>1</v>
      </c>
      <c r="F28" s="15">
        <f>IF(OR(C3="",C8="",C17=""),"",EDATE(C8,12*C17*E28))</f>
        <v/>
      </c>
      <c r="G28" s="14">
        <f>IF(AD28=0,"",IFERROR(TEXT(VALUE(LEFT(C16,4))+E28*C17,"0")&amp;RIGHT(C16,3),""))</f>
        <v/>
      </c>
      <c r="H28" s="28">
        <f>IF(AD28=0,"",IF(OR(G28="",C15=""),"",IFERROR(IF(SUMIFS(INDEX(Indices!$A:$P,0,MATCH(C15,Indices!$1:$1,0)+1),INDEX(Indices!$A:$P,0,MATCH(C15,Indices!$1:$1,0)),G28)=0,"",SUMIFS(INDEX(Indices!$A:$P,0,MATCH(C15,Indices!$1:$1,0)+1),INDEX(Indices!$A:$P,0,MATCH(C15,Indices!$1:$1,0)),G28)),"")))</f>
        <v/>
      </c>
      <c r="I28" s="14">
        <f>IF(AD28=0,"",C16)</f>
        <v/>
      </c>
      <c r="J28" s="28">
        <f>IF(AD28=0,"",IF(OR(I28="",C15=""),"",IFERROR(IF(SUMIFS(INDEX(Indices!$A:$P,0,MATCH(C15,Indices!$1:$1,0)+1),INDEX(Indices!$A:$P,0,MATCH(C15,Indices!$1:$1,0)),I28)=0,"",SUMIFS(INDEX(Indices!$A:$P,0,MATCH(C15,Indices!$1:$1,0)+1),INDEX(Indices!$A:$P,0,MATCH(C15,Indices!$1:$1,0)),I28)),"")))</f>
        <v/>
      </c>
      <c r="K28" s="42">
        <f>IF(OR(H28="",J28=""),"",H28/J28)</f>
        <v/>
      </c>
      <c r="L28" s="13" t="n"/>
      <c r="M28" s="16">
        <f>IF(AD28=0,"",C11)</f>
        <v/>
      </c>
      <c r="N28" s="16">
        <f>IF(OR(K28="",M28=""),"",ROUND(M28*K28,2))</f>
        <v/>
      </c>
      <c r="O28" s="16">
        <f>IF(AD28=0,"",IF(LEFT(L28,5)="Geler",P28,IF(N28="","",IF(C19="",N28,MIN(N28,ROUND(M28*(1+C19/100)^IF(C18="Base fixe",E28*C17,VALUE(LEFT(G28,4))-VALUE(LEFT(I28,4))),2))))))</f>
        <v/>
      </c>
      <c r="P28" s="16">
        <f>IF(AD28=0,"",C11)</f>
        <v/>
      </c>
      <c r="Q28" s="43">
        <f>IF(OR(O28="",P28=""),"",O28/P28-1)</f>
        <v/>
      </c>
      <c r="R28" s="16">
        <f>IF(O28="","",O28/12)</f>
        <v/>
      </c>
      <c r="S28" s="16">
        <f>IF(O28="","",O28/IF(C14="Mensuelle",12,IF(C14="Trimestrielle",4,IF(C14="Semestrielle",2,1))))</f>
        <v/>
      </c>
      <c r="T28" s="16">
        <f>IF(AD28=0,"",IF(C12="",0,C12)/IF(C14="Mensuelle",12,IF(C14="Trimestrielle",4,IF(C14="Semestrielle",2,1))))</f>
        <v/>
      </c>
      <c r="U28" s="16">
        <f>IF(S28="","",(S28+T28)*C13/100)</f>
        <v/>
      </c>
      <c r="V28" s="16">
        <f>IF(S28="","",S28+T28+U28)</f>
        <v/>
      </c>
      <c r="W28" s="14">
        <f>IF(AD28=0,"",IF(LEFT(L28,5)="Geler","❄ Gelée",IF(H28="",IF(F28&lt;=TODAY(),"⚠ Indice attendu","À venir"),IF(F28&lt;=TODAY(),"✔ Calculable","Indice connu – à venir"))))</f>
        <v/>
      </c>
      <c r="X28" s="35" t="n"/>
      <c r="Y28" s="13" t="n"/>
      <c r="Z28" s="44" t="n"/>
      <c r="AA28" s="44" t="n"/>
      <c r="AB28" s="13" t="n"/>
      <c r="AC28" s="14">
        <f>IF(AND(AD28=1,F28&lt;=TODAY(),O28&lt;&gt;""),1,0)</f>
        <v/>
      </c>
      <c r="AD28" s="14">
        <f>IF(F28="",0,IF(AND(ISNUMBER(C10),F28&gt;C10),0,1))</f>
        <v/>
      </c>
    </row>
    <row r="29">
      <c r="E29" s="14" t="n">
        <v>2</v>
      </c>
      <c r="F29" s="15">
        <f>IF(OR(C3="",C8="",C17=""),"",EDATE(C8,12*C17*E29))</f>
        <v/>
      </c>
      <c r="G29" s="14">
        <f>IF(AD29=0,"",IFERROR(TEXT(VALUE(LEFT(C16,4))+E29*C17,"0")&amp;RIGHT(C16,3),""))</f>
        <v/>
      </c>
      <c r="H29" s="28">
        <f>IF(AD29=0,"",IF(OR(G29="",C15=""),"",IFERROR(IF(SUMIFS(INDEX(Indices!$A:$P,0,MATCH(C15,Indices!$1:$1,0)+1),INDEX(Indices!$A:$P,0,MATCH(C15,Indices!$1:$1,0)),G29)=0,"",SUMIFS(INDEX(Indices!$A:$P,0,MATCH(C15,Indices!$1:$1,0)+1),INDEX(Indices!$A:$P,0,MATCH(C15,Indices!$1:$1,0)),G29)),"")))</f>
        <v/>
      </c>
      <c r="I29" s="14">
        <f>IF(AD29=0,"",IF(C18="Base fixe",C16,IF(L28="Geler – rattrapage possible",I28,G28)))</f>
        <v/>
      </c>
      <c r="J29" s="28">
        <f>IF(AD29=0,"",IF(OR(I29="",C15=""),"",IFERROR(IF(SUMIFS(INDEX(Indices!$A:$P,0,MATCH(C15,Indices!$1:$1,0)+1),INDEX(Indices!$A:$P,0,MATCH(C15,Indices!$1:$1,0)),I29)=0,"",SUMIFS(INDEX(Indices!$A:$P,0,MATCH(C15,Indices!$1:$1,0)+1),INDEX(Indices!$A:$P,0,MATCH(C15,Indices!$1:$1,0)),I29)),"")))</f>
        <v/>
      </c>
      <c r="K29" s="42">
        <f>IF(OR(H29="",J29=""),"",H29/J29)</f>
        <v/>
      </c>
      <c r="L29" s="13" t="n"/>
      <c r="M29" s="16">
        <f>IF(AD29=0,"",IF(C18="Base fixe",C11,O28))</f>
        <v/>
      </c>
      <c r="N29" s="16">
        <f>IF(OR(K29="",M29=""),"",ROUND(M29*K29,2))</f>
        <v/>
      </c>
      <c r="O29" s="16">
        <f>IF(AD29=0,"",IF(LEFT(L29,5)="Geler",P29,IF(N29="","",IF(C19="",N29,MIN(N29,ROUND(M29*(1+C19/100)^IF(C18="Base fixe",E29*C17,VALUE(LEFT(G29,4))-VALUE(LEFT(I29,4))),2))))))</f>
        <v/>
      </c>
      <c r="P29" s="16">
        <f>IF(AD29=0,"",O28)</f>
        <v/>
      </c>
      <c r="Q29" s="43">
        <f>IF(OR(O29="",P29=""),"",O29/P29-1)</f>
        <v/>
      </c>
      <c r="R29" s="16">
        <f>IF(O29="","",O29/12)</f>
        <v/>
      </c>
      <c r="S29" s="16">
        <f>IF(O29="","",O29/IF(C14="Mensuelle",12,IF(C14="Trimestrielle",4,IF(C14="Semestrielle",2,1))))</f>
        <v/>
      </c>
      <c r="T29" s="16">
        <f>IF(AD29=0,"",IF(C12="",0,C12)/IF(C14="Mensuelle",12,IF(C14="Trimestrielle",4,IF(C14="Semestrielle",2,1))))</f>
        <v/>
      </c>
      <c r="U29" s="16">
        <f>IF(S29="","",(S29+T29)*C13/100)</f>
        <v/>
      </c>
      <c r="V29" s="16">
        <f>IF(S29="","",S29+T29+U29)</f>
        <v/>
      </c>
      <c r="W29" s="14">
        <f>IF(AD29=0,"",IF(LEFT(L29,5)="Geler","❄ Gelée",IF(H29="",IF(F29&lt;=TODAY(),"⚠ Indice attendu","À venir"),IF(F29&lt;=TODAY(),"✔ Calculable","Indice connu – à venir"))))</f>
        <v/>
      </c>
      <c r="X29" s="35" t="n"/>
      <c r="Y29" s="13" t="n"/>
      <c r="Z29" s="44" t="n"/>
      <c r="AA29" s="44" t="n"/>
      <c r="AB29" s="13" t="n"/>
      <c r="AC29" s="14">
        <f>IF(AND(AD29=1,F29&lt;=TODAY(),O29&lt;&gt;""),1,0)</f>
        <v/>
      </c>
      <c r="AD29" s="14">
        <f>IF(F29="",0,IF(AND(ISNUMBER(C10),F29&gt;C10),0,1))</f>
        <v/>
      </c>
    </row>
    <row r="30">
      <c r="E30" s="14" t="n">
        <v>3</v>
      </c>
      <c r="F30" s="15">
        <f>IF(OR(C3="",C8="",C17=""),"",EDATE(C8,12*C17*E30))</f>
        <v/>
      </c>
      <c r="G30" s="14">
        <f>IF(AD30=0,"",IFERROR(TEXT(VALUE(LEFT(C16,4))+E30*C17,"0")&amp;RIGHT(C16,3),""))</f>
        <v/>
      </c>
      <c r="H30" s="28">
        <f>IF(AD30=0,"",IF(OR(G30="",C15=""),"",IFERROR(IF(SUMIFS(INDEX(Indices!$A:$P,0,MATCH(C15,Indices!$1:$1,0)+1),INDEX(Indices!$A:$P,0,MATCH(C15,Indices!$1:$1,0)),G30)=0,"",SUMIFS(INDEX(Indices!$A:$P,0,MATCH(C15,Indices!$1:$1,0)+1),INDEX(Indices!$A:$P,0,MATCH(C15,Indices!$1:$1,0)),G30)),"")))</f>
        <v/>
      </c>
      <c r="I30" s="14">
        <f>IF(AD30=0,"",IF(C18="Base fixe",C16,IF(L29="Geler – rattrapage possible",I29,G29)))</f>
        <v/>
      </c>
      <c r="J30" s="28">
        <f>IF(AD30=0,"",IF(OR(I30="",C15=""),"",IFERROR(IF(SUMIFS(INDEX(Indices!$A:$P,0,MATCH(C15,Indices!$1:$1,0)+1),INDEX(Indices!$A:$P,0,MATCH(C15,Indices!$1:$1,0)),I30)=0,"",SUMIFS(INDEX(Indices!$A:$P,0,MATCH(C15,Indices!$1:$1,0)+1),INDEX(Indices!$A:$P,0,MATCH(C15,Indices!$1:$1,0)),I30)),"")))</f>
        <v/>
      </c>
      <c r="K30" s="42">
        <f>IF(OR(H30="",J30=""),"",H30/J30)</f>
        <v/>
      </c>
      <c r="L30" s="13" t="n"/>
      <c r="M30" s="16">
        <f>IF(AD30=0,"",IF(C18="Base fixe",C11,O29))</f>
        <v/>
      </c>
      <c r="N30" s="16">
        <f>IF(OR(K30="",M30=""),"",ROUND(M30*K30,2))</f>
        <v/>
      </c>
      <c r="O30" s="16">
        <f>IF(AD30=0,"",IF(LEFT(L30,5)="Geler",P30,IF(N30="","",IF(C19="",N30,MIN(N30,ROUND(M30*(1+C19/100)^IF(C18="Base fixe",E30*C17,VALUE(LEFT(G30,4))-VALUE(LEFT(I30,4))),2))))))</f>
        <v/>
      </c>
      <c r="P30" s="16">
        <f>IF(AD30=0,"",O29)</f>
        <v/>
      </c>
      <c r="Q30" s="43">
        <f>IF(OR(O30="",P30=""),"",O30/P30-1)</f>
        <v/>
      </c>
      <c r="R30" s="16">
        <f>IF(O30="","",O30/12)</f>
        <v/>
      </c>
      <c r="S30" s="16">
        <f>IF(O30="","",O30/IF(C14="Mensuelle",12,IF(C14="Trimestrielle",4,IF(C14="Semestrielle",2,1))))</f>
        <v/>
      </c>
      <c r="T30" s="16">
        <f>IF(AD30=0,"",IF(C12="",0,C12)/IF(C14="Mensuelle",12,IF(C14="Trimestrielle",4,IF(C14="Semestrielle",2,1))))</f>
        <v/>
      </c>
      <c r="U30" s="16">
        <f>IF(S30="","",(S30+T30)*C13/100)</f>
        <v/>
      </c>
      <c r="V30" s="16">
        <f>IF(S30="","",S30+T30+U30)</f>
        <v/>
      </c>
      <c r="W30" s="14">
        <f>IF(AD30=0,"",IF(LEFT(L30,5)="Geler","❄ Gelée",IF(H30="",IF(F30&lt;=TODAY(),"⚠ Indice attendu","À venir"),IF(F30&lt;=TODAY(),"✔ Calculable","Indice connu – à venir"))))</f>
        <v/>
      </c>
      <c r="X30" s="35" t="n"/>
      <c r="Y30" s="13" t="n"/>
      <c r="Z30" s="44" t="n"/>
      <c r="AA30" s="44" t="n"/>
      <c r="AB30" s="13" t="n"/>
      <c r="AC30" s="14">
        <f>IF(AND(AD30=1,F30&lt;=TODAY(),O30&lt;&gt;""),1,0)</f>
        <v/>
      </c>
      <c r="AD30" s="14">
        <f>IF(F30="",0,IF(AND(ISNUMBER(C10),F30&gt;C10),0,1))</f>
        <v/>
      </c>
    </row>
    <row r="31">
      <c r="E31" s="14" t="n">
        <v>4</v>
      </c>
      <c r="F31" s="15">
        <f>IF(OR(C3="",C8="",C17=""),"",EDATE(C8,12*C17*E31))</f>
        <v/>
      </c>
      <c r="G31" s="14">
        <f>IF(AD31=0,"",IFERROR(TEXT(VALUE(LEFT(C16,4))+E31*C17,"0")&amp;RIGHT(C16,3),""))</f>
        <v/>
      </c>
      <c r="H31" s="28">
        <f>IF(AD31=0,"",IF(OR(G31="",C15=""),"",IFERROR(IF(SUMIFS(INDEX(Indices!$A:$P,0,MATCH(C15,Indices!$1:$1,0)+1),INDEX(Indices!$A:$P,0,MATCH(C15,Indices!$1:$1,0)),G31)=0,"",SUMIFS(INDEX(Indices!$A:$P,0,MATCH(C15,Indices!$1:$1,0)+1),INDEX(Indices!$A:$P,0,MATCH(C15,Indices!$1:$1,0)),G31)),"")))</f>
        <v/>
      </c>
      <c r="I31" s="14">
        <f>IF(AD31=0,"",IF(C18="Base fixe",C16,IF(L30="Geler – rattrapage possible",I30,G30)))</f>
        <v/>
      </c>
      <c r="J31" s="28">
        <f>IF(AD31=0,"",IF(OR(I31="",C15=""),"",IFERROR(IF(SUMIFS(INDEX(Indices!$A:$P,0,MATCH(C15,Indices!$1:$1,0)+1),INDEX(Indices!$A:$P,0,MATCH(C15,Indices!$1:$1,0)),I31)=0,"",SUMIFS(INDEX(Indices!$A:$P,0,MATCH(C15,Indices!$1:$1,0)+1),INDEX(Indices!$A:$P,0,MATCH(C15,Indices!$1:$1,0)),I31)),"")))</f>
        <v/>
      </c>
      <c r="K31" s="42">
        <f>IF(OR(H31="",J31=""),"",H31/J31)</f>
        <v/>
      </c>
      <c r="L31" s="13" t="n"/>
      <c r="M31" s="16">
        <f>IF(AD31=0,"",IF(C18="Base fixe",C11,O30))</f>
        <v/>
      </c>
      <c r="N31" s="16">
        <f>IF(OR(K31="",M31=""),"",ROUND(M31*K31,2))</f>
        <v/>
      </c>
      <c r="O31" s="16">
        <f>IF(AD31=0,"",IF(LEFT(L31,5)="Geler",P31,IF(N31="","",IF(C19="",N31,MIN(N31,ROUND(M31*(1+C19/100)^IF(C18="Base fixe",E31*C17,VALUE(LEFT(G31,4))-VALUE(LEFT(I31,4))),2))))))</f>
        <v/>
      </c>
      <c r="P31" s="16">
        <f>IF(AD31=0,"",O30)</f>
        <v/>
      </c>
      <c r="Q31" s="43">
        <f>IF(OR(O31="",P31=""),"",O31/P31-1)</f>
        <v/>
      </c>
      <c r="R31" s="16">
        <f>IF(O31="","",O31/12)</f>
        <v/>
      </c>
      <c r="S31" s="16">
        <f>IF(O31="","",O31/IF(C14="Mensuelle",12,IF(C14="Trimestrielle",4,IF(C14="Semestrielle",2,1))))</f>
        <v/>
      </c>
      <c r="T31" s="16">
        <f>IF(AD31=0,"",IF(C12="",0,C12)/IF(C14="Mensuelle",12,IF(C14="Trimestrielle",4,IF(C14="Semestrielle",2,1))))</f>
        <v/>
      </c>
      <c r="U31" s="16">
        <f>IF(S31="","",(S31+T31)*C13/100)</f>
        <v/>
      </c>
      <c r="V31" s="16">
        <f>IF(S31="","",S31+T31+U31)</f>
        <v/>
      </c>
      <c r="W31" s="14">
        <f>IF(AD31=0,"",IF(LEFT(L31,5)="Geler","❄ Gelée",IF(H31="",IF(F31&lt;=TODAY(),"⚠ Indice attendu","À venir"),IF(F31&lt;=TODAY(),"✔ Calculable","Indice connu – à venir"))))</f>
        <v/>
      </c>
      <c r="X31" s="35" t="n"/>
      <c r="Y31" s="13" t="n"/>
      <c r="Z31" s="44" t="n"/>
      <c r="AA31" s="44" t="n"/>
      <c r="AB31" s="13" t="n"/>
      <c r="AC31" s="14">
        <f>IF(AND(AD31=1,F31&lt;=TODAY(),O31&lt;&gt;""),1,0)</f>
        <v/>
      </c>
      <c r="AD31" s="14">
        <f>IF(F31="",0,IF(AND(ISNUMBER(C10),F31&gt;C10),0,1))</f>
        <v/>
      </c>
    </row>
    <row r="32">
      <c r="E32" s="14" t="n">
        <v>5</v>
      </c>
      <c r="F32" s="15">
        <f>IF(OR(C3="",C8="",C17=""),"",EDATE(C8,12*C17*E32))</f>
        <v/>
      </c>
      <c r="G32" s="14">
        <f>IF(AD32=0,"",IFERROR(TEXT(VALUE(LEFT(C16,4))+E32*C17,"0")&amp;RIGHT(C16,3),""))</f>
        <v/>
      </c>
      <c r="H32" s="28">
        <f>IF(AD32=0,"",IF(OR(G32="",C15=""),"",IFERROR(IF(SUMIFS(INDEX(Indices!$A:$P,0,MATCH(C15,Indices!$1:$1,0)+1),INDEX(Indices!$A:$P,0,MATCH(C15,Indices!$1:$1,0)),G32)=0,"",SUMIFS(INDEX(Indices!$A:$P,0,MATCH(C15,Indices!$1:$1,0)+1),INDEX(Indices!$A:$P,0,MATCH(C15,Indices!$1:$1,0)),G32)),"")))</f>
        <v/>
      </c>
      <c r="I32" s="14">
        <f>IF(AD32=0,"",IF(C18="Base fixe",C16,IF(L31="Geler – rattrapage possible",I31,G31)))</f>
        <v/>
      </c>
      <c r="J32" s="28">
        <f>IF(AD32=0,"",IF(OR(I32="",C15=""),"",IFERROR(IF(SUMIFS(INDEX(Indices!$A:$P,0,MATCH(C15,Indices!$1:$1,0)+1),INDEX(Indices!$A:$P,0,MATCH(C15,Indices!$1:$1,0)),I32)=0,"",SUMIFS(INDEX(Indices!$A:$P,0,MATCH(C15,Indices!$1:$1,0)+1),INDEX(Indices!$A:$P,0,MATCH(C15,Indices!$1:$1,0)),I32)),"")))</f>
        <v/>
      </c>
      <c r="K32" s="42">
        <f>IF(OR(H32="",J32=""),"",H32/J32)</f>
        <v/>
      </c>
      <c r="L32" s="13" t="n"/>
      <c r="M32" s="16">
        <f>IF(AD32=0,"",IF(C18="Base fixe",C11,O31))</f>
        <v/>
      </c>
      <c r="N32" s="16">
        <f>IF(OR(K32="",M32=""),"",ROUND(M32*K32,2))</f>
        <v/>
      </c>
      <c r="O32" s="16">
        <f>IF(AD32=0,"",IF(LEFT(L32,5)="Geler",P32,IF(N32="","",IF(C19="",N32,MIN(N32,ROUND(M32*(1+C19/100)^IF(C18="Base fixe",E32*C17,VALUE(LEFT(G32,4))-VALUE(LEFT(I32,4))),2))))))</f>
        <v/>
      </c>
      <c r="P32" s="16">
        <f>IF(AD32=0,"",O31)</f>
        <v/>
      </c>
      <c r="Q32" s="43">
        <f>IF(OR(O32="",P32=""),"",O32/P32-1)</f>
        <v/>
      </c>
      <c r="R32" s="16">
        <f>IF(O32="","",O32/12)</f>
        <v/>
      </c>
      <c r="S32" s="16">
        <f>IF(O32="","",O32/IF(C14="Mensuelle",12,IF(C14="Trimestrielle",4,IF(C14="Semestrielle",2,1))))</f>
        <v/>
      </c>
      <c r="T32" s="16">
        <f>IF(AD32=0,"",IF(C12="",0,C12)/IF(C14="Mensuelle",12,IF(C14="Trimestrielle",4,IF(C14="Semestrielle",2,1))))</f>
        <v/>
      </c>
      <c r="U32" s="16">
        <f>IF(S32="","",(S32+T32)*C13/100)</f>
        <v/>
      </c>
      <c r="V32" s="16">
        <f>IF(S32="","",S32+T32+U32)</f>
        <v/>
      </c>
      <c r="W32" s="14">
        <f>IF(AD32=0,"",IF(LEFT(L32,5)="Geler","❄ Gelée",IF(H32="",IF(F32&lt;=TODAY(),"⚠ Indice attendu","À venir"),IF(F32&lt;=TODAY(),"✔ Calculable","Indice connu – à venir"))))</f>
        <v/>
      </c>
      <c r="X32" s="35" t="n"/>
      <c r="Y32" s="13" t="n"/>
      <c r="Z32" s="44" t="n"/>
      <c r="AA32" s="44" t="n"/>
      <c r="AB32" s="13" t="n"/>
      <c r="AC32" s="14">
        <f>IF(AND(AD32=1,F32&lt;=TODAY(),O32&lt;&gt;""),1,0)</f>
        <v/>
      </c>
      <c r="AD32" s="14">
        <f>IF(F32="",0,IF(AND(ISNUMBER(C10),F32&gt;C10),0,1))</f>
        <v/>
      </c>
    </row>
    <row r="33">
      <c r="E33" s="14" t="n">
        <v>6</v>
      </c>
      <c r="F33" s="15">
        <f>IF(OR(C3="",C8="",C17=""),"",EDATE(C8,12*C17*E33))</f>
        <v/>
      </c>
      <c r="G33" s="14">
        <f>IF(AD33=0,"",IFERROR(TEXT(VALUE(LEFT(C16,4))+E33*C17,"0")&amp;RIGHT(C16,3),""))</f>
        <v/>
      </c>
      <c r="H33" s="28">
        <f>IF(AD33=0,"",IF(OR(G33="",C15=""),"",IFERROR(IF(SUMIFS(INDEX(Indices!$A:$P,0,MATCH(C15,Indices!$1:$1,0)+1),INDEX(Indices!$A:$P,0,MATCH(C15,Indices!$1:$1,0)),G33)=0,"",SUMIFS(INDEX(Indices!$A:$P,0,MATCH(C15,Indices!$1:$1,0)+1),INDEX(Indices!$A:$P,0,MATCH(C15,Indices!$1:$1,0)),G33)),"")))</f>
        <v/>
      </c>
      <c r="I33" s="14">
        <f>IF(AD33=0,"",IF(C18="Base fixe",C16,IF(L32="Geler – rattrapage possible",I32,G32)))</f>
        <v/>
      </c>
      <c r="J33" s="28">
        <f>IF(AD33=0,"",IF(OR(I33="",C15=""),"",IFERROR(IF(SUMIFS(INDEX(Indices!$A:$P,0,MATCH(C15,Indices!$1:$1,0)+1),INDEX(Indices!$A:$P,0,MATCH(C15,Indices!$1:$1,0)),I33)=0,"",SUMIFS(INDEX(Indices!$A:$P,0,MATCH(C15,Indices!$1:$1,0)+1),INDEX(Indices!$A:$P,0,MATCH(C15,Indices!$1:$1,0)),I33)),"")))</f>
        <v/>
      </c>
      <c r="K33" s="42">
        <f>IF(OR(H33="",J33=""),"",H33/J33)</f>
        <v/>
      </c>
      <c r="L33" s="13" t="n"/>
      <c r="M33" s="16">
        <f>IF(AD33=0,"",IF(C18="Base fixe",C11,O32))</f>
        <v/>
      </c>
      <c r="N33" s="16">
        <f>IF(OR(K33="",M33=""),"",ROUND(M33*K33,2))</f>
        <v/>
      </c>
      <c r="O33" s="16">
        <f>IF(AD33=0,"",IF(LEFT(L33,5)="Geler",P33,IF(N33="","",IF(C19="",N33,MIN(N33,ROUND(M33*(1+C19/100)^IF(C18="Base fixe",E33*C17,VALUE(LEFT(G33,4))-VALUE(LEFT(I33,4))),2))))))</f>
        <v/>
      </c>
      <c r="P33" s="16">
        <f>IF(AD33=0,"",O32)</f>
        <v/>
      </c>
      <c r="Q33" s="43">
        <f>IF(OR(O33="",P33=""),"",O33/P33-1)</f>
        <v/>
      </c>
      <c r="R33" s="16">
        <f>IF(O33="","",O33/12)</f>
        <v/>
      </c>
      <c r="S33" s="16">
        <f>IF(O33="","",O33/IF(C14="Mensuelle",12,IF(C14="Trimestrielle",4,IF(C14="Semestrielle",2,1))))</f>
        <v/>
      </c>
      <c r="T33" s="16">
        <f>IF(AD33=0,"",IF(C12="",0,C12)/IF(C14="Mensuelle",12,IF(C14="Trimestrielle",4,IF(C14="Semestrielle",2,1))))</f>
        <v/>
      </c>
      <c r="U33" s="16">
        <f>IF(S33="","",(S33+T33)*C13/100)</f>
        <v/>
      </c>
      <c r="V33" s="16">
        <f>IF(S33="","",S33+T33+U33)</f>
        <v/>
      </c>
      <c r="W33" s="14">
        <f>IF(AD33=0,"",IF(LEFT(L33,5)="Geler","❄ Gelée",IF(H33="",IF(F33&lt;=TODAY(),"⚠ Indice attendu","À venir"),IF(F33&lt;=TODAY(),"✔ Calculable","Indice connu – à venir"))))</f>
        <v/>
      </c>
      <c r="X33" s="35" t="n"/>
      <c r="Y33" s="13" t="n"/>
      <c r="Z33" s="44" t="n"/>
      <c r="AA33" s="44" t="n"/>
      <c r="AB33" s="13" t="n"/>
      <c r="AC33" s="14">
        <f>IF(AND(AD33=1,F33&lt;=TODAY(),O33&lt;&gt;""),1,0)</f>
        <v/>
      </c>
      <c r="AD33" s="14">
        <f>IF(F33="",0,IF(AND(ISNUMBER(C10),F33&gt;C10),0,1))</f>
        <v/>
      </c>
    </row>
    <row r="34">
      <c r="E34" s="14" t="n">
        <v>7</v>
      </c>
      <c r="F34" s="15">
        <f>IF(OR(C3="",C8="",C17=""),"",EDATE(C8,12*C17*E34))</f>
        <v/>
      </c>
      <c r="G34" s="14">
        <f>IF(AD34=0,"",IFERROR(TEXT(VALUE(LEFT(C16,4))+E34*C17,"0")&amp;RIGHT(C16,3),""))</f>
        <v/>
      </c>
      <c r="H34" s="28">
        <f>IF(AD34=0,"",IF(OR(G34="",C15=""),"",IFERROR(IF(SUMIFS(INDEX(Indices!$A:$P,0,MATCH(C15,Indices!$1:$1,0)+1),INDEX(Indices!$A:$P,0,MATCH(C15,Indices!$1:$1,0)),G34)=0,"",SUMIFS(INDEX(Indices!$A:$P,0,MATCH(C15,Indices!$1:$1,0)+1),INDEX(Indices!$A:$P,0,MATCH(C15,Indices!$1:$1,0)),G34)),"")))</f>
        <v/>
      </c>
      <c r="I34" s="14">
        <f>IF(AD34=0,"",IF(C18="Base fixe",C16,IF(L33="Geler – rattrapage possible",I33,G33)))</f>
        <v/>
      </c>
      <c r="J34" s="28">
        <f>IF(AD34=0,"",IF(OR(I34="",C15=""),"",IFERROR(IF(SUMIFS(INDEX(Indices!$A:$P,0,MATCH(C15,Indices!$1:$1,0)+1),INDEX(Indices!$A:$P,0,MATCH(C15,Indices!$1:$1,0)),I34)=0,"",SUMIFS(INDEX(Indices!$A:$P,0,MATCH(C15,Indices!$1:$1,0)+1),INDEX(Indices!$A:$P,0,MATCH(C15,Indices!$1:$1,0)),I34)),"")))</f>
        <v/>
      </c>
      <c r="K34" s="42">
        <f>IF(OR(H34="",J34=""),"",H34/J34)</f>
        <v/>
      </c>
      <c r="L34" s="13" t="n"/>
      <c r="M34" s="16">
        <f>IF(AD34=0,"",IF(C18="Base fixe",C11,O33))</f>
        <v/>
      </c>
      <c r="N34" s="16">
        <f>IF(OR(K34="",M34=""),"",ROUND(M34*K34,2))</f>
        <v/>
      </c>
      <c r="O34" s="16">
        <f>IF(AD34=0,"",IF(LEFT(L34,5)="Geler",P34,IF(N34="","",IF(C19="",N34,MIN(N34,ROUND(M34*(1+C19/100)^IF(C18="Base fixe",E34*C17,VALUE(LEFT(G34,4))-VALUE(LEFT(I34,4))),2))))))</f>
        <v/>
      </c>
      <c r="P34" s="16">
        <f>IF(AD34=0,"",O33)</f>
        <v/>
      </c>
      <c r="Q34" s="43">
        <f>IF(OR(O34="",P34=""),"",O34/P34-1)</f>
        <v/>
      </c>
      <c r="R34" s="16">
        <f>IF(O34="","",O34/12)</f>
        <v/>
      </c>
      <c r="S34" s="16">
        <f>IF(O34="","",O34/IF(C14="Mensuelle",12,IF(C14="Trimestrielle",4,IF(C14="Semestrielle",2,1))))</f>
        <v/>
      </c>
      <c r="T34" s="16">
        <f>IF(AD34=0,"",IF(C12="",0,C12)/IF(C14="Mensuelle",12,IF(C14="Trimestrielle",4,IF(C14="Semestrielle",2,1))))</f>
        <v/>
      </c>
      <c r="U34" s="16">
        <f>IF(S34="","",(S34+T34)*C13/100)</f>
        <v/>
      </c>
      <c r="V34" s="16">
        <f>IF(S34="","",S34+T34+U34)</f>
        <v/>
      </c>
      <c r="W34" s="14">
        <f>IF(AD34=0,"",IF(LEFT(L34,5)="Geler","❄ Gelée",IF(H34="",IF(F34&lt;=TODAY(),"⚠ Indice attendu","À venir"),IF(F34&lt;=TODAY(),"✔ Calculable","Indice connu – à venir"))))</f>
        <v/>
      </c>
      <c r="X34" s="35" t="n"/>
      <c r="Y34" s="13" t="n"/>
      <c r="Z34" s="44" t="n"/>
      <c r="AA34" s="44" t="n"/>
      <c r="AB34" s="13" t="n"/>
      <c r="AC34" s="14">
        <f>IF(AND(AD34=1,F34&lt;=TODAY(),O34&lt;&gt;""),1,0)</f>
        <v/>
      </c>
      <c r="AD34" s="14">
        <f>IF(F34="",0,IF(AND(ISNUMBER(C10),F34&gt;C10),0,1))</f>
        <v/>
      </c>
    </row>
    <row r="35">
      <c r="E35" s="14" t="n">
        <v>8</v>
      </c>
      <c r="F35" s="15">
        <f>IF(OR(C3="",C8="",C17=""),"",EDATE(C8,12*C17*E35))</f>
        <v/>
      </c>
      <c r="G35" s="14">
        <f>IF(AD35=0,"",IFERROR(TEXT(VALUE(LEFT(C16,4))+E35*C17,"0")&amp;RIGHT(C16,3),""))</f>
        <v/>
      </c>
      <c r="H35" s="28">
        <f>IF(AD35=0,"",IF(OR(G35="",C15=""),"",IFERROR(IF(SUMIFS(INDEX(Indices!$A:$P,0,MATCH(C15,Indices!$1:$1,0)+1),INDEX(Indices!$A:$P,0,MATCH(C15,Indices!$1:$1,0)),G35)=0,"",SUMIFS(INDEX(Indices!$A:$P,0,MATCH(C15,Indices!$1:$1,0)+1),INDEX(Indices!$A:$P,0,MATCH(C15,Indices!$1:$1,0)),G35)),"")))</f>
        <v/>
      </c>
      <c r="I35" s="14">
        <f>IF(AD35=0,"",IF(C18="Base fixe",C16,IF(L34="Geler – rattrapage possible",I34,G34)))</f>
        <v/>
      </c>
      <c r="J35" s="28">
        <f>IF(AD35=0,"",IF(OR(I35="",C15=""),"",IFERROR(IF(SUMIFS(INDEX(Indices!$A:$P,0,MATCH(C15,Indices!$1:$1,0)+1),INDEX(Indices!$A:$P,0,MATCH(C15,Indices!$1:$1,0)),I35)=0,"",SUMIFS(INDEX(Indices!$A:$P,0,MATCH(C15,Indices!$1:$1,0)+1),INDEX(Indices!$A:$P,0,MATCH(C15,Indices!$1:$1,0)),I35)),"")))</f>
        <v/>
      </c>
      <c r="K35" s="42">
        <f>IF(OR(H35="",J35=""),"",H35/J35)</f>
        <v/>
      </c>
      <c r="L35" s="13" t="n"/>
      <c r="M35" s="16">
        <f>IF(AD35=0,"",IF(C18="Base fixe",C11,O34))</f>
        <v/>
      </c>
      <c r="N35" s="16">
        <f>IF(OR(K35="",M35=""),"",ROUND(M35*K35,2))</f>
        <v/>
      </c>
      <c r="O35" s="16">
        <f>IF(AD35=0,"",IF(LEFT(L35,5)="Geler",P35,IF(N35="","",IF(C19="",N35,MIN(N35,ROUND(M35*(1+C19/100)^IF(C18="Base fixe",E35*C17,VALUE(LEFT(G35,4))-VALUE(LEFT(I35,4))),2))))))</f>
        <v/>
      </c>
      <c r="P35" s="16">
        <f>IF(AD35=0,"",O34)</f>
        <v/>
      </c>
      <c r="Q35" s="43">
        <f>IF(OR(O35="",P35=""),"",O35/P35-1)</f>
        <v/>
      </c>
      <c r="R35" s="16">
        <f>IF(O35="","",O35/12)</f>
        <v/>
      </c>
      <c r="S35" s="16">
        <f>IF(O35="","",O35/IF(C14="Mensuelle",12,IF(C14="Trimestrielle",4,IF(C14="Semestrielle",2,1))))</f>
        <v/>
      </c>
      <c r="T35" s="16">
        <f>IF(AD35=0,"",IF(C12="",0,C12)/IF(C14="Mensuelle",12,IF(C14="Trimestrielle",4,IF(C14="Semestrielle",2,1))))</f>
        <v/>
      </c>
      <c r="U35" s="16">
        <f>IF(S35="","",(S35+T35)*C13/100)</f>
        <v/>
      </c>
      <c r="V35" s="16">
        <f>IF(S35="","",S35+T35+U35)</f>
        <v/>
      </c>
      <c r="W35" s="14">
        <f>IF(AD35=0,"",IF(LEFT(L35,5)="Geler","❄ Gelée",IF(H35="",IF(F35&lt;=TODAY(),"⚠ Indice attendu","À venir"),IF(F35&lt;=TODAY(),"✔ Calculable","Indice connu – à venir"))))</f>
        <v/>
      </c>
      <c r="X35" s="35" t="n"/>
      <c r="Y35" s="13" t="n"/>
      <c r="Z35" s="44" t="n"/>
      <c r="AA35" s="44" t="n"/>
      <c r="AB35" s="13" t="n"/>
      <c r="AC35" s="14">
        <f>IF(AND(AD35=1,F35&lt;=TODAY(),O35&lt;&gt;""),1,0)</f>
        <v/>
      </c>
      <c r="AD35" s="14">
        <f>IF(F35="",0,IF(AND(ISNUMBER(C10),F35&gt;C10),0,1))</f>
        <v/>
      </c>
    </row>
    <row r="36">
      <c r="E36" s="14" t="n">
        <v>9</v>
      </c>
      <c r="F36" s="15">
        <f>IF(OR(C3="",C8="",C17=""),"",EDATE(C8,12*C17*E36))</f>
        <v/>
      </c>
      <c r="G36" s="14">
        <f>IF(AD36=0,"",IFERROR(TEXT(VALUE(LEFT(C16,4))+E36*C17,"0")&amp;RIGHT(C16,3),""))</f>
        <v/>
      </c>
      <c r="H36" s="28">
        <f>IF(AD36=0,"",IF(OR(G36="",C15=""),"",IFERROR(IF(SUMIFS(INDEX(Indices!$A:$P,0,MATCH(C15,Indices!$1:$1,0)+1),INDEX(Indices!$A:$P,0,MATCH(C15,Indices!$1:$1,0)),G36)=0,"",SUMIFS(INDEX(Indices!$A:$P,0,MATCH(C15,Indices!$1:$1,0)+1),INDEX(Indices!$A:$P,0,MATCH(C15,Indices!$1:$1,0)),G36)),"")))</f>
        <v/>
      </c>
      <c r="I36" s="14">
        <f>IF(AD36=0,"",IF(C18="Base fixe",C16,IF(L35="Geler – rattrapage possible",I35,G35)))</f>
        <v/>
      </c>
      <c r="J36" s="28">
        <f>IF(AD36=0,"",IF(OR(I36="",C15=""),"",IFERROR(IF(SUMIFS(INDEX(Indices!$A:$P,0,MATCH(C15,Indices!$1:$1,0)+1),INDEX(Indices!$A:$P,0,MATCH(C15,Indices!$1:$1,0)),I36)=0,"",SUMIFS(INDEX(Indices!$A:$P,0,MATCH(C15,Indices!$1:$1,0)+1),INDEX(Indices!$A:$P,0,MATCH(C15,Indices!$1:$1,0)),I36)),"")))</f>
        <v/>
      </c>
      <c r="K36" s="42">
        <f>IF(OR(H36="",J36=""),"",H36/J36)</f>
        <v/>
      </c>
      <c r="L36" s="13" t="n"/>
      <c r="M36" s="16">
        <f>IF(AD36=0,"",IF(C18="Base fixe",C11,O35))</f>
        <v/>
      </c>
      <c r="N36" s="16">
        <f>IF(OR(K36="",M36=""),"",ROUND(M36*K36,2))</f>
        <v/>
      </c>
      <c r="O36" s="16">
        <f>IF(AD36=0,"",IF(LEFT(L36,5)="Geler",P36,IF(N36="","",IF(C19="",N36,MIN(N36,ROUND(M36*(1+C19/100)^IF(C18="Base fixe",E36*C17,VALUE(LEFT(G36,4))-VALUE(LEFT(I36,4))),2))))))</f>
        <v/>
      </c>
      <c r="P36" s="16">
        <f>IF(AD36=0,"",O35)</f>
        <v/>
      </c>
      <c r="Q36" s="43">
        <f>IF(OR(O36="",P36=""),"",O36/P36-1)</f>
        <v/>
      </c>
      <c r="R36" s="16">
        <f>IF(O36="","",O36/12)</f>
        <v/>
      </c>
      <c r="S36" s="16">
        <f>IF(O36="","",O36/IF(C14="Mensuelle",12,IF(C14="Trimestrielle",4,IF(C14="Semestrielle",2,1))))</f>
        <v/>
      </c>
      <c r="T36" s="16">
        <f>IF(AD36=0,"",IF(C12="",0,C12)/IF(C14="Mensuelle",12,IF(C14="Trimestrielle",4,IF(C14="Semestrielle",2,1))))</f>
        <v/>
      </c>
      <c r="U36" s="16">
        <f>IF(S36="","",(S36+T36)*C13/100)</f>
        <v/>
      </c>
      <c r="V36" s="16">
        <f>IF(S36="","",S36+T36+U36)</f>
        <v/>
      </c>
      <c r="W36" s="14">
        <f>IF(AD36=0,"",IF(LEFT(L36,5)="Geler","❄ Gelée",IF(H36="",IF(F36&lt;=TODAY(),"⚠ Indice attendu","À venir"),IF(F36&lt;=TODAY(),"✔ Calculable","Indice connu – à venir"))))</f>
        <v/>
      </c>
      <c r="X36" s="35" t="n"/>
      <c r="Y36" s="13" t="n"/>
      <c r="Z36" s="44" t="n"/>
      <c r="AA36" s="44" t="n"/>
      <c r="AB36" s="13" t="n"/>
      <c r="AC36" s="14">
        <f>IF(AND(AD36=1,F36&lt;=TODAY(),O36&lt;&gt;""),1,0)</f>
        <v/>
      </c>
      <c r="AD36" s="14">
        <f>IF(F36="",0,IF(AND(ISNUMBER(C10),F36&gt;C10),0,1))</f>
        <v/>
      </c>
    </row>
    <row r="37">
      <c r="E37" s="14" t="n">
        <v>10</v>
      </c>
      <c r="F37" s="15">
        <f>IF(OR(C3="",C8="",C17=""),"",EDATE(C8,12*C17*E37))</f>
        <v/>
      </c>
      <c r="G37" s="14">
        <f>IF(AD37=0,"",IFERROR(TEXT(VALUE(LEFT(C16,4))+E37*C17,"0")&amp;RIGHT(C16,3),""))</f>
        <v/>
      </c>
      <c r="H37" s="28">
        <f>IF(AD37=0,"",IF(OR(G37="",C15=""),"",IFERROR(IF(SUMIFS(INDEX(Indices!$A:$P,0,MATCH(C15,Indices!$1:$1,0)+1),INDEX(Indices!$A:$P,0,MATCH(C15,Indices!$1:$1,0)),G37)=0,"",SUMIFS(INDEX(Indices!$A:$P,0,MATCH(C15,Indices!$1:$1,0)+1),INDEX(Indices!$A:$P,0,MATCH(C15,Indices!$1:$1,0)),G37)),"")))</f>
        <v/>
      </c>
      <c r="I37" s="14">
        <f>IF(AD37=0,"",IF(C18="Base fixe",C16,IF(L36="Geler – rattrapage possible",I36,G36)))</f>
        <v/>
      </c>
      <c r="J37" s="28">
        <f>IF(AD37=0,"",IF(OR(I37="",C15=""),"",IFERROR(IF(SUMIFS(INDEX(Indices!$A:$P,0,MATCH(C15,Indices!$1:$1,0)+1),INDEX(Indices!$A:$P,0,MATCH(C15,Indices!$1:$1,0)),I37)=0,"",SUMIFS(INDEX(Indices!$A:$P,0,MATCH(C15,Indices!$1:$1,0)+1),INDEX(Indices!$A:$P,0,MATCH(C15,Indices!$1:$1,0)),I37)),"")))</f>
        <v/>
      </c>
      <c r="K37" s="42">
        <f>IF(OR(H37="",J37=""),"",H37/J37)</f>
        <v/>
      </c>
      <c r="L37" s="13" t="n"/>
      <c r="M37" s="16">
        <f>IF(AD37=0,"",IF(C18="Base fixe",C11,O36))</f>
        <v/>
      </c>
      <c r="N37" s="16">
        <f>IF(OR(K37="",M37=""),"",ROUND(M37*K37,2))</f>
        <v/>
      </c>
      <c r="O37" s="16">
        <f>IF(AD37=0,"",IF(LEFT(L37,5)="Geler",P37,IF(N37="","",IF(C19="",N37,MIN(N37,ROUND(M37*(1+C19/100)^IF(C18="Base fixe",E37*C17,VALUE(LEFT(G37,4))-VALUE(LEFT(I37,4))),2))))))</f>
        <v/>
      </c>
      <c r="P37" s="16">
        <f>IF(AD37=0,"",O36)</f>
        <v/>
      </c>
      <c r="Q37" s="43">
        <f>IF(OR(O37="",P37=""),"",O37/P37-1)</f>
        <v/>
      </c>
      <c r="R37" s="16">
        <f>IF(O37="","",O37/12)</f>
        <v/>
      </c>
      <c r="S37" s="16">
        <f>IF(O37="","",O37/IF(C14="Mensuelle",12,IF(C14="Trimestrielle",4,IF(C14="Semestrielle",2,1))))</f>
        <v/>
      </c>
      <c r="T37" s="16">
        <f>IF(AD37=0,"",IF(C12="",0,C12)/IF(C14="Mensuelle",12,IF(C14="Trimestrielle",4,IF(C14="Semestrielle",2,1))))</f>
        <v/>
      </c>
      <c r="U37" s="16">
        <f>IF(S37="","",(S37+T37)*C13/100)</f>
        <v/>
      </c>
      <c r="V37" s="16">
        <f>IF(S37="","",S37+T37+U37)</f>
        <v/>
      </c>
      <c r="W37" s="14">
        <f>IF(AD37=0,"",IF(LEFT(L37,5)="Geler","❄ Gelée",IF(H37="",IF(F37&lt;=TODAY(),"⚠ Indice attendu","À venir"),IF(F37&lt;=TODAY(),"✔ Calculable","Indice connu – à venir"))))</f>
        <v/>
      </c>
      <c r="X37" s="35" t="n"/>
      <c r="Y37" s="13" t="n"/>
      <c r="Z37" s="44" t="n"/>
      <c r="AA37" s="44" t="n"/>
      <c r="AB37" s="13" t="n"/>
      <c r="AC37" s="14">
        <f>IF(AND(AD37=1,F37&lt;=TODAY(),O37&lt;&gt;""),1,0)</f>
        <v/>
      </c>
      <c r="AD37" s="14">
        <f>IF(F37="",0,IF(AND(ISNUMBER(C10),F37&gt;C10),0,1))</f>
        <v/>
      </c>
    </row>
    <row r="38">
      <c r="E38" s="14" t="n">
        <v>11</v>
      </c>
      <c r="F38" s="15">
        <f>IF(OR(C3="",C8="",C17=""),"",EDATE(C8,12*C17*E38))</f>
        <v/>
      </c>
      <c r="G38" s="14">
        <f>IF(AD38=0,"",IFERROR(TEXT(VALUE(LEFT(C16,4))+E38*C17,"0")&amp;RIGHT(C16,3),""))</f>
        <v/>
      </c>
      <c r="H38" s="28">
        <f>IF(AD38=0,"",IF(OR(G38="",C15=""),"",IFERROR(IF(SUMIFS(INDEX(Indices!$A:$P,0,MATCH(C15,Indices!$1:$1,0)+1),INDEX(Indices!$A:$P,0,MATCH(C15,Indices!$1:$1,0)),G38)=0,"",SUMIFS(INDEX(Indices!$A:$P,0,MATCH(C15,Indices!$1:$1,0)+1),INDEX(Indices!$A:$P,0,MATCH(C15,Indices!$1:$1,0)),G38)),"")))</f>
        <v/>
      </c>
      <c r="I38" s="14">
        <f>IF(AD38=0,"",IF(C18="Base fixe",C16,IF(L37="Geler – rattrapage possible",I37,G37)))</f>
        <v/>
      </c>
      <c r="J38" s="28">
        <f>IF(AD38=0,"",IF(OR(I38="",C15=""),"",IFERROR(IF(SUMIFS(INDEX(Indices!$A:$P,0,MATCH(C15,Indices!$1:$1,0)+1),INDEX(Indices!$A:$P,0,MATCH(C15,Indices!$1:$1,0)),I38)=0,"",SUMIFS(INDEX(Indices!$A:$P,0,MATCH(C15,Indices!$1:$1,0)+1),INDEX(Indices!$A:$P,0,MATCH(C15,Indices!$1:$1,0)),I38)),"")))</f>
        <v/>
      </c>
      <c r="K38" s="42">
        <f>IF(OR(H38="",J38=""),"",H38/J38)</f>
        <v/>
      </c>
      <c r="L38" s="13" t="n"/>
      <c r="M38" s="16">
        <f>IF(AD38=0,"",IF(C18="Base fixe",C11,O37))</f>
        <v/>
      </c>
      <c r="N38" s="16">
        <f>IF(OR(K38="",M38=""),"",ROUND(M38*K38,2))</f>
        <v/>
      </c>
      <c r="O38" s="16">
        <f>IF(AD38=0,"",IF(LEFT(L38,5)="Geler",P38,IF(N38="","",IF(C19="",N38,MIN(N38,ROUND(M38*(1+C19/100)^IF(C18="Base fixe",E38*C17,VALUE(LEFT(G38,4))-VALUE(LEFT(I38,4))),2))))))</f>
        <v/>
      </c>
      <c r="P38" s="16">
        <f>IF(AD38=0,"",O37)</f>
        <v/>
      </c>
      <c r="Q38" s="43">
        <f>IF(OR(O38="",P38=""),"",O38/P38-1)</f>
        <v/>
      </c>
      <c r="R38" s="16">
        <f>IF(O38="","",O38/12)</f>
        <v/>
      </c>
      <c r="S38" s="16">
        <f>IF(O38="","",O38/IF(C14="Mensuelle",12,IF(C14="Trimestrielle",4,IF(C14="Semestrielle",2,1))))</f>
        <v/>
      </c>
      <c r="T38" s="16">
        <f>IF(AD38=0,"",IF(C12="",0,C12)/IF(C14="Mensuelle",12,IF(C14="Trimestrielle",4,IF(C14="Semestrielle",2,1))))</f>
        <v/>
      </c>
      <c r="U38" s="16">
        <f>IF(S38="","",(S38+T38)*C13/100)</f>
        <v/>
      </c>
      <c r="V38" s="16">
        <f>IF(S38="","",S38+T38+U38)</f>
        <v/>
      </c>
      <c r="W38" s="14">
        <f>IF(AD38=0,"",IF(LEFT(L38,5)="Geler","❄ Gelée",IF(H38="",IF(F38&lt;=TODAY(),"⚠ Indice attendu","À venir"),IF(F38&lt;=TODAY(),"✔ Calculable","Indice connu – à venir"))))</f>
        <v/>
      </c>
      <c r="X38" s="35" t="n"/>
      <c r="Y38" s="13" t="n"/>
      <c r="Z38" s="44" t="n"/>
      <c r="AA38" s="44" t="n"/>
      <c r="AB38" s="13" t="n"/>
      <c r="AC38" s="14">
        <f>IF(AND(AD38=1,F38&lt;=TODAY(),O38&lt;&gt;""),1,0)</f>
        <v/>
      </c>
      <c r="AD38" s="14">
        <f>IF(F38="",0,IF(AND(ISNUMBER(C10),F38&gt;C10),0,1))</f>
        <v/>
      </c>
    </row>
    <row r="39">
      <c r="E39" s="14" t="n">
        <v>12</v>
      </c>
      <c r="F39" s="15">
        <f>IF(OR(C3="",C8="",C17=""),"",EDATE(C8,12*C17*E39))</f>
        <v/>
      </c>
      <c r="G39" s="14">
        <f>IF(AD39=0,"",IFERROR(TEXT(VALUE(LEFT(C16,4))+E39*C17,"0")&amp;RIGHT(C16,3),""))</f>
        <v/>
      </c>
      <c r="H39" s="28">
        <f>IF(AD39=0,"",IF(OR(G39="",C15=""),"",IFERROR(IF(SUMIFS(INDEX(Indices!$A:$P,0,MATCH(C15,Indices!$1:$1,0)+1),INDEX(Indices!$A:$P,0,MATCH(C15,Indices!$1:$1,0)),G39)=0,"",SUMIFS(INDEX(Indices!$A:$P,0,MATCH(C15,Indices!$1:$1,0)+1),INDEX(Indices!$A:$P,0,MATCH(C15,Indices!$1:$1,0)),G39)),"")))</f>
        <v/>
      </c>
      <c r="I39" s="14">
        <f>IF(AD39=0,"",IF(C18="Base fixe",C16,IF(L38="Geler – rattrapage possible",I38,G38)))</f>
        <v/>
      </c>
      <c r="J39" s="28">
        <f>IF(AD39=0,"",IF(OR(I39="",C15=""),"",IFERROR(IF(SUMIFS(INDEX(Indices!$A:$P,0,MATCH(C15,Indices!$1:$1,0)+1),INDEX(Indices!$A:$P,0,MATCH(C15,Indices!$1:$1,0)),I39)=0,"",SUMIFS(INDEX(Indices!$A:$P,0,MATCH(C15,Indices!$1:$1,0)+1),INDEX(Indices!$A:$P,0,MATCH(C15,Indices!$1:$1,0)),I39)),"")))</f>
        <v/>
      </c>
      <c r="K39" s="42">
        <f>IF(OR(H39="",J39=""),"",H39/J39)</f>
        <v/>
      </c>
      <c r="L39" s="13" t="n"/>
      <c r="M39" s="16">
        <f>IF(AD39=0,"",IF(C18="Base fixe",C11,O38))</f>
        <v/>
      </c>
      <c r="N39" s="16">
        <f>IF(OR(K39="",M39=""),"",ROUND(M39*K39,2))</f>
        <v/>
      </c>
      <c r="O39" s="16">
        <f>IF(AD39=0,"",IF(LEFT(L39,5)="Geler",P39,IF(N39="","",IF(C19="",N39,MIN(N39,ROUND(M39*(1+C19/100)^IF(C18="Base fixe",E39*C17,VALUE(LEFT(G39,4))-VALUE(LEFT(I39,4))),2))))))</f>
        <v/>
      </c>
      <c r="P39" s="16">
        <f>IF(AD39=0,"",O38)</f>
        <v/>
      </c>
      <c r="Q39" s="43">
        <f>IF(OR(O39="",P39=""),"",O39/P39-1)</f>
        <v/>
      </c>
      <c r="R39" s="16">
        <f>IF(O39="","",O39/12)</f>
        <v/>
      </c>
      <c r="S39" s="16">
        <f>IF(O39="","",O39/IF(C14="Mensuelle",12,IF(C14="Trimestrielle",4,IF(C14="Semestrielle",2,1))))</f>
        <v/>
      </c>
      <c r="T39" s="16">
        <f>IF(AD39=0,"",IF(C12="",0,C12)/IF(C14="Mensuelle",12,IF(C14="Trimestrielle",4,IF(C14="Semestrielle",2,1))))</f>
        <v/>
      </c>
      <c r="U39" s="16">
        <f>IF(S39="","",(S39+T39)*C13/100)</f>
        <v/>
      </c>
      <c r="V39" s="16">
        <f>IF(S39="","",S39+T39+U39)</f>
        <v/>
      </c>
      <c r="W39" s="14">
        <f>IF(AD39=0,"",IF(LEFT(L39,5)="Geler","❄ Gelée",IF(H39="",IF(F39&lt;=TODAY(),"⚠ Indice attendu","À venir"),IF(F39&lt;=TODAY(),"✔ Calculable","Indice connu – à venir"))))</f>
        <v/>
      </c>
      <c r="X39" s="35" t="n"/>
      <c r="Y39" s="13" t="n"/>
      <c r="Z39" s="44" t="n"/>
      <c r="AA39" s="44" t="n"/>
      <c r="AB39" s="13" t="n"/>
      <c r="AC39" s="14">
        <f>IF(AND(AD39=1,F39&lt;=TODAY(),O39&lt;&gt;""),1,0)</f>
        <v/>
      </c>
      <c r="AD39" s="14">
        <f>IF(F39="",0,IF(AND(ISNUMBER(C10),F39&gt;C10),0,1))</f>
        <v/>
      </c>
    </row>
  </sheetData>
  <mergeCells count="10">
    <mergeCell ref="G6:J6"/>
    <mergeCell ref="G9:J9"/>
    <mergeCell ref="G3:J3"/>
    <mergeCell ref="G8:J8"/>
    <mergeCell ref="G4:J4"/>
    <mergeCell ref="G12:J12"/>
    <mergeCell ref="G7:J7"/>
    <mergeCell ref="G11:J11"/>
    <mergeCell ref="G5:J5"/>
    <mergeCell ref="G10:J10"/>
  </mergeCells>
  <conditionalFormatting sqref="K11">
    <cfRule type="expression" priority="1" dxfId="2">
      <formula>LEFT(K11,1)="⚠"</formula>
    </cfRule>
  </conditionalFormatting>
  <conditionalFormatting sqref="C24">
    <cfRule type="expression" priority="2" dxfId="2">
      <formula>AND(C24&lt;&gt;"",C24&lt;&gt;"OK")</formula>
    </cfRule>
  </conditionalFormatting>
  <conditionalFormatting sqref="W28:W39">
    <cfRule type="expression" priority="3" dxfId="0">
      <formula>LEFT(W28,1)="⚠"</formula>
    </cfRule>
    <cfRule type="expression" priority="4" dxfId="4">
      <formula>AND(LEFT(W28,1)="✔",Y28&lt;&gt;"Oui")</formula>
    </cfRule>
    <cfRule type="expression" priority="5" dxfId="5">
      <formula>AND(LEFT(W28,1)="✔",Y28="Oui")</formula>
    </cfRule>
    <cfRule type="expression" priority="6" dxfId="6">
      <formula>LEFT(W28,1)="❄"</formula>
    </cfRule>
  </conditionalFormatting>
  <conditionalFormatting sqref="E28:AB39">
    <cfRule type="expression" priority="7" dxfId="7">
      <formula>$AD28=0</formula>
    </cfRule>
  </conditionalFormatting>
  <dataValidations count="7">
    <dataValidation sqref="C7" showDropDown="0" showInputMessage="0" showErrorMessage="0" allowBlank="1" type="list">
      <formula1>"Commercial,Professionnel,Habitation,Dérogatoire,Autre"</formula1>
    </dataValidation>
    <dataValidation sqref="C14" showDropDown="0" showInputMessage="0" showErrorMessage="0" allowBlank="1" type="list">
      <formula1>"Mensuelle,Trimestrielle,Semestrielle,Annuelle"</formula1>
    </dataValidation>
    <dataValidation sqref="C15" showDropDown="0" showInputMessage="0" showErrorMessage="0" allowBlank="1" type="list">
      <formula1>"ILC,ILAT,ICC,IRL"</formula1>
    </dataValidation>
    <dataValidation sqref="C18" showDropDown="0" showInputMessage="0" showErrorMessage="0" allowBlank="1" type="list">
      <formula1>"Chaînée,Base fixe"</formula1>
    </dataValidation>
    <dataValidation sqref="C17" showDropDown="0" showInputMessage="0" showErrorMessage="0" allowBlank="1" type="list">
      <formula1>"1,2,3"</formula1>
    </dataValidation>
    <dataValidation sqref="Y28:Y39" showDropDown="0" showInputMessage="0" showErrorMessage="0" allowBlank="1" type="list">
      <formula1>"Oui,Non"</formula1>
    </dataValidation>
    <dataValidation sqref="L28:L39" showDropDown="0" showInputMessage="1" showErrorMessage="0" allowBlank="1" promptTitle="Décision du bailleur" prompt="Vide ou Appliquer = révision appliquée. Geler = loyer inchangé ; « rattrapage possible » repart de l'indice de la dernière révision appliquée." type="list">
      <formula1>"Appliquer,Geler – sans rattrapage,Geler – rattrapage possible"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0" customWidth="1" min="4" max="4"/>
    <col width="30" customWidth="1" min="5" max="5"/>
    <col width="12" customWidth="1" min="6" max="6"/>
    <col width="10" customWidth="1" min="7" max="7"/>
    <col width="7" customWidth="1" min="8" max="8"/>
    <col width="9" customWidth="1" min="9" max="9"/>
    <col width="13" customWidth="1" min="10" max="10"/>
    <col width="12" customWidth="1" min="11" max="11"/>
    <col width="7" customWidth="1" min="12" max="12"/>
    <col width="9" customWidth="1" min="13" max="13"/>
    <col width="16" customWidth="1" min="14" max="14"/>
    <col width="15" customWidth="1" min="15" max="15"/>
    <col width="13" customWidth="1" min="16" max="16"/>
    <col width="12" customWidth="1" min="17" max="17"/>
    <col width="12" customWidth="1" min="18" max="18"/>
    <col width="100" customWidth="1" min="19" max="19"/>
  </cols>
  <sheetData>
    <row r="1" ht="42" customHeight="1">
      <c r="A1" s="12" t="inlineStr">
        <is>
          <t>Onglet</t>
        </is>
      </c>
      <c r="B1" s="12" t="inlineStr">
        <is>
          <t>Locataire</t>
        </is>
      </c>
      <c r="C1" s="12" t="inlineStr">
        <is>
          <t>customer_id</t>
        </is>
      </c>
      <c r="D1" s="12" t="inlineStr">
        <is>
          <t>product_id</t>
        </is>
      </c>
      <c r="E1" s="12" t="inlineStr">
        <is>
          <t>label (abonnement)</t>
        </is>
      </c>
      <c r="F1" s="12" t="inlineStr">
        <is>
          <t>Périodicité</t>
        </is>
      </c>
      <c r="G1" s="12" t="inlineStr">
        <is>
          <t>recurring_rule.type</t>
        </is>
      </c>
      <c r="H1" s="12" t="inlineStr">
        <is>
          <t>interval</t>
        </is>
      </c>
      <c r="I1" s="12" t="inlineStr">
        <is>
          <t>unit</t>
        </is>
      </c>
      <c r="J1" s="12" t="inlineStr">
        <is>
          <t>Prix unitaire HT / échéance</t>
        </is>
      </c>
      <c r="K1" s="12" t="inlineStr">
        <is>
          <t>Charges HT / échéance</t>
        </is>
      </c>
      <c r="L1" s="12" t="inlineStr">
        <is>
          <t>TVA (%)</t>
        </is>
      </c>
      <c r="M1" s="12" t="inlineStr">
        <is>
          <t>vat_rate</t>
        </is>
      </c>
      <c r="N1" s="12" t="inlineStr">
        <is>
          <t>mode</t>
        </is>
      </c>
      <c r="O1" s="12" t="inlineStr">
        <is>
          <t>payment_conditions</t>
        </is>
      </c>
      <c r="P1" s="12" t="inlineStr">
        <is>
          <t>payment_method</t>
        </is>
      </c>
      <c r="Q1" s="12" t="inlineStr">
        <is>
          <t>start (1er du mois suivant)</t>
        </is>
      </c>
      <c r="R1" s="12" t="inlineStr">
        <is>
          <t>subscription_id existant</t>
        </is>
      </c>
      <c r="S1" s="12" t="inlineStr">
        <is>
          <t>Corps JSON – POST /api/external/v2/billing_subscriptions</t>
        </is>
      </c>
    </row>
    <row r="2">
      <c r="A2" s="14">
        <f>IF(Récapitulatif!$A2="","",Récapitulatif!$A2)</f>
        <v/>
      </c>
      <c r="B2" s="14">
        <f>IF(A2="","",IFERROR(INDIRECT("'"&amp;A2&amp;"'!C5"),""))</f>
        <v/>
      </c>
      <c r="C2" s="14">
        <f>IF(A2="","",IF(IFERROR(INDIRECT("'"&amp;A2&amp;"'!C20"),"")="","À RENSEIGNER",IFERROR(INDIRECT("'"&amp;A2&amp;"'!C20"),"")))</f>
        <v/>
      </c>
      <c r="D2" s="14">
        <f>IF(A2="","",IFERROR(INDIRECT("'"&amp;A2&amp;"'!C21"),"")&amp;"")</f>
        <v/>
      </c>
      <c r="E2" s="14">
        <f>IF(A2="","","Loyer "&amp;IFERROR(INDIRECT("'"&amp;A2&amp;"'!C4"),""))</f>
        <v/>
      </c>
      <c r="F2" s="14">
        <f>IF(A2="","",IFERROR(INDIRECT("'"&amp;A2&amp;"'!C14"),""))</f>
        <v/>
      </c>
      <c r="G2" s="14">
        <f>IF(A2="","",IF(F2="Annuelle","yearly","monthly"))</f>
        <v/>
      </c>
      <c r="H2" s="14">
        <f>IF(A2="","",IF(F2="Mensuelle",1,IF(F2="Trimestrielle",3,IF(F2="Semestrielle",6,1))))</f>
        <v/>
      </c>
      <c r="I2" s="14">
        <f>IF(A2="","",IF(F2="Mensuelle","mois",IF(F2="Trimestrielle","trimestre",IF(F2="Semestrielle","semestre","an"))))</f>
        <v/>
      </c>
      <c r="J2" s="16">
        <f>IF(A2="","",IFERROR(ROUND(Récapitulatif!$I2/IF(F2="Mensuelle",12,IF(F2="Trimestrielle",4,IF(F2="Semestrielle",2,1))),2),""))</f>
        <v/>
      </c>
      <c r="K2" s="16">
        <f>IF(A2="","",IFERROR(ROUND(IF(IFERROR(INDIRECT("'"&amp;A2&amp;"'!C12"),"")="",0,IFERROR(INDIRECT("'"&amp;A2&amp;"'!C12"),""))/IF(F2="Mensuelle",12,IF(F2="Trimestrielle",4,IF(F2="Semestrielle",2,1))),2),""))</f>
        <v/>
      </c>
      <c r="L2" s="14">
        <f>IF(A2="","",IFERROR(INDIRECT("'"&amp;A2&amp;"'!C13"),""))</f>
        <v/>
      </c>
      <c r="M2" s="14">
        <f>IF(A2="","",IF(L2=20,"FR_200",IF(L2=10,"FR_100",IF(L2=5.5,"FR_55",IF(L2=2.1,"FR_21","exempt")))))</f>
        <v/>
      </c>
      <c r="N2" s="14">
        <f>IF(A2="","",Société!$B$11)</f>
        <v/>
      </c>
      <c r="O2" s="14">
        <f>IF(A2="","",Société!$B$12)</f>
        <v/>
      </c>
      <c r="P2" s="14">
        <f>IF(A2="","",Société!$B$13)</f>
        <v/>
      </c>
      <c r="Q2" s="15">
        <f>IF(A2="","",DATE(YEAR(TODAY()),MONTH(TODAY())+1,1))</f>
        <v/>
      </c>
      <c r="R2" s="14">
        <f>IF(A2="","",IFERROR(INDIRECT("'"&amp;A2&amp;"'!C22"),"")&amp;"")</f>
        <v/>
      </c>
      <c r="S2" s="14">
        <f>IF(OR(A2="",J2=""),"","{""customer_id"": "&amp;C2&amp;", ""label"": """&amp;E2&amp;""", ""start"": """&amp;YEAR(Q2)&amp;"-"&amp;TEXT(MONTH(Q2),"00")&amp;"-"&amp;TEXT(DAY(Q2),"00")&amp;""", ""mode"": {""type"": """&amp;N2&amp;"""}, ""payment_conditions"": """&amp;O2&amp;""", ""payment_method"": """&amp;P2&amp;""", ""recurring_rule"": "&amp;"{""type"": """&amp;G2&amp;""", ""interval"": "&amp;H2&amp;IF(G2="monthly",", ""day_of_month"": 1","")&amp;"}"&amp;", ""customer_invoice_data"": {""currency"": ""EUR"", ""language"": ""fr_FR"", ""pdf_invoice_subject"": """&amp;E2&amp;""", ""invoice_lines"": ["&amp;"{""label"": ""Loyer "&amp;LOWER(F2)&amp;" – "&amp;IFERROR(INDIRECT("'"&amp;A2&amp;"'!C4"),"")&amp;""", ""quantity"": 1, ""unit"": """&amp;I2&amp;""", ""raw_currency_unit_price"": """&amp;SUBSTITUTE(TEXT(J2,"0.00"),",",".")&amp;""", ""vat_rate"": """&amp;M2&amp;""""&amp;IF(D2&lt;&gt;"",", ""product_id"": "&amp;D2,"")&amp;"}"&amp;IF(K2&gt;0,", {""label"": ""Provision sur charges"", ""quantity"": 1, ""unit"": """&amp;I2&amp;""", ""raw_currency_unit_price"": """&amp;SUBSTITUTE(TEXT(K2,"0.00"),",",".")&amp;""", ""vat_rate"": """&amp;M2&amp;"""}","")&amp;"]}}")</f>
        <v/>
      </c>
    </row>
    <row r="3">
      <c r="A3" s="14">
        <f>IF(Récapitulatif!$A3="","",Récapitulatif!$A3)</f>
        <v/>
      </c>
      <c r="B3" s="14">
        <f>IF(A3="","",IFERROR(INDIRECT("'"&amp;A3&amp;"'!C5"),""))</f>
        <v/>
      </c>
      <c r="C3" s="14">
        <f>IF(A3="","",IF(IFERROR(INDIRECT("'"&amp;A3&amp;"'!C20"),"")="","À RENSEIGNER",IFERROR(INDIRECT("'"&amp;A3&amp;"'!C20"),"")))</f>
        <v/>
      </c>
      <c r="D3" s="14">
        <f>IF(A3="","",IFERROR(INDIRECT("'"&amp;A3&amp;"'!C21"),"")&amp;"")</f>
        <v/>
      </c>
      <c r="E3" s="14">
        <f>IF(A3="","","Loyer "&amp;IFERROR(INDIRECT("'"&amp;A3&amp;"'!C4"),""))</f>
        <v/>
      </c>
      <c r="F3" s="14">
        <f>IF(A3="","",IFERROR(INDIRECT("'"&amp;A3&amp;"'!C14"),""))</f>
        <v/>
      </c>
      <c r="G3" s="14">
        <f>IF(A3="","",IF(F3="Annuelle","yearly","monthly"))</f>
        <v/>
      </c>
      <c r="H3" s="14">
        <f>IF(A3="","",IF(F3="Mensuelle",1,IF(F3="Trimestrielle",3,IF(F3="Semestrielle",6,1))))</f>
        <v/>
      </c>
      <c r="I3" s="14">
        <f>IF(A3="","",IF(F3="Mensuelle","mois",IF(F3="Trimestrielle","trimestre",IF(F3="Semestrielle","semestre","an"))))</f>
        <v/>
      </c>
      <c r="J3" s="16">
        <f>IF(A3="","",IFERROR(ROUND(Récapitulatif!$I3/IF(F3="Mensuelle",12,IF(F3="Trimestrielle",4,IF(F3="Semestrielle",2,1))),2),""))</f>
        <v/>
      </c>
      <c r="K3" s="16">
        <f>IF(A3="","",IFERROR(ROUND(IF(IFERROR(INDIRECT("'"&amp;A3&amp;"'!C12"),"")="",0,IFERROR(INDIRECT("'"&amp;A3&amp;"'!C12"),""))/IF(F3="Mensuelle",12,IF(F3="Trimestrielle",4,IF(F3="Semestrielle",2,1))),2),""))</f>
        <v/>
      </c>
      <c r="L3" s="14">
        <f>IF(A3="","",IFERROR(INDIRECT("'"&amp;A3&amp;"'!C13"),""))</f>
        <v/>
      </c>
      <c r="M3" s="14">
        <f>IF(A3="","",IF(L3=20,"FR_200",IF(L3=10,"FR_100",IF(L3=5.5,"FR_55",IF(L3=2.1,"FR_21","exempt")))))</f>
        <v/>
      </c>
      <c r="N3" s="14">
        <f>IF(A3="","",Société!$B$11)</f>
        <v/>
      </c>
      <c r="O3" s="14">
        <f>IF(A3="","",Société!$B$12)</f>
        <v/>
      </c>
      <c r="P3" s="14">
        <f>IF(A3="","",Société!$B$13)</f>
        <v/>
      </c>
      <c r="Q3" s="15">
        <f>IF(A3="","",DATE(YEAR(TODAY()),MONTH(TODAY())+1,1))</f>
        <v/>
      </c>
      <c r="R3" s="14">
        <f>IF(A3="","",IFERROR(INDIRECT("'"&amp;A3&amp;"'!C22"),"")&amp;"")</f>
        <v/>
      </c>
      <c r="S3" s="14">
        <f>IF(OR(A3="",J3=""),"","{""customer_id"": "&amp;C3&amp;", ""label"": """&amp;E3&amp;""", ""start"": """&amp;YEAR(Q3)&amp;"-"&amp;TEXT(MONTH(Q3),"00")&amp;"-"&amp;TEXT(DAY(Q3),"00")&amp;""", ""mode"": {""type"": """&amp;N3&amp;"""}, ""payment_conditions"": """&amp;O3&amp;""", ""payment_method"": """&amp;P3&amp;""", ""recurring_rule"": "&amp;"{""type"": """&amp;G3&amp;""", ""interval"": "&amp;H3&amp;IF(G3="monthly",", ""day_of_month"": 1","")&amp;"}"&amp;", ""customer_invoice_data"": {""currency"": ""EUR"", ""language"": ""fr_FR"", ""pdf_invoice_subject"": """&amp;E3&amp;""", ""invoice_lines"": ["&amp;"{""label"": ""Loyer "&amp;LOWER(F3)&amp;" – "&amp;IFERROR(INDIRECT("'"&amp;A3&amp;"'!C4"),"")&amp;""", ""quantity"": 1, ""unit"": """&amp;I3&amp;""", ""raw_currency_unit_price"": """&amp;SUBSTITUTE(TEXT(J3,"0.00"),",",".")&amp;""", ""vat_rate"": """&amp;M3&amp;""""&amp;IF(D3&lt;&gt;"",", ""product_id"": "&amp;D3,"")&amp;"}"&amp;IF(K3&gt;0,", {""label"": ""Provision sur charges"", ""quantity"": 1, ""unit"": """&amp;I3&amp;""", ""raw_currency_unit_price"": """&amp;SUBSTITUTE(TEXT(K3,"0.00"),",",".")&amp;""", ""vat_rate"": """&amp;M3&amp;"""}","")&amp;"]}}")</f>
        <v/>
      </c>
    </row>
    <row r="4">
      <c r="A4" s="14">
        <f>IF(Récapitulatif!$A4="","",Récapitulatif!$A4)</f>
        <v/>
      </c>
      <c r="B4" s="14">
        <f>IF(A4="","",IFERROR(INDIRECT("'"&amp;A4&amp;"'!C5"),""))</f>
        <v/>
      </c>
      <c r="C4" s="14">
        <f>IF(A4="","",IF(IFERROR(INDIRECT("'"&amp;A4&amp;"'!C20"),"")="","À RENSEIGNER",IFERROR(INDIRECT("'"&amp;A4&amp;"'!C20"),"")))</f>
        <v/>
      </c>
      <c r="D4" s="14">
        <f>IF(A4="","",IFERROR(INDIRECT("'"&amp;A4&amp;"'!C21"),"")&amp;"")</f>
        <v/>
      </c>
      <c r="E4" s="14">
        <f>IF(A4="","","Loyer "&amp;IFERROR(INDIRECT("'"&amp;A4&amp;"'!C4"),""))</f>
        <v/>
      </c>
      <c r="F4" s="14">
        <f>IF(A4="","",IFERROR(INDIRECT("'"&amp;A4&amp;"'!C14"),""))</f>
        <v/>
      </c>
      <c r="G4" s="14">
        <f>IF(A4="","",IF(F4="Annuelle","yearly","monthly"))</f>
        <v/>
      </c>
      <c r="H4" s="14">
        <f>IF(A4="","",IF(F4="Mensuelle",1,IF(F4="Trimestrielle",3,IF(F4="Semestrielle",6,1))))</f>
        <v/>
      </c>
      <c r="I4" s="14">
        <f>IF(A4="","",IF(F4="Mensuelle","mois",IF(F4="Trimestrielle","trimestre",IF(F4="Semestrielle","semestre","an"))))</f>
        <v/>
      </c>
      <c r="J4" s="16">
        <f>IF(A4="","",IFERROR(ROUND(Récapitulatif!$I4/IF(F4="Mensuelle",12,IF(F4="Trimestrielle",4,IF(F4="Semestrielle",2,1))),2),""))</f>
        <v/>
      </c>
      <c r="K4" s="16">
        <f>IF(A4="","",IFERROR(ROUND(IF(IFERROR(INDIRECT("'"&amp;A4&amp;"'!C12"),"")="",0,IFERROR(INDIRECT("'"&amp;A4&amp;"'!C12"),""))/IF(F4="Mensuelle",12,IF(F4="Trimestrielle",4,IF(F4="Semestrielle",2,1))),2),""))</f>
        <v/>
      </c>
      <c r="L4" s="14">
        <f>IF(A4="","",IFERROR(INDIRECT("'"&amp;A4&amp;"'!C13"),""))</f>
        <v/>
      </c>
      <c r="M4" s="14">
        <f>IF(A4="","",IF(L4=20,"FR_200",IF(L4=10,"FR_100",IF(L4=5.5,"FR_55",IF(L4=2.1,"FR_21","exempt")))))</f>
        <v/>
      </c>
      <c r="N4" s="14">
        <f>IF(A4="","",Société!$B$11)</f>
        <v/>
      </c>
      <c r="O4" s="14">
        <f>IF(A4="","",Société!$B$12)</f>
        <v/>
      </c>
      <c r="P4" s="14">
        <f>IF(A4="","",Société!$B$13)</f>
        <v/>
      </c>
      <c r="Q4" s="15">
        <f>IF(A4="","",DATE(YEAR(TODAY()),MONTH(TODAY())+1,1))</f>
        <v/>
      </c>
      <c r="R4" s="14">
        <f>IF(A4="","",IFERROR(INDIRECT("'"&amp;A4&amp;"'!C22"),"")&amp;"")</f>
        <v/>
      </c>
      <c r="S4" s="14">
        <f>IF(OR(A4="",J4=""),"","{""customer_id"": "&amp;C4&amp;", ""label"": """&amp;E4&amp;""", ""start"": """&amp;YEAR(Q4)&amp;"-"&amp;TEXT(MONTH(Q4),"00")&amp;"-"&amp;TEXT(DAY(Q4),"00")&amp;""", ""mode"": {""type"": """&amp;N4&amp;"""}, ""payment_conditions"": """&amp;O4&amp;""", ""payment_method"": """&amp;P4&amp;""", ""recurring_rule"": "&amp;"{""type"": """&amp;G4&amp;""", ""interval"": "&amp;H4&amp;IF(G4="monthly",", ""day_of_month"": 1","")&amp;"}"&amp;", ""customer_invoice_data"": {""currency"": ""EUR"", ""language"": ""fr_FR"", ""pdf_invoice_subject"": """&amp;E4&amp;""", ""invoice_lines"": ["&amp;"{""label"": ""Loyer "&amp;LOWER(F4)&amp;" – "&amp;IFERROR(INDIRECT("'"&amp;A4&amp;"'!C4"),"")&amp;""", ""quantity"": 1, ""unit"": """&amp;I4&amp;""", ""raw_currency_unit_price"": """&amp;SUBSTITUTE(TEXT(J4,"0.00"),",",".")&amp;""", ""vat_rate"": """&amp;M4&amp;""""&amp;IF(D4&lt;&gt;"",", ""product_id"": "&amp;D4,"")&amp;"}"&amp;IF(K4&gt;0,", {""label"": ""Provision sur charges"", ""quantity"": 1, ""unit"": """&amp;I4&amp;""", ""raw_currency_unit_price"": """&amp;SUBSTITUTE(TEXT(K4,"0.00"),",",".")&amp;""", ""vat_rate"": """&amp;M4&amp;"""}","")&amp;"]}}")</f>
        <v/>
      </c>
    </row>
    <row r="5">
      <c r="A5" s="14">
        <f>IF(Récapitulatif!$A5="","",Récapitulatif!$A5)</f>
        <v/>
      </c>
      <c r="B5" s="14">
        <f>IF(A5="","",IFERROR(INDIRECT("'"&amp;A5&amp;"'!C5"),""))</f>
        <v/>
      </c>
      <c r="C5" s="14">
        <f>IF(A5="","",IF(IFERROR(INDIRECT("'"&amp;A5&amp;"'!C20"),"")="","À RENSEIGNER",IFERROR(INDIRECT("'"&amp;A5&amp;"'!C20"),"")))</f>
        <v/>
      </c>
      <c r="D5" s="14">
        <f>IF(A5="","",IFERROR(INDIRECT("'"&amp;A5&amp;"'!C21"),"")&amp;"")</f>
        <v/>
      </c>
      <c r="E5" s="14">
        <f>IF(A5="","","Loyer "&amp;IFERROR(INDIRECT("'"&amp;A5&amp;"'!C4"),""))</f>
        <v/>
      </c>
      <c r="F5" s="14">
        <f>IF(A5="","",IFERROR(INDIRECT("'"&amp;A5&amp;"'!C14"),""))</f>
        <v/>
      </c>
      <c r="G5" s="14">
        <f>IF(A5="","",IF(F5="Annuelle","yearly","monthly"))</f>
        <v/>
      </c>
      <c r="H5" s="14">
        <f>IF(A5="","",IF(F5="Mensuelle",1,IF(F5="Trimestrielle",3,IF(F5="Semestrielle",6,1))))</f>
        <v/>
      </c>
      <c r="I5" s="14">
        <f>IF(A5="","",IF(F5="Mensuelle","mois",IF(F5="Trimestrielle","trimestre",IF(F5="Semestrielle","semestre","an"))))</f>
        <v/>
      </c>
      <c r="J5" s="16">
        <f>IF(A5="","",IFERROR(ROUND(Récapitulatif!$I5/IF(F5="Mensuelle",12,IF(F5="Trimestrielle",4,IF(F5="Semestrielle",2,1))),2),""))</f>
        <v/>
      </c>
      <c r="K5" s="16">
        <f>IF(A5="","",IFERROR(ROUND(IF(IFERROR(INDIRECT("'"&amp;A5&amp;"'!C12"),"")="",0,IFERROR(INDIRECT("'"&amp;A5&amp;"'!C12"),""))/IF(F5="Mensuelle",12,IF(F5="Trimestrielle",4,IF(F5="Semestrielle",2,1))),2),""))</f>
        <v/>
      </c>
      <c r="L5" s="14">
        <f>IF(A5="","",IFERROR(INDIRECT("'"&amp;A5&amp;"'!C13"),""))</f>
        <v/>
      </c>
      <c r="M5" s="14">
        <f>IF(A5="","",IF(L5=20,"FR_200",IF(L5=10,"FR_100",IF(L5=5.5,"FR_55",IF(L5=2.1,"FR_21","exempt")))))</f>
        <v/>
      </c>
      <c r="N5" s="14">
        <f>IF(A5="","",Société!$B$11)</f>
        <v/>
      </c>
      <c r="O5" s="14">
        <f>IF(A5="","",Société!$B$12)</f>
        <v/>
      </c>
      <c r="P5" s="14">
        <f>IF(A5="","",Société!$B$13)</f>
        <v/>
      </c>
      <c r="Q5" s="15">
        <f>IF(A5="","",DATE(YEAR(TODAY()),MONTH(TODAY())+1,1))</f>
        <v/>
      </c>
      <c r="R5" s="14">
        <f>IF(A5="","",IFERROR(INDIRECT("'"&amp;A5&amp;"'!C22"),"")&amp;"")</f>
        <v/>
      </c>
      <c r="S5" s="14">
        <f>IF(OR(A5="",J5=""),"","{""customer_id"": "&amp;C5&amp;", ""label"": """&amp;E5&amp;""", ""start"": """&amp;YEAR(Q5)&amp;"-"&amp;TEXT(MONTH(Q5),"00")&amp;"-"&amp;TEXT(DAY(Q5),"00")&amp;""", ""mode"": {""type"": """&amp;N5&amp;"""}, ""payment_conditions"": """&amp;O5&amp;""", ""payment_method"": """&amp;P5&amp;""", ""recurring_rule"": "&amp;"{""type"": """&amp;G5&amp;""", ""interval"": "&amp;H5&amp;IF(G5="monthly",", ""day_of_month"": 1","")&amp;"}"&amp;", ""customer_invoice_data"": {""currency"": ""EUR"", ""language"": ""fr_FR"", ""pdf_invoice_subject"": """&amp;E5&amp;""", ""invoice_lines"": ["&amp;"{""label"": ""Loyer "&amp;LOWER(F5)&amp;" – "&amp;IFERROR(INDIRECT("'"&amp;A5&amp;"'!C4"),"")&amp;""", ""quantity"": 1, ""unit"": """&amp;I5&amp;""", ""raw_currency_unit_price"": """&amp;SUBSTITUTE(TEXT(J5,"0.00"),",",".")&amp;""", ""vat_rate"": """&amp;M5&amp;""""&amp;IF(D5&lt;&gt;"",", ""product_id"": "&amp;D5,"")&amp;"}"&amp;IF(K5&gt;0,", {""label"": ""Provision sur charges"", ""quantity"": 1, ""unit"": """&amp;I5&amp;""", ""raw_currency_unit_price"": """&amp;SUBSTITUTE(TEXT(K5,"0.00"),",",".")&amp;""", ""vat_rate"": """&amp;M5&amp;"""}","")&amp;"]}}")</f>
        <v/>
      </c>
    </row>
    <row r="6">
      <c r="A6" s="14">
        <f>IF(Récapitulatif!$A6="","",Récapitulatif!$A6)</f>
        <v/>
      </c>
      <c r="B6" s="14">
        <f>IF(A6="","",IFERROR(INDIRECT("'"&amp;A6&amp;"'!C5"),""))</f>
        <v/>
      </c>
      <c r="C6" s="14">
        <f>IF(A6="","",IF(IFERROR(INDIRECT("'"&amp;A6&amp;"'!C20"),"")="","À RENSEIGNER",IFERROR(INDIRECT("'"&amp;A6&amp;"'!C20"),"")))</f>
        <v/>
      </c>
      <c r="D6" s="14">
        <f>IF(A6="","",IFERROR(INDIRECT("'"&amp;A6&amp;"'!C21"),"")&amp;"")</f>
        <v/>
      </c>
      <c r="E6" s="14">
        <f>IF(A6="","","Loyer "&amp;IFERROR(INDIRECT("'"&amp;A6&amp;"'!C4"),""))</f>
        <v/>
      </c>
      <c r="F6" s="14">
        <f>IF(A6="","",IFERROR(INDIRECT("'"&amp;A6&amp;"'!C14"),""))</f>
        <v/>
      </c>
      <c r="G6" s="14">
        <f>IF(A6="","",IF(F6="Annuelle","yearly","monthly"))</f>
        <v/>
      </c>
      <c r="H6" s="14">
        <f>IF(A6="","",IF(F6="Mensuelle",1,IF(F6="Trimestrielle",3,IF(F6="Semestrielle",6,1))))</f>
        <v/>
      </c>
      <c r="I6" s="14">
        <f>IF(A6="","",IF(F6="Mensuelle","mois",IF(F6="Trimestrielle","trimestre",IF(F6="Semestrielle","semestre","an"))))</f>
        <v/>
      </c>
      <c r="J6" s="16">
        <f>IF(A6="","",IFERROR(ROUND(Récapitulatif!$I6/IF(F6="Mensuelle",12,IF(F6="Trimestrielle",4,IF(F6="Semestrielle",2,1))),2),""))</f>
        <v/>
      </c>
      <c r="K6" s="16">
        <f>IF(A6="","",IFERROR(ROUND(IF(IFERROR(INDIRECT("'"&amp;A6&amp;"'!C12"),"")="",0,IFERROR(INDIRECT("'"&amp;A6&amp;"'!C12"),""))/IF(F6="Mensuelle",12,IF(F6="Trimestrielle",4,IF(F6="Semestrielle",2,1))),2),""))</f>
        <v/>
      </c>
      <c r="L6" s="14">
        <f>IF(A6="","",IFERROR(INDIRECT("'"&amp;A6&amp;"'!C13"),""))</f>
        <v/>
      </c>
      <c r="M6" s="14">
        <f>IF(A6="","",IF(L6=20,"FR_200",IF(L6=10,"FR_100",IF(L6=5.5,"FR_55",IF(L6=2.1,"FR_21","exempt")))))</f>
        <v/>
      </c>
      <c r="N6" s="14">
        <f>IF(A6="","",Société!$B$11)</f>
        <v/>
      </c>
      <c r="O6" s="14">
        <f>IF(A6="","",Société!$B$12)</f>
        <v/>
      </c>
      <c r="P6" s="14">
        <f>IF(A6="","",Société!$B$13)</f>
        <v/>
      </c>
      <c r="Q6" s="15">
        <f>IF(A6="","",DATE(YEAR(TODAY()),MONTH(TODAY())+1,1))</f>
        <v/>
      </c>
      <c r="R6" s="14">
        <f>IF(A6="","",IFERROR(INDIRECT("'"&amp;A6&amp;"'!C22"),"")&amp;"")</f>
        <v/>
      </c>
      <c r="S6" s="14">
        <f>IF(OR(A6="",J6=""),"","{""customer_id"": "&amp;C6&amp;", ""label"": """&amp;E6&amp;""", ""start"": """&amp;YEAR(Q6)&amp;"-"&amp;TEXT(MONTH(Q6),"00")&amp;"-"&amp;TEXT(DAY(Q6),"00")&amp;""", ""mode"": {""type"": """&amp;N6&amp;"""}, ""payment_conditions"": """&amp;O6&amp;""", ""payment_method"": """&amp;P6&amp;""", ""recurring_rule"": "&amp;"{""type"": """&amp;G6&amp;""", ""interval"": "&amp;H6&amp;IF(G6="monthly",", ""day_of_month"": 1","")&amp;"}"&amp;", ""customer_invoice_data"": {""currency"": ""EUR"", ""language"": ""fr_FR"", ""pdf_invoice_subject"": """&amp;E6&amp;""", ""invoice_lines"": ["&amp;"{""label"": ""Loyer "&amp;LOWER(F6)&amp;" – "&amp;IFERROR(INDIRECT("'"&amp;A6&amp;"'!C4"),"")&amp;""", ""quantity"": 1, ""unit"": """&amp;I6&amp;""", ""raw_currency_unit_price"": """&amp;SUBSTITUTE(TEXT(J6,"0.00"),",",".")&amp;""", ""vat_rate"": """&amp;M6&amp;""""&amp;IF(D6&lt;&gt;"",", ""product_id"": "&amp;D6,"")&amp;"}"&amp;IF(K6&gt;0,", {""label"": ""Provision sur charges"", ""quantity"": 1, ""unit"": """&amp;I6&amp;""", ""raw_currency_unit_price"": """&amp;SUBSTITUTE(TEXT(K6,"0.00"),",",".")&amp;""", ""vat_rate"": """&amp;M6&amp;"""}","")&amp;"]}}")</f>
        <v/>
      </c>
    </row>
    <row r="7">
      <c r="A7" s="14">
        <f>IF(Récapitulatif!$A7="","",Récapitulatif!$A7)</f>
        <v/>
      </c>
      <c r="B7" s="14">
        <f>IF(A7="","",IFERROR(INDIRECT("'"&amp;A7&amp;"'!C5"),""))</f>
        <v/>
      </c>
      <c r="C7" s="14">
        <f>IF(A7="","",IF(IFERROR(INDIRECT("'"&amp;A7&amp;"'!C20"),"")="","À RENSEIGNER",IFERROR(INDIRECT("'"&amp;A7&amp;"'!C20"),"")))</f>
        <v/>
      </c>
      <c r="D7" s="14">
        <f>IF(A7="","",IFERROR(INDIRECT("'"&amp;A7&amp;"'!C21"),"")&amp;"")</f>
        <v/>
      </c>
      <c r="E7" s="14">
        <f>IF(A7="","","Loyer "&amp;IFERROR(INDIRECT("'"&amp;A7&amp;"'!C4"),""))</f>
        <v/>
      </c>
      <c r="F7" s="14">
        <f>IF(A7="","",IFERROR(INDIRECT("'"&amp;A7&amp;"'!C14"),""))</f>
        <v/>
      </c>
      <c r="G7" s="14">
        <f>IF(A7="","",IF(F7="Annuelle","yearly","monthly"))</f>
        <v/>
      </c>
      <c r="H7" s="14">
        <f>IF(A7="","",IF(F7="Mensuelle",1,IF(F7="Trimestrielle",3,IF(F7="Semestrielle",6,1))))</f>
        <v/>
      </c>
      <c r="I7" s="14">
        <f>IF(A7="","",IF(F7="Mensuelle","mois",IF(F7="Trimestrielle","trimestre",IF(F7="Semestrielle","semestre","an"))))</f>
        <v/>
      </c>
      <c r="J7" s="16">
        <f>IF(A7="","",IFERROR(ROUND(Récapitulatif!$I7/IF(F7="Mensuelle",12,IF(F7="Trimestrielle",4,IF(F7="Semestrielle",2,1))),2),""))</f>
        <v/>
      </c>
      <c r="K7" s="16">
        <f>IF(A7="","",IFERROR(ROUND(IF(IFERROR(INDIRECT("'"&amp;A7&amp;"'!C12"),"")="",0,IFERROR(INDIRECT("'"&amp;A7&amp;"'!C12"),""))/IF(F7="Mensuelle",12,IF(F7="Trimestrielle",4,IF(F7="Semestrielle",2,1))),2),""))</f>
        <v/>
      </c>
      <c r="L7" s="14">
        <f>IF(A7="","",IFERROR(INDIRECT("'"&amp;A7&amp;"'!C13"),""))</f>
        <v/>
      </c>
      <c r="M7" s="14">
        <f>IF(A7="","",IF(L7=20,"FR_200",IF(L7=10,"FR_100",IF(L7=5.5,"FR_55",IF(L7=2.1,"FR_21","exempt")))))</f>
        <v/>
      </c>
      <c r="N7" s="14">
        <f>IF(A7="","",Société!$B$11)</f>
        <v/>
      </c>
      <c r="O7" s="14">
        <f>IF(A7="","",Société!$B$12)</f>
        <v/>
      </c>
      <c r="P7" s="14">
        <f>IF(A7="","",Société!$B$13)</f>
        <v/>
      </c>
      <c r="Q7" s="15">
        <f>IF(A7="","",DATE(YEAR(TODAY()),MONTH(TODAY())+1,1))</f>
        <v/>
      </c>
      <c r="R7" s="14">
        <f>IF(A7="","",IFERROR(INDIRECT("'"&amp;A7&amp;"'!C22"),"")&amp;"")</f>
        <v/>
      </c>
      <c r="S7" s="14">
        <f>IF(OR(A7="",J7=""),"","{""customer_id"": "&amp;C7&amp;", ""label"": """&amp;E7&amp;""", ""start"": """&amp;YEAR(Q7)&amp;"-"&amp;TEXT(MONTH(Q7),"00")&amp;"-"&amp;TEXT(DAY(Q7),"00")&amp;""", ""mode"": {""type"": """&amp;N7&amp;"""}, ""payment_conditions"": """&amp;O7&amp;""", ""payment_method"": """&amp;P7&amp;""", ""recurring_rule"": "&amp;"{""type"": """&amp;G7&amp;""", ""interval"": "&amp;H7&amp;IF(G7="monthly",", ""day_of_month"": 1","")&amp;"}"&amp;", ""customer_invoice_data"": {""currency"": ""EUR"", ""language"": ""fr_FR"", ""pdf_invoice_subject"": """&amp;E7&amp;""", ""invoice_lines"": ["&amp;"{""label"": ""Loyer "&amp;LOWER(F7)&amp;" – "&amp;IFERROR(INDIRECT("'"&amp;A7&amp;"'!C4"),"")&amp;""", ""quantity"": 1, ""unit"": """&amp;I7&amp;""", ""raw_currency_unit_price"": """&amp;SUBSTITUTE(TEXT(J7,"0.00"),",",".")&amp;""", ""vat_rate"": """&amp;M7&amp;""""&amp;IF(D7&lt;&gt;"",", ""product_id"": "&amp;D7,"")&amp;"}"&amp;IF(K7&gt;0,", {""label"": ""Provision sur charges"", ""quantity"": 1, ""unit"": """&amp;I7&amp;""", ""raw_currency_unit_price"": """&amp;SUBSTITUTE(TEXT(K7,"0.00"),",",".")&amp;""", ""vat_rate"": """&amp;M7&amp;"""}","")&amp;"]}}")</f>
        <v/>
      </c>
    </row>
    <row r="8">
      <c r="A8" s="14">
        <f>IF(Récapitulatif!$A8="","",Récapitulatif!$A8)</f>
        <v/>
      </c>
      <c r="B8" s="14">
        <f>IF(A8="","",IFERROR(INDIRECT("'"&amp;A8&amp;"'!C5"),""))</f>
        <v/>
      </c>
      <c r="C8" s="14">
        <f>IF(A8="","",IF(IFERROR(INDIRECT("'"&amp;A8&amp;"'!C20"),"")="","À RENSEIGNER",IFERROR(INDIRECT("'"&amp;A8&amp;"'!C20"),"")))</f>
        <v/>
      </c>
      <c r="D8" s="14">
        <f>IF(A8="","",IFERROR(INDIRECT("'"&amp;A8&amp;"'!C21"),"")&amp;"")</f>
        <v/>
      </c>
      <c r="E8" s="14">
        <f>IF(A8="","","Loyer "&amp;IFERROR(INDIRECT("'"&amp;A8&amp;"'!C4"),""))</f>
        <v/>
      </c>
      <c r="F8" s="14">
        <f>IF(A8="","",IFERROR(INDIRECT("'"&amp;A8&amp;"'!C14"),""))</f>
        <v/>
      </c>
      <c r="G8" s="14">
        <f>IF(A8="","",IF(F8="Annuelle","yearly","monthly"))</f>
        <v/>
      </c>
      <c r="H8" s="14">
        <f>IF(A8="","",IF(F8="Mensuelle",1,IF(F8="Trimestrielle",3,IF(F8="Semestrielle",6,1))))</f>
        <v/>
      </c>
      <c r="I8" s="14">
        <f>IF(A8="","",IF(F8="Mensuelle","mois",IF(F8="Trimestrielle","trimestre",IF(F8="Semestrielle","semestre","an"))))</f>
        <v/>
      </c>
      <c r="J8" s="16">
        <f>IF(A8="","",IFERROR(ROUND(Récapitulatif!$I8/IF(F8="Mensuelle",12,IF(F8="Trimestrielle",4,IF(F8="Semestrielle",2,1))),2),""))</f>
        <v/>
      </c>
      <c r="K8" s="16">
        <f>IF(A8="","",IFERROR(ROUND(IF(IFERROR(INDIRECT("'"&amp;A8&amp;"'!C12"),"")="",0,IFERROR(INDIRECT("'"&amp;A8&amp;"'!C12"),""))/IF(F8="Mensuelle",12,IF(F8="Trimestrielle",4,IF(F8="Semestrielle",2,1))),2),""))</f>
        <v/>
      </c>
      <c r="L8" s="14">
        <f>IF(A8="","",IFERROR(INDIRECT("'"&amp;A8&amp;"'!C13"),""))</f>
        <v/>
      </c>
      <c r="M8" s="14">
        <f>IF(A8="","",IF(L8=20,"FR_200",IF(L8=10,"FR_100",IF(L8=5.5,"FR_55",IF(L8=2.1,"FR_21","exempt")))))</f>
        <v/>
      </c>
      <c r="N8" s="14">
        <f>IF(A8="","",Société!$B$11)</f>
        <v/>
      </c>
      <c r="O8" s="14">
        <f>IF(A8="","",Société!$B$12)</f>
        <v/>
      </c>
      <c r="P8" s="14">
        <f>IF(A8="","",Société!$B$13)</f>
        <v/>
      </c>
      <c r="Q8" s="15">
        <f>IF(A8="","",DATE(YEAR(TODAY()),MONTH(TODAY())+1,1))</f>
        <v/>
      </c>
      <c r="R8" s="14">
        <f>IF(A8="","",IFERROR(INDIRECT("'"&amp;A8&amp;"'!C22"),"")&amp;"")</f>
        <v/>
      </c>
      <c r="S8" s="14">
        <f>IF(OR(A8="",J8=""),"","{""customer_id"": "&amp;C8&amp;", ""label"": """&amp;E8&amp;""", ""start"": """&amp;YEAR(Q8)&amp;"-"&amp;TEXT(MONTH(Q8),"00")&amp;"-"&amp;TEXT(DAY(Q8),"00")&amp;""", ""mode"": {""type"": """&amp;N8&amp;"""}, ""payment_conditions"": """&amp;O8&amp;""", ""payment_method"": """&amp;P8&amp;""", ""recurring_rule"": "&amp;"{""type"": """&amp;G8&amp;""", ""interval"": "&amp;H8&amp;IF(G8="monthly",", ""day_of_month"": 1","")&amp;"}"&amp;", ""customer_invoice_data"": {""currency"": ""EUR"", ""language"": ""fr_FR"", ""pdf_invoice_subject"": """&amp;E8&amp;""", ""invoice_lines"": ["&amp;"{""label"": ""Loyer "&amp;LOWER(F8)&amp;" – "&amp;IFERROR(INDIRECT("'"&amp;A8&amp;"'!C4"),"")&amp;""", ""quantity"": 1, ""unit"": """&amp;I8&amp;""", ""raw_currency_unit_price"": """&amp;SUBSTITUTE(TEXT(J8,"0.00"),",",".")&amp;""", ""vat_rate"": """&amp;M8&amp;""""&amp;IF(D8&lt;&gt;"",", ""product_id"": "&amp;D8,"")&amp;"}"&amp;IF(K8&gt;0,", {""label"": ""Provision sur charges"", ""quantity"": 1, ""unit"": """&amp;I8&amp;""", ""raw_currency_unit_price"": """&amp;SUBSTITUTE(TEXT(K8,"0.00"),",",".")&amp;""", ""vat_rate"": """&amp;M8&amp;"""}","")&amp;"]}}")</f>
        <v/>
      </c>
    </row>
    <row r="9">
      <c r="A9" s="14">
        <f>IF(Récapitulatif!$A9="","",Récapitulatif!$A9)</f>
        <v/>
      </c>
      <c r="B9" s="14">
        <f>IF(A9="","",IFERROR(INDIRECT("'"&amp;A9&amp;"'!C5"),""))</f>
        <v/>
      </c>
      <c r="C9" s="14">
        <f>IF(A9="","",IF(IFERROR(INDIRECT("'"&amp;A9&amp;"'!C20"),"")="","À RENSEIGNER",IFERROR(INDIRECT("'"&amp;A9&amp;"'!C20"),"")))</f>
        <v/>
      </c>
      <c r="D9" s="14">
        <f>IF(A9="","",IFERROR(INDIRECT("'"&amp;A9&amp;"'!C21"),"")&amp;"")</f>
        <v/>
      </c>
      <c r="E9" s="14">
        <f>IF(A9="","","Loyer "&amp;IFERROR(INDIRECT("'"&amp;A9&amp;"'!C4"),""))</f>
        <v/>
      </c>
      <c r="F9" s="14">
        <f>IF(A9="","",IFERROR(INDIRECT("'"&amp;A9&amp;"'!C14"),""))</f>
        <v/>
      </c>
      <c r="G9" s="14">
        <f>IF(A9="","",IF(F9="Annuelle","yearly","monthly"))</f>
        <v/>
      </c>
      <c r="H9" s="14">
        <f>IF(A9="","",IF(F9="Mensuelle",1,IF(F9="Trimestrielle",3,IF(F9="Semestrielle",6,1))))</f>
        <v/>
      </c>
      <c r="I9" s="14">
        <f>IF(A9="","",IF(F9="Mensuelle","mois",IF(F9="Trimestrielle","trimestre",IF(F9="Semestrielle","semestre","an"))))</f>
        <v/>
      </c>
      <c r="J9" s="16">
        <f>IF(A9="","",IFERROR(ROUND(Récapitulatif!$I9/IF(F9="Mensuelle",12,IF(F9="Trimestrielle",4,IF(F9="Semestrielle",2,1))),2),""))</f>
        <v/>
      </c>
      <c r="K9" s="16">
        <f>IF(A9="","",IFERROR(ROUND(IF(IFERROR(INDIRECT("'"&amp;A9&amp;"'!C12"),"")="",0,IFERROR(INDIRECT("'"&amp;A9&amp;"'!C12"),""))/IF(F9="Mensuelle",12,IF(F9="Trimestrielle",4,IF(F9="Semestrielle",2,1))),2),""))</f>
        <v/>
      </c>
      <c r="L9" s="14">
        <f>IF(A9="","",IFERROR(INDIRECT("'"&amp;A9&amp;"'!C13"),""))</f>
        <v/>
      </c>
      <c r="M9" s="14">
        <f>IF(A9="","",IF(L9=20,"FR_200",IF(L9=10,"FR_100",IF(L9=5.5,"FR_55",IF(L9=2.1,"FR_21","exempt")))))</f>
        <v/>
      </c>
      <c r="N9" s="14">
        <f>IF(A9="","",Société!$B$11)</f>
        <v/>
      </c>
      <c r="O9" s="14">
        <f>IF(A9="","",Société!$B$12)</f>
        <v/>
      </c>
      <c r="P9" s="14">
        <f>IF(A9="","",Société!$B$13)</f>
        <v/>
      </c>
      <c r="Q9" s="15">
        <f>IF(A9="","",DATE(YEAR(TODAY()),MONTH(TODAY())+1,1))</f>
        <v/>
      </c>
      <c r="R9" s="14">
        <f>IF(A9="","",IFERROR(INDIRECT("'"&amp;A9&amp;"'!C22"),"")&amp;"")</f>
        <v/>
      </c>
      <c r="S9" s="14">
        <f>IF(OR(A9="",J9=""),"","{""customer_id"": "&amp;C9&amp;", ""label"": """&amp;E9&amp;""", ""start"": """&amp;YEAR(Q9)&amp;"-"&amp;TEXT(MONTH(Q9),"00")&amp;"-"&amp;TEXT(DAY(Q9),"00")&amp;""", ""mode"": {""type"": """&amp;N9&amp;"""}, ""payment_conditions"": """&amp;O9&amp;""", ""payment_method"": """&amp;P9&amp;""", ""recurring_rule"": "&amp;"{""type"": """&amp;G9&amp;""", ""interval"": "&amp;H9&amp;IF(G9="monthly",", ""day_of_month"": 1","")&amp;"}"&amp;", ""customer_invoice_data"": {""currency"": ""EUR"", ""language"": ""fr_FR"", ""pdf_invoice_subject"": """&amp;E9&amp;""", ""invoice_lines"": ["&amp;"{""label"": ""Loyer "&amp;LOWER(F9)&amp;" – "&amp;IFERROR(INDIRECT("'"&amp;A9&amp;"'!C4"),"")&amp;""", ""quantity"": 1, ""unit"": """&amp;I9&amp;""", ""raw_currency_unit_price"": """&amp;SUBSTITUTE(TEXT(J9,"0.00"),",",".")&amp;""", ""vat_rate"": """&amp;M9&amp;""""&amp;IF(D9&lt;&gt;"",", ""product_id"": "&amp;D9,"")&amp;"}"&amp;IF(K9&gt;0,", {""label"": ""Provision sur charges"", ""quantity"": 1, ""unit"": """&amp;I9&amp;""", ""raw_currency_unit_price"": """&amp;SUBSTITUTE(TEXT(K9,"0.00"),",",".")&amp;""", ""vat_rate"": """&amp;M9&amp;"""}","")&amp;"]}}")</f>
        <v/>
      </c>
    </row>
    <row r="10">
      <c r="A10" s="14">
        <f>IF(Récapitulatif!$A10="","",Récapitulatif!$A10)</f>
        <v/>
      </c>
      <c r="B10" s="14">
        <f>IF(A10="","",IFERROR(INDIRECT("'"&amp;A10&amp;"'!C5"),""))</f>
        <v/>
      </c>
      <c r="C10" s="14">
        <f>IF(A10="","",IF(IFERROR(INDIRECT("'"&amp;A10&amp;"'!C20"),"")="","À RENSEIGNER",IFERROR(INDIRECT("'"&amp;A10&amp;"'!C20"),"")))</f>
        <v/>
      </c>
      <c r="D10" s="14">
        <f>IF(A10="","",IFERROR(INDIRECT("'"&amp;A10&amp;"'!C21"),"")&amp;"")</f>
        <v/>
      </c>
      <c r="E10" s="14">
        <f>IF(A10="","","Loyer "&amp;IFERROR(INDIRECT("'"&amp;A10&amp;"'!C4"),""))</f>
        <v/>
      </c>
      <c r="F10" s="14">
        <f>IF(A10="","",IFERROR(INDIRECT("'"&amp;A10&amp;"'!C14"),""))</f>
        <v/>
      </c>
      <c r="G10" s="14">
        <f>IF(A10="","",IF(F10="Annuelle","yearly","monthly"))</f>
        <v/>
      </c>
      <c r="H10" s="14">
        <f>IF(A10="","",IF(F10="Mensuelle",1,IF(F10="Trimestrielle",3,IF(F10="Semestrielle",6,1))))</f>
        <v/>
      </c>
      <c r="I10" s="14">
        <f>IF(A10="","",IF(F10="Mensuelle","mois",IF(F10="Trimestrielle","trimestre",IF(F10="Semestrielle","semestre","an"))))</f>
        <v/>
      </c>
      <c r="J10" s="16">
        <f>IF(A10="","",IFERROR(ROUND(Récapitulatif!$I10/IF(F10="Mensuelle",12,IF(F10="Trimestrielle",4,IF(F10="Semestrielle",2,1))),2),""))</f>
        <v/>
      </c>
      <c r="K10" s="16">
        <f>IF(A10="","",IFERROR(ROUND(IF(IFERROR(INDIRECT("'"&amp;A10&amp;"'!C12"),"")="",0,IFERROR(INDIRECT("'"&amp;A10&amp;"'!C12"),""))/IF(F10="Mensuelle",12,IF(F10="Trimestrielle",4,IF(F10="Semestrielle",2,1))),2),""))</f>
        <v/>
      </c>
      <c r="L10" s="14">
        <f>IF(A10="","",IFERROR(INDIRECT("'"&amp;A10&amp;"'!C13"),""))</f>
        <v/>
      </c>
      <c r="M10" s="14">
        <f>IF(A10="","",IF(L10=20,"FR_200",IF(L10=10,"FR_100",IF(L10=5.5,"FR_55",IF(L10=2.1,"FR_21","exempt")))))</f>
        <v/>
      </c>
      <c r="N10" s="14">
        <f>IF(A10="","",Société!$B$11)</f>
        <v/>
      </c>
      <c r="O10" s="14">
        <f>IF(A10="","",Société!$B$12)</f>
        <v/>
      </c>
      <c r="P10" s="14">
        <f>IF(A10="","",Société!$B$13)</f>
        <v/>
      </c>
      <c r="Q10" s="15">
        <f>IF(A10="","",DATE(YEAR(TODAY()),MONTH(TODAY())+1,1))</f>
        <v/>
      </c>
      <c r="R10" s="14">
        <f>IF(A10="","",IFERROR(INDIRECT("'"&amp;A10&amp;"'!C22"),"")&amp;"")</f>
        <v/>
      </c>
      <c r="S10" s="14">
        <f>IF(OR(A10="",J10=""),"","{""customer_id"": "&amp;C10&amp;", ""label"": """&amp;E10&amp;""", ""start"": """&amp;YEAR(Q10)&amp;"-"&amp;TEXT(MONTH(Q10),"00")&amp;"-"&amp;TEXT(DAY(Q10),"00")&amp;""", ""mode"": {""type"": """&amp;N10&amp;"""}, ""payment_conditions"": """&amp;O10&amp;""", ""payment_method"": """&amp;P10&amp;""", ""recurring_rule"": "&amp;"{""type"": """&amp;G10&amp;""", ""interval"": "&amp;H10&amp;IF(G10="monthly",", ""day_of_month"": 1","")&amp;"}"&amp;", ""customer_invoice_data"": {""currency"": ""EUR"", ""language"": ""fr_FR"", ""pdf_invoice_subject"": """&amp;E10&amp;""", ""invoice_lines"": ["&amp;"{""label"": ""Loyer "&amp;LOWER(F10)&amp;" – "&amp;IFERROR(INDIRECT("'"&amp;A10&amp;"'!C4"),"")&amp;""", ""quantity"": 1, ""unit"": """&amp;I10&amp;""", ""raw_currency_unit_price"": """&amp;SUBSTITUTE(TEXT(J10,"0.00"),",",".")&amp;""", ""vat_rate"": """&amp;M10&amp;""""&amp;IF(D10&lt;&gt;"",", ""product_id"": "&amp;D10,"")&amp;"}"&amp;IF(K10&gt;0,", {""label"": ""Provision sur charges"", ""quantity"": 1, ""unit"": """&amp;I10&amp;""", ""raw_currency_unit_price"": """&amp;SUBSTITUTE(TEXT(K10,"0.00"),",",".")&amp;""", ""vat_rate"": """&amp;M10&amp;"""}","")&amp;"]}}")</f>
        <v/>
      </c>
    </row>
    <row r="11">
      <c r="A11" s="14">
        <f>IF(Récapitulatif!$A11="","",Récapitulatif!$A11)</f>
        <v/>
      </c>
      <c r="B11" s="14">
        <f>IF(A11="","",IFERROR(INDIRECT("'"&amp;A11&amp;"'!C5"),""))</f>
        <v/>
      </c>
      <c r="C11" s="14">
        <f>IF(A11="","",IF(IFERROR(INDIRECT("'"&amp;A11&amp;"'!C20"),"")="","À RENSEIGNER",IFERROR(INDIRECT("'"&amp;A11&amp;"'!C20"),"")))</f>
        <v/>
      </c>
      <c r="D11" s="14">
        <f>IF(A11="","",IFERROR(INDIRECT("'"&amp;A11&amp;"'!C21"),"")&amp;"")</f>
        <v/>
      </c>
      <c r="E11" s="14">
        <f>IF(A11="","","Loyer "&amp;IFERROR(INDIRECT("'"&amp;A11&amp;"'!C4"),""))</f>
        <v/>
      </c>
      <c r="F11" s="14">
        <f>IF(A11="","",IFERROR(INDIRECT("'"&amp;A11&amp;"'!C14"),""))</f>
        <v/>
      </c>
      <c r="G11" s="14">
        <f>IF(A11="","",IF(F11="Annuelle","yearly","monthly"))</f>
        <v/>
      </c>
      <c r="H11" s="14">
        <f>IF(A11="","",IF(F11="Mensuelle",1,IF(F11="Trimestrielle",3,IF(F11="Semestrielle",6,1))))</f>
        <v/>
      </c>
      <c r="I11" s="14">
        <f>IF(A11="","",IF(F11="Mensuelle","mois",IF(F11="Trimestrielle","trimestre",IF(F11="Semestrielle","semestre","an"))))</f>
        <v/>
      </c>
      <c r="J11" s="16">
        <f>IF(A11="","",IFERROR(ROUND(Récapitulatif!$I11/IF(F11="Mensuelle",12,IF(F11="Trimestrielle",4,IF(F11="Semestrielle",2,1))),2),""))</f>
        <v/>
      </c>
      <c r="K11" s="16">
        <f>IF(A11="","",IFERROR(ROUND(IF(IFERROR(INDIRECT("'"&amp;A11&amp;"'!C12"),"")="",0,IFERROR(INDIRECT("'"&amp;A11&amp;"'!C12"),""))/IF(F11="Mensuelle",12,IF(F11="Trimestrielle",4,IF(F11="Semestrielle",2,1))),2),""))</f>
        <v/>
      </c>
      <c r="L11" s="14">
        <f>IF(A11="","",IFERROR(INDIRECT("'"&amp;A11&amp;"'!C13"),""))</f>
        <v/>
      </c>
      <c r="M11" s="14">
        <f>IF(A11="","",IF(L11=20,"FR_200",IF(L11=10,"FR_100",IF(L11=5.5,"FR_55",IF(L11=2.1,"FR_21","exempt")))))</f>
        <v/>
      </c>
      <c r="N11" s="14">
        <f>IF(A11="","",Société!$B$11)</f>
        <v/>
      </c>
      <c r="O11" s="14">
        <f>IF(A11="","",Société!$B$12)</f>
        <v/>
      </c>
      <c r="P11" s="14">
        <f>IF(A11="","",Société!$B$13)</f>
        <v/>
      </c>
      <c r="Q11" s="15">
        <f>IF(A11="","",DATE(YEAR(TODAY()),MONTH(TODAY())+1,1))</f>
        <v/>
      </c>
      <c r="R11" s="14">
        <f>IF(A11="","",IFERROR(INDIRECT("'"&amp;A11&amp;"'!C22"),"")&amp;"")</f>
        <v/>
      </c>
      <c r="S11" s="14">
        <f>IF(OR(A11="",J11=""),"","{""customer_id"": "&amp;C11&amp;", ""label"": """&amp;E11&amp;""", ""start"": """&amp;YEAR(Q11)&amp;"-"&amp;TEXT(MONTH(Q11),"00")&amp;"-"&amp;TEXT(DAY(Q11),"00")&amp;""", ""mode"": {""type"": """&amp;N11&amp;"""}, ""payment_conditions"": """&amp;O11&amp;""", ""payment_method"": """&amp;P11&amp;""", ""recurring_rule"": "&amp;"{""type"": """&amp;G11&amp;""", ""interval"": "&amp;H11&amp;IF(G11="monthly",", ""day_of_month"": 1","")&amp;"}"&amp;", ""customer_invoice_data"": {""currency"": ""EUR"", ""language"": ""fr_FR"", ""pdf_invoice_subject"": """&amp;E11&amp;""", ""invoice_lines"": ["&amp;"{""label"": ""Loyer "&amp;LOWER(F11)&amp;" – "&amp;IFERROR(INDIRECT("'"&amp;A11&amp;"'!C4"),"")&amp;""", ""quantity"": 1, ""unit"": """&amp;I11&amp;""", ""raw_currency_unit_price"": """&amp;SUBSTITUTE(TEXT(J11,"0.00"),",",".")&amp;""", ""vat_rate"": """&amp;M11&amp;""""&amp;IF(D11&lt;&gt;"",", ""product_id"": "&amp;D11,"")&amp;"}"&amp;IF(K11&gt;0,", {""label"": ""Provision sur charges"", ""quantity"": 1, ""unit"": """&amp;I11&amp;""", ""raw_currency_unit_price"": """&amp;SUBSTITUTE(TEXT(K11,"0.00"),",",".")&amp;""", ""vat_rate"": """&amp;M11&amp;"""}","")&amp;"]}}")</f>
        <v/>
      </c>
    </row>
    <row r="12">
      <c r="A12" s="14">
        <f>IF(Récapitulatif!$A12="","",Récapitulatif!$A12)</f>
        <v/>
      </c>
      <c r="B12" s="14">
        <f>IF(A12="","",IFERROR(INDIRECT("'"&amp;A12&amp;"'!C5"),""))</f>
        <v/>
      </c>
      <c r="C12" s="14">
        <f>IF(A12="","",IF(IFERROR(INDIRECT("'"&amp;A12&amp;"'!C20"),"")="","À RENSEIGNER",IFERROR(INDIRECT("'"&amp;A12&amp;"'!C20"),"")))</f>
        <v/>
      </c>
      <c r="D12" s="14">
        <f>IF(A12="","",IFERROR(INDIRECT("'"&amp;A12&amp;"'!C21"),"")&amp;"")</f>
        <v/>
      </c>
      <c r="E12" s="14">
        <f>IF(A12="","","Loyer "&amp;IFERROR(INDIRECT("'"&amp;A12&amp;"'!C4"),""))</f>
        <v/>
      </c>
      <c r="F12" s="14">
        <f>IF(A12="","",IFERROR(INDIRECT("'"&amp;A12&amp;"'!C14"),""))</f>
        <v/>
      </c>
      <c r="G12" s="14">
        <f>IF(A12="","",IF(F12="Annuelle","yearly","monthly"))</f>
        <v/>
      </c>
      <c r="H12" s="14">
        <f>IF(A12="","",IF(F12="Mensuelle",1,IF(F12="Trimestrielle",3,IF(F12="Semestrielle",6,1))))</f>
        <v/>
      </c>
      <c r="I12" s="14">
        <f>IF(A12="","",IF(F12="Mensuelle","mois",IF(F12="Trimestrielle","trimestre",IF(F12="Semestrielle","semestre","an"))))</f>
        <v/>
      </c>
      <c r="J12" s="16">
        <f>IF(A12="","",IFERROR(ROUND(Récapitulatif!$I12/IF(F12="Mensuelle",12,IF(F12="Trimestrielle",4,IF(F12="Semestrielle",2,1))),2),""))</f>
        <v/>
      </c>
      <c r="K12" s="16">
        <f>IF(A12="","",IFERROR(ROUND(IF(IFERROR(INDIRECT("'"&amp;A12&amp;"'!C12"),"")="",0,IFERROR(INDIRECT("'"&amp;A12&amp;"'!C12"),""))/IF(F12="Mensuelle",12,IF(F12="Trimestrielle",4,IF(F12="Semestrielle",2,1))),2),""))</f>
        <v/>
      </c>
      <c r="L12" s="14">
        <f>IF(A12="","",IFERROR(INDIRECT("'"&amp;A12&amp;"'!C13"),""))</f>
        <v/>
      </c>
      <c r="M12" s="14">
        <f>IF(A12="","",IF(L12=20,"FR_200",IF(L12=10,"FR_100",IF(L12=5.5,"FR_55",IF(L12=2.1,"FR_21","exempt")))))</f>
        <v/>
      </c>
      <c r="N12" s="14">
        <f>IF(A12="","",Société!$B$11)</f>
        <v/>
      </c>
      <c r="O12" s="14">
        <f>IF(A12="","",Société!$B$12)</f>
        <v/>
      </c>
      <c r="P12" s="14">
        <f>IF(A12="","",Société!$B$13)</f>
        <v/>
      </c>
      <c r="Q12" s="15">
        <f>IF(A12="","",DATE(YEAR(TODAY()),MONTH(TODAY())+1,1))</f>
        <v/>
      </c>
      <c r="R12" s="14">
        <f>IF(A12="","",IFERROR(INDIRECT("'"&amp;A12&amp;"'!C22"),"")&amp;"")</f>
        <v/>
      </c>
      <c r="S12" s="14">
        <f>IF(OR(A12="",J12=""),"","{""customer_id"": "&amp;C12&amp;", ""label"": """&amp;E12&amp;""", ""start"": """&amp;YEAR(Q12)&amp;"-"&amp;TEXT(MONTH(Q12),"00")&amp;"-"&amp;TEXT(DAY(Q12),"00")&amp;""", ""mode"": {""type"": """&amp;N12&amp;"""}, ""payment_conditions"": """&amp;O12&amp;""", ""payment_method"": """&amp;P12&amp;""", ""recurring_rule"": "&amp;"{""type"": """&amp;G12&amp;""", ""interval"": "&amp;H12&amp;IF(G12="monthly",", ""day_of_month"": 1","")&amp;"}"&amp;", ""customer_invoice_data"": {""currency"": ""EUR"", ""language"": ""fr_FR"", ""pdf_invoice_subject"": """&amp;E12&amp;""", ""invoice_lines"": ["&amp;"{""label"": ""Loyer "&amp;LOWER(F12)&amp;" – "&amp;IFERROR(INDIRECT("'"&amp;A12&amp;"'!C4"),"")&amp;""", ""quantity"": 1, ""unit"": """&amp;I12&amp;""", ""raw_currency_unit_price"": """&amp;SUBSTITUTE(TEXT(J12,"0.00"),",",".")&amp;""", ""vat_rate"": """&amp;M12&amp;""""&amp;IF(D12&lt;&gt;"",", ""product_id"": "&amp;D12,"")&amp;"}"&amp;IF(K12&gt;0,", {""label"": ""Provision sur charges"", ""quantity"": 1, ""unit"": """&amp;I12&amp;""", ""raw_currency_unit_price"": """&amp;SUBSTITUTE(TEXT(K12,"0.00"),",",".")&amp;""", ""vat_rate"": """&amp;M12&amp;"""}","")&amp;"]}}")</f>
        <v/>
      </c>
    </row>
    <row r="13">
      <c r="A13" s="14">
        <f>IF(Récapitulatif!$A13="","",Récapitulatif!$A13)</f>
        <v/>
      </c>
      <c r="B13" s="14">
        <f>IF(A13="","",IFERROR(INDIRECT("'"&amp;A13&amp;"'!C5"),""))</f>
        <v/>
      </c>
      <c r="C13" s="14">
        <f>IF(A13="","",IF(IFERROR(INDIRECT("'"&amp;A13&amp;"'!C20"),"")="","À RENSEIGNER",IFERROR(INDIRECT("'"&amp;A13&amp;"'!C20"),"")))</f>
        <v/>
      </c>
      <c r="D13" s="14">
        <f>IF(A13="","",IFERROR(INDIRECT("'"&amp;A13&amp;"'!C21"),"")&amp;"")</f>
        <v/>
      </c>
      <c r="E13" s="14">
        <f>IF(A13="","","Loyer "&amp;IFERROR(INDIRECT("'"&amp;A13&amp;"'!C4"),""))</f>
        <v/>
      </c>
      <c r="F13" s="14">
        <f>IF(A13="","",IFERROR(INDIRECT("'"&amp;A13&amp;"'!C14"),""))</f>
        <v/>
      </c>
      <c r="G13" s="14">
        <f>IF(A13="","",IF(F13="Annuelle","yearly","monthly"))</f>
        <v/>
      </c>
      <c r="H13" s="14">
        <f>IF(A13="","",IF(F13="Mensuelle",1,IF(F13="Trimestrielle",3,IF(F13="Semestrielle",6,1))))</f>
        <v/>
      </c>
      <c r="I13" s="14">
        <f>IF(A13="","",IF(F13="Mensuelle","mois",IF(F13="Trimestrielle","trimestre",IF(F13="Semestrielle","semestre","an"))))</f>
        <v/>
      </c>
      <c r="J13" s="16">
        <f>IF(A13="","",IFERROR(ROUND(Récapitulatif!$I13/IF(F13="Mensuelle",12,IF(F13="Trimestrielle",4,IF(F13="Semestrielle",2,1))),2),""))</f>
        <v/>
      </c>
      <c r="K13" s="16">
        <f>IF(A13="","",IFERROR(ROUND(IF(IFERROR(INDIRECT("'"&amp;A13&amp;"'!C12"),"")="",0,IFERROR(INDIRECT("'"&amp;A13&amp;"'!C12"),""))/IF(F13="Mensuelle",12,IF(F13="Trimestrielle",4,IF(F13="Semestrielle",2,1))),2),""))</f>
        <v/>
      </c>
      <c r="L13" s="14">
        <f>IF(A13="","",IFERROR(INDIRECT("'"&amp;A13&amp;"'!C13"),""))</f>
        <v/>
      </c>
      <c r="M13" s="14">
        <f>IF(A13="","",IF(L13=20,"FR_200",IF(L13=10,"FR_100",IF(L13=5.5,"FR_55",IF(L13=2.1,"FR_21","exempt")))))</f>
        <v/>
      </c>
      <c r="N13" s="14">
        <f>IF(A13="","",Société!$B$11)</f>
        <v/>
      </c>
      <c r="O13" s="14">
        <f>IF(A13="","",Société!$B$12)</f>
        <v/>
      </c>
      <c r="P13" s="14">
        <f>IF(A13="","",Société!$B$13)</f>
        <v/>
      </c>
      <c r="Q13" s="15">
        <f>IF(A13="","",DATE(YEAR(TODAY()),MONTH(TODAY())+1,1))</f>
        <v/>
      </c>
      <c r="R13" s="14">
        <f>IF(A13="","",IFERROR(INDIRECT("'"&amp;A13&amp;"'!C22"),"")&amp;"")</f>
        <v/>
      </c>
      <c r="S13" s="14">
        <f>IF(OR(A13="",J13=""),"","{""customer_id"": "&amp;C13&amp;", ""label"": """&amp;E13&amp;""", ""start"": """&amp;YEAR(Q13)&amp;"-"&amp;TEXT(MONTH(Q13),"00")&amp;"-"&amp;TEXT(DAY(Q13),"00")&amp;""", ""mode"": {""type"": """&amp;N13&amp;"""}, ""payment_conditions"": """&amp;O13&amp;""", ""payment_method"": """&amp;P13&amp;""", ""recurring_rule"": "&amp;"{""type"": """&amp;G13&amp;""", ""interval"": "&amp;H13&amp;IF(G13="monthly",", ""day_of_month"": 1","")&amp;"}"&amp;", ""customer_invoice_data"": {""currency"": ""EUR"", ""language"": ""fr_FR"", ""pdf_invoice_subject"": """&amp;E13&amp;""", ""invoice_lines"": ["&amp;"{""label"": ""Loyer "&amp;LOWER(F13)&amp;" – "&amp;IFERROR(INDIRECT("'"&amp;A13&amp;"'!C4"),"")&amp;""", ""quantity"": 1, ""unit"": """&amp;I13&amp;""", ""raw_currency_unit_price"": """&amp;SUBSTITUTE(TEXT(J13,"0.00"),",",".")&amp;""", ""vat_rate"": """&amp;M13&amp;""""&amp;IF(D13&lt;&gt;"",", ""product_id"": "&amp;D13,"")&amp;"}"&amp;IF(K13&gt;0,", {""label"": ""Provision sur charges"", ""quantity"": 1, ""unit"": """&amp;I13&amp;""", ""raw_currency_unit_price"": """&amp;SUBSTITUTE(TEXT(K13,"0.00"),",",".")&amp;""", ""vat_rate"": """&amp;M13&amp;"""}","")&amp;"]}}")</f>
        <v/>
      </c>
    </row>
    <row r="14">
      <c r="A14" s="14">
        <f>IF(Récapitulatif!$A14="","",Récapitulatif!$A14)</f>
        <v/>
      </c>
      <c r="B14" s="14">
        <f>IF(A14="","",IFERROR(INDIRECT("'"&amp;A14&amp;"'!C5"),""))</f>
        <v/>
      </c>
      <c r="C14" s="14">
        <f>IF(A14="","",IF(IFERROR(INDIRECT("'"&amp;A14&amp;"'!C20"),"")="","À RENSEIGNER",IFERROR(INDIRECT("'"&amp;A14&amp;"'!C20"),"")))</f>
        <v/>
      </c>
      <c r="D14" s="14">
        <f>IF(A14="","",IFERROR(INDIRECT("'"&amp;A14&amp;"'!C21"),"")&amp;"")</f>
        <v/>
      </c>
      <c r="E14" s="14">
        <f>IF(A14="","","Loyer "&amp;IFERROR(INDIRECT("'"&amp;A14&amp;"'!C4"),""))</f>
        <v/>
      </c>
      <c r="F14" s="14">
        <f>IF(A14="","",IFERROR(INDIRECT("'"&amp;A14&amp;"'!C14"),""))</f>
        <v/>
      </c>
      <c r="G14" s="14">
        <f>IF(A14="","",IF(F14="Annuelle","yearly","monthly"))</f>
        <v/>
      </c>
      <c r="H14" s="14">
        <f>IF(A14="","",IF(F14="Mensuelle",1,IF(F14="Trimestrielle",3,IF(F14="Semestrielle",6,1))))</f>
        <v/>
      </c>
      <c r="I14" s="14">
        <f>IF(A14="","",IF(F14="Mensuelle","mois",IF(F14="Trimestrielle","trimestre",IF(F14="Semestrielle","semestre","an"))))</f>
        <v/>
      </c>
      <c r="J14" s="16">
        <f>IF(A14="","",IFERROR(ROUND(Récapitulatif!$I14/IF(F14="Mensuelle",12,IF(F14="Trimestrielle",4,IF(F14="Semestrielle",2,1))),2),""))</f>
        <v/>
      </c>
      <c r="K14" s="16">
        <f>IF(A14="","",IFERROR(ROUND(IF(IFERROR(INDIRECT("'"&amp;A14&amp;"'!C12"),"")="",0,IFERROR(INDIRECT("'"&amp;A14&amp;"'!C12"),""))/IF(F14="Mensuelle",12,IF(F14="Trimestrielle",4,IF(F14="Semestrielle",2,1))),2),""))</f>
        <v/>
      </c>
      <c r="L14" s="14">
        <f>IF(A14="","",IFERROR(INDIRECT("'"&amp;A14&amp;"'!C13"),""))</f>
        <v/>
      </c>
      <c r="M14" s="14">
        <f>IF(A14="","",IF(L14=20,"FR_200",IF(L14=10,"FR_100",IF(L14=5.5,"FR_55",IF(L14=2.1,"FR_21","exempt")))))</f>
        <v/>
      </c>
      <c r="N14" s="14">
        <f>IF(A14="","",Société!$B$11)</f>
        <v/>
      </c>
      <c r="O14" s="14">
        <f>IF(A14="","",Société!$B$12)</f>
        <v/>
      </c>
      <c r="P14" s="14">
        <f>IF(A14="","",Société!$B$13)</f>
        <v/>
      </c>
      <c r="Q14" s="15">
        <f>IF(A14="","",DATE(YEAR(TODAY()),MONTH(TODAY())+1,1))</f>
        <v/>
      </c>
      <c r="R14" s="14">
        <f>IF(A14="","",IFERROR(INDIRECT("'"&amp;A14&amp;"'!C22"),"")&amp;"")</f>
        <v/>
      </c>
      <c r="S14" s="14">
        <f>IF(OR(A14="",J14=""),"","{""customer_id"": "&amp;C14&amp;", ""label"": """&amp;E14&amp;""", ""start"": """&amp;YEAR(Q14)&amp;"-"&amp;TEXT(MONTH(Q14),"00")&amp;"-"&amp;TEXT(DAY(Q14),"00")&amp;""", ""mode"": {""type"": """&amp;N14&amp;"""}, ""payment_conditions"": """&amp;O14&amp;""", ""payment_method"": """&amp;P14&amp;""", ""recurring_rule"": "&amp;"{""type"": """&amp;G14&amp;""", ""interval"": "&amp;H14&amp;IF(G14="monthly",", ""day_of_month"": 1","")&amp;"}"&amp;", ""customer_invoice_data"": {""currency"": ""EUR"", ""language"": ""fr_FR"", ""pdf_invoice_subject"": """&amp;E14&amp;""", ""invoice_lines"": ["&amp;"{""label"": ""Loyer "&amp;LOWER(F14)&amp;" – "&amp;IFERROR(INDIRECT("'"&amp;A14&amp;"'!C4"),"")&amp;""", ""quantity"": 1, ""unit"": """&amp;I14&amp;""", ""raw_currency_unit_price"": """&amp;SUBSTITUTE(TEXT(J14,"0.00"),",",".")&amp;""", ""vat_rate"": """&amp;M14&amp;""""&amp;IF(D14&lt;&gt;"",", ""product_id"": "&amp;D14,"")&amp;"}"&amp;IF(K14&gt;0,", {""label"": ""Provision sur charges"", ""quantity"": 1, ""unit"": """&amp;I14&amp;""", ""raw_currency_unit_price"": """&amp;SUBSTITUTE(TEXT(K14,"0.00"),",",".")&amp;""", ""vat_rate"": """&amp;M14&amp;"""}","")&amp;"]}}")</f>
        <v/>
      </c>
    </row>
    <row r="15">
      <c r="A15" s="14">
        <f>IF(Récapitulatif!$A15="","",Récapitulatif!$A15)</f>
        <v/>
      </c>
      <c r="B15" s="14">
        <f>IF(A15="","",IFERROR(INDIRECT("'"&amp;A15&amp;"'!C5"),""))</f>
        <v/>
      </c>
      <c r="C15" s="14">
        <f>IF(A15="","",IF(IFERROR(INDIRECT("'"&amp;A15&amp;"'!C20"),"")="","À RENSEIGNER",IFERROR(INDIRECT("'"&amp;A15&amp;"'!C20"),"")))</f>
        <v/>
      </c>
      <c r="D15" s="14">
        <f>IF(A15="","",IFERROR(INDIRECT("'"&amp;A15&amp;"'!C21"),"")&amp;"")</f>
        <v/>
      </c>
      <c r="E15" s="14">
        <f>IF(A15="","","Loyer "&amp;IFERROR(INDIRECT("'"&amp;A15&amp;"'!C4"),""))</f>
        <v/>
      </c>
      <c r="F15" s="14">
        <f>IF(A15="","",IFERROR(INDIRECT("'"&amp;A15&amp;"'!C14"),""))</f>
        <v/>
      </c>
      <c r="G15" s="14">
        <f>IF(A15="","",IF(F15="Annuelle","yearly","monthly"))</f>
        <v/>
      </c>
      <c r="H15" s="14">
        <f>IF(A15="","",IF(F15="Mensuelle",1,IF(F15="Trimestrielle",3,IF(F15="Semestrielle",6,1))))</f>
        <v/>
      </c>
      <c r="I15" s="14">
        <f>IF(A15="","",IF(F15="Mensuelle","mois",IF(F15="Trimestrielle","trimestre",IF(F15="Semestrielle","semestre","an"))))</f>
        <v/>
      </c>
      <c r="J15" s="16">
        <f>IF(A15="","",IFERROR(ROUND(Récapitulatif!$I15/IF(F15="Mensuelle",12,IF(F15="Trimestrielle",4,IF(F15="Semestrielle",2,1))),2),""))</f>
        <v/>
      </c>
      <c r="K15" s="16">
        <f>IF(A15="","",IFERROR(ROUND(IF(IFERROR(INDIRECT("'"&amp;A15&amp;"'!C12"),"")="",0,IFERROR(INDIRECT("'"&amp;A15&amp;"'!C12"),""))/IF(F15="Mensuelle",12,IF(F15="Trimestrielle",4,IF(F15="Semestrielle",2,1))),2),""))</f>
        <v/>
      </c>
      <c r="L15" s="14">
        <f>IF(A15="","",IFERROR(INDIRECT("'"&amp;A15&amp;"'!C13"),""))</f>
        <v/>
      </c>
      <c r="M15" s="14">
        <f>IF(A15="","",IF(L15=20,"FR_200",IF(L15=10,"FR_100",IF(L15=5.5,"FR_55",IF(L15=2.1,"FR_21","exempt")))))</f>
        <v/>
      </c>
      <c r="N15" s="14">
        <f>IF(A15="","",Société!$B$11)</f>
        <v/>
      </c>
      <c r="O15" s="14">
        <f>IF(A15="","",Société!$B$12)</f>
        <v/>
      </c>
      <c r="P15" s="14">
        <f>IF(A15="","",Société!$B$13)</f>
        <v/>
      </c>
      <c r="Q15" s="15">
        <f>IF(A15="","",DATE(YEAR(TODAY()),MONTH(TODAY())+1,1))</f>
        <v/>
      </c>
      <c r="R15" s="14">
        <f>IF(A15="","",IFERROR(INDIRECT("'"&amp;A15&amp;"'!C22"),"")&amp;"")</f>
        <v/>
      </c>
      <c r="S15" s="14">
        <f>IF(OR(A15="",J15=""),"","{""customer_id"": "&amp;C15&amp;", ""label"": """&amp;E15&amp;""", ""start"": """&amp;YEAR(Q15)&amp;"-"&amp;TEXT(MONTH(Q15),"00")&amp;"-"&amp;TEXT(DAY(Q15),"00")&amp;""", ""mode"": {""type"": """&amp;N15&amp;"""}, ""payment_conditions"": """&amp;O15&amp;""", ""payment_method"": """&amp;P15&amp;""", ""recurring_rule"": "&amp;"{""type"": """&amp;G15&amp;""", ""interval"": "&amp;H15&amp;IF(G15="monthly",", ""day_of_month"": 1","")&amp;"}"&amp;", ""customer_invoice_data"": {""currency"": ""EUR"", ""language"": ""fr_FR"", ""pdf_invoice_subject"": """&amp;E15&amp;""", ""invoice_lines"": ["&amp;"{""label"": ""Loyer "&amp;LOWER(F15)&amp;" – "&amp;IFERROR(INDIRECT("'"&amp;A15&amp;"'!C4"),"")&amp;""", ""quantity"": 1, ""unit"": """&amp;I15&amp;""", ""raw_currency_unit_price"": """&amp;SUBSTITUTE(TEXT(J15,"0.00"),",",".")&amp;""", ""vat_rate"": """&amp;M15&amp;""""&amp;IF(D15&lt;&gt;"",", ""product_id"": "&amp;D15,"")&amp;"}"&amp;IF(K15&gt;0,", {""label"": ""Provision sur charges"", ""quantity"": 1, ""unit"": """&amp;I15&amp;""", ""raw_currency_unit_price"": """&amp;SUBSTITUTE(TEXT(K15,"0.00"),",",".")&amp;""", ""vat_rate"": """&amp;M15&amp;"""}","")&amp;"]}}")</f>
        <v/>
      </c>
    </row>
    <row r="16">
      <c r="A16" s="14">
        <f>IF(Récapitulatif!$A16="","",Récapitulatif!$A16)</f>
        <v/>
      </c>
      <c r="B16" s="14">
        <f>IF(A16="","",IFERROR(INDIRECT("'"&amp;A16&amp;"'!C5"),""))</f>
        <v/>
      </c>
      <c r="C16" s="14">
        <f>IF(A16="","",IF(IFERROR(INDIRECT("'"&amp;A16&amp;"'!C20"),"")="","À RENSEIGNER",IFERROR(INDIRECT("'"&amp;A16&amp;"'!C20"),"")))</f>
        <v/>
      </c>
      <c r="D16" s="14">
        <f>IF(A16="","",IFERROR(INDIRECT("'"&amp;A16&amp;"'!C21"),"")&amp;"")</f>
        <v/>
      </c>
      <c r="E16" s="14">
        <f>IF(A16="","","Loyer "&amp;IFERROR(INDIRECT("'"&amp;A16&amp;"'!C4"),""))</f>
        <v/>
      </c>
      <c r="F16" s="14">
        <f>IF(A16="","",IFERROR(INDIRECT("'"&amp;A16&amp;"'!C14"),""))</f>
        <v/>
      </c>
      <c r="G16" s="14">
        <f>IF(A16="","",IF(F16="Annuelle","yearly","monthly"))</f>
        <v/>
      </c>
      <c r="H16" s="14">
        <f>IF(A16="","",IF(F16="Mensuelle",1,IF(F16="Trimestrielle",3,IF(F16="Semestrielle",6,1))))</f>
        <v/>
      </c>
      <c r="I16" s="14">
        <f>IF(A16="","",IF(F16="Mensuelle","mois",IF(F16="Trimestrielle","trimestre",IF(F16="Semestrielle","semestre","an"))))</f>
        <v/>
      </c>
      <c r="J16" s="16">
        <f>IF(A16="","",IFERROR(ROUND(Récapitulatif!$I16/IF(F16="Mensuelle",12,IF(F16="Trimestrielle",4,IF(F16="Semestrielle",2,1))),2),""))</f>
        <v/>
      </c>
      <c r="K16" s="16">
        <f>IF(A16="","",IFERROR(ROUND(IF(IFERROR(INDIRECT("'"&amp;A16&amp;"'!C12"),"")="",0,IFERROR(INDIRECT("'"&amp;A16&amp;"'!C12"),""))/IF(F16="Mensuelle",12,IF(F16="Trimestrielle",4,IF(F16="Semestrielle",2,1))),2),""))</f>
        <v/>
      </c>
      <c r="L16" s="14">
        <f>IF(A16="","",IFERROR(INDIRECT("'"&amp;A16&amp;"'!C13"),""))</f>
        <v/>
      </c>
      <c r="M16" s="14">
        <f>IF(A16="","",IF(L16=20,"FR_200",IF(L16=10,"FR_100",IF(L16=5.5,"FR_55",IF(L16=2.1,"FR_21","exempt")))))</f>
        <v/>
      </c>
      <c r="N16" s="14">
        <f>IF(A16="","",Société!$B$11)</f>
        <v/>
      </c>
      <c r="O16" s="14">
        <f>IF(A16="","",Société!$B$12)</f>
        <v/>
      </c>
      <c r="P16" s="14">
        <f>IF(A16="","",Société!$B$13)</f>
        <v/>
      </c>
      <c r="Q16" s="15">
        <f>IF(A16="","",DATE(YEAR(TODAY()),MONTH(TODAY())+1,1))</f>
        <v/>
      </c>
      <c r="R16" s="14">
        <f>IF(A16="","",IFERROR(INDIRECT("'"&amp;A16&amp;"'!C22"),"")&amp;"")</f>
        <v/>
      </c>
      <c r="S16" s="14">
        <f>IF(OR(A16="",J16=""),"","{""customer_id"": "&amp;C16&amp;", ""label"": """&amp;E16&amp;""", ""start"": """&amp;YEAR(Q16)&amp;"-"&amp;TEXT(MONTH(Q16),"00")&amp;"-"&amp;TEXT(DAY(Q16),"00")&amp;""", ""mode"": {""type"": """&amp;N16&amp;"""}, ""payment_conditions"": """&amp;O16&amp;""", ""payment_method"": """&amp;P16&amp;""", ""recurring_rule"": "&amp;"{""type"": """&amp;G16&amp;""", ""interval"": "&amp;H16&amp;IF(G16="monthly",", ""day_of_month"": 1","")&amp;"}"&amp;", ""customer_invoice_data"": {""currency"": ""EUR"", ""language"": ""fr_FR"", ""pdf_invoice_subject"": """&amp;E16&amp;""", ""invoice_lines"": ["&amp;"{""label"": ""Loyer "&amp;LOWER(F16)&amp;" – "&amp;IFERROR(INDIRECT("'"&amp;A16&amp;"'!C4"),"")&amp;""", ""quantity"": 1, ""unit"": """&amp;I16&amp;""", ""raw_currency_unit_price"": """&amp;SUBSTITUTE(TEXT(J16,"0.00"),",",".")&amp;""", ""vat_rate"": """&amp;M16&amp;""""&amp;IF(D16&lt;&gt;"",", ""product_id"": "&amp;D16,"")&amp;"}"&amp;IF(K16&gt;0,", {""label"": ""Provision sur charges"", ""quantity"": 1, ""unit"": """&amp;I16&amp;""", ""raw_currency_unit_price"": """&amp;SUBSTITUTE(TEXT(K16,"0.00"),",",".")&amp;""", ""vat_rate"": """&amp;M16&amp;"""}","")&amp;"]}}")</f>
        <v/>
      </c>
    </row>
    <row r="17">
      <c r="A17" s="14">
        <f>IF(Récapitulatif!$A17="","",Récapitulatif!$A17)</f>
        <v/>
      </c>
      <c r="B17" s="14">
        <f>IF(A17="","",IFERROR(INDIRECT("'"&amp;A17&amp;"'!C5"),""))</f>
        <v/>
      </c>
      <c r="C17" s="14">
        <f>IF(A17="","",IF(IFERROR(INDIRECT("'"&amp;A17&amp;"'!C20"),"")="","À RENSEIGNER",IFERROR(INDIRECT("'"&amp;A17&amp;"'!C20"),"")))</f>
        <v/>
      </c>
      <c r="D17" s="14">
        <f>IF(A17="","",IFERROR(INDIRECT("'"&amp;A17&amp;"'!C21"),"")&amp;"")</f>
        <v/>
      </c>
      <c r="E17" s="14">
        <f>IF(A17="","","Loyer "&amp;IFERROR(INDIRECT("'"&amp;A17&amp;"'!C4"),""))</f>
        <v/>
      </c>
      <c r="F17" s="14">
        <f>IF(A17="","",IFERROR(INDIRECT("'"&amp;A17&amp;"'!C14"),""))</f>
        <v/>
      </c>
      <c r="G17" s="14">
        <f>IF(A17="","",IF(F17="Annuelle","yearly","monthly"))</f>
        <v/>
      </c>
      <c r="H17" s="14">
        <f>IF(A17="","",IF(F17="Mensuelle",1,IF(F17="Trimestrielle",3,IF(F17="Semestrielle",6,1))))</f>
        <v/>
      </c>
      <c r="I17" s="14">
        <f>IF(A17="","",IF(F17="Mensuelle","mois",IF(F17="Trimestrielle","trimestre",IF(F17="Semestrielle","semestre","an"))))</f>
        <v/>
      </c>
      <c r="J17" s="16">
        <f>IF(A17="","",IFERROR(ROUND(Récapitulatif!$I17/IF(F17="Mensuelle",12,IF(F17="Trimestrielle",4,IF(F17="Semestrielle",2,1))),2),""))</f>
        <v/>
      </c>
      <c r="K17" s="16">
        <f>IF(A17="","",IFERROR(ROUND(IF(IFERROR(INDIRECT("'"&amp;A17&amp;"'!C12"),"")="",0,IFERROR(INDIRECT("'"&amp;A17&amp;"'!C12"),""))/IF(F17="Mensuelle",12,IF(F17="Trimestrielle",4,IF(F17="Semestrielle",2,1))),2),""))</f>
        <v/>
      </c>
      <c r="L17" s="14">
        <f>IF(A17="","",IFERROR(INDIRECT("'"&amp;A17&amp;"'!C13"),""))</f>
        <v/>
      </c>
      <c r="M17" s="14">
        <f>IF(A17="","",IF(L17=20,"FR_200",IF(L17=10,"FR_100",IF(L17=5.5,"FR_55",IF(L17=2.1,"FR_21","exempt")))))</f>
        <v/>
      </c>
      <c r="N17" s="14">
        <f>IF(A17="","",Société!$B$11)</f>
        <v/>
      </c>
      <c r="O17" s="14">
        <f>IF(A17="","",Société!$B$12)</f>
        <v/>
      </c>
      <c r="P17" s="14">
        <f>IF(A17="","",Société!$B$13)</f>
        <v/>
      </c>
      <c r="Q17" s="15">
        <f>IF(A17="","",DATE(YEAR(TODAY()),MONTH(TODAY())+1,1))</f>
        <v/>
      </c>
      <c r="R17" s="14">
        <f>IF(A17="","",IFERROR(INDIRECT("'"&amp;A17&amp;"'!C22"),"")&amp;"")</f>
        <v/>
      </c>
      <c r="S17" s="14">
        <f>IF(OR(A17="",J17=""),"","{""customer_id"": "&amp;C17&amp;", ""label"": """&amp;E17&amp;""", ""start"": """&amp;YEAR(Q17)&amp;"-"&amp;TEXT(MONTH(Q17),"00")&amp;"-"&amp;TEXT(DAY(Q17),"00")&amp;""", ""mode"": {""type"": """&amp;N17&amp;"""}, ""payment_conditions"": """&amp;O17&amp;""", ""payment_method"": """&amp;P17&amp;""", ""recurring_rule"": "&amp;"{""type"": """&amp;G17&amp;""", ""interval"": "&amp;H17&amp;IF(G17="monthly",", ""day_of_month"": 1","")&amp;"}"&amp;", ""customer_invoice_data"": {""currency"": ""EUR"", ""language"": ""fr_FR"", ""pdf_invoice_subject"": """&amp;E17&amp;""", ""invoice_lines"": ["&amp;"{""label"": ""Loyer "&amp;LOWER(F17)&amp;" – "&amp;IFERROR(INDIRECT("'"&amp;A17&amp;"'!C4"),"")&amp;""", ""quantity"": 1, ""unit"": """&amp;I17&amp;""", ""raw_currency_unit_price"": """&amp;SUBSTITUTE(TEXT(J17,"0.00"),",",".")&amp;""", ""vat_rate"": """&amp;M17&amp;""""&amp;IF(D17&lt;&gt;"",", ""product_id"": "&amp;D17,"")&amp;"}"&amp;IF(K17&gt;0,", {""label"": ""Provision sur charges"", ""quantity"": 1, ""unit"": """&amp;I17&amp;""", ""raw_currency_unit_price"": """&amp;SUBSTITUTE(TEXT(K17,"0.00"),",",".")&amp;""", ""vat_rate"": """&amp;M17&amp;"""}","")&amp;"]}}")</f>
        <v/>
      </c>
    </row>
    <row r="18">
      <c r="A18" s="14">
        <f>IF(Récapitulatif!$A18="","",Récapitulatif!$A18)</f>
        <v/>
      </c>
      <c r="B18" s="14">
        <f>IF(A18="","",IFERROR(INDIRECT("'"&amp;A18&amp;"'!C5"),""))</f>
        <v/>
      </c>
      <c r="C18" s="14">
        <f>IF(A18="","",IF(IFERROR(INDIRECT("'"&amp;A18&amp;"'!C20"),"")="","À RENSEIGNER",IFERROR(INDIRECT("'"&amp;A18&amp;"'!C20"),"")))</f>
        <v/>
      </c>
      <c r="D18" s="14">
        <f>IF(A18="","",IFERROR(INDIRECT("'"&amp;A18&amp;"'!C21"),"")&amp;"")</f>
        <v/>
      </c>
      <c r="E18" s="14">
        <f>IF(A18="","","Loyer "&amp;IFERROR(INDIRECT("'"&amp;A18&amp;"'!C4"),""))</f>
        <v/>
      </c>
      <c r="F18" s="14">
        <f>IF(A18="","",IFERROR(INDIRECT("'"&amp;A18&amp;"'!C14"),""))</f>
        <v/>
      </c>
      <c r="G18" s="14">
        <f>IF(A18="","",IF(F18="Annuelle","yearly","monthly"))</f>
        <v/>
      </c>
      <c r="H18" s="14">
        <f>IF(A18="","",IF(F18="Mensuelle",1,IF(F18="Trimestrielle",3,IF(F18="Semestrielle",6,1))))</f>
        <v/>
      </c>
      <c r="I18" s="14">
        <f>IF(A18="","",IF(F18="Mensuelle","mois",IF(F18="Trimestrielle","trimestre",IF(F18="Semestrielle","semestre","an"))))</f>
        <v/>
      </c>
      <c r="J18" s="16">
        <f>IF(A18="","",IFERROR(ROUND(Récapitulatif!$I18/IF(F18="Mensuelle",12,IF(F18="Trimestrielle",4,IF(F18="Semestrielle",2,1))),2),""))</f>
        <v/>
      </c>
      <c r="K18" s="16">
        <f>IF(A18="","",IFERROR(ROUND(IF(IFERROR(INDIRECT("'"&amp;A18&amp;"'!C12"),"")="",0,IFERROR(INDIRECT("'"&amp;A18&amp;"'!C12"),""))/IF(F18="Mensuelle",12,IF(F18="Trimestrielle",4,IF(F18="Semestrielle",2,1))),2),""))</f>
        <v/>
      </c>
      <c r="L18" s="14">
        <f>IF(A18="","",IFERROR(INDIRECT("'"&amp;A18&amp;"'!C13"),""))</f>
        <v/>
      </c>
      <c r="M18" s="14">
        <f>IF(A18="","",IF(L18=20,"FR_200",IF(L18=10,"FR_100",IF(L18=5.5,"FR_55",IF(L18=2.1,"FR_21","exempt")))))</f>
        <v/>
      </c>
      <c r="N18" s="14">
        <f>IF(A18="","",Société!$B$11)</f>
        <v/>
      </c>
      <c r="O18" s="14">
        <f>IF(A18="","",Société!$B$12)</f>
        <v/>
      </c>
      <c r="P18" s="14">
        <f>IF(A18="","",Société!$B$13)</f>
        <v/>
      </c>
      <c r="Q18" s="15">
        <f>IF(A18="","",DATE(YEAR(TODAY()),MONTH(TODAY())+1,1))</f>
        <v/>
      </c>
      <c r="R18" s="14">
        <f>IF(A18="","",IFERROR(INDIRECT("'"&amp;A18&amp;"'!C22"),"")&amp;"")</f>
        <v/>
      </c>
      <c r="S18" s="14">
        <f>IF(OR(A18="",J18=""),"","{""customer_id"": "&amp;C18&amp;", ""label"": """&amp;E18&amp;""", ""start"": """&amp;YEAR(Q18)&amp;"-"&amp;TEXT(MONTH(Q18),"00")&amp;"-"&amp;TEXT(DAY(Q18),"00")&amp;""", ""mode"": {""type"": """&amp;N18&amp;"""}, ""payment_conditions"": """&amp;O18&amp;""", ""payment_method"": """&amp;P18&amp;""", ""recurring_rule"": "&amp;"{""type"": """&amp;G18&amp;""", ""interval"": "&amp;H18&amp;IF(G18="monthly",", ""day_of_month"": 1","")&amp;"}"&amp;", ""customer_invoice_data"": {""currency"": ""EUR"", ""language"": ""fr_FR"", ""pdf_invoice_subject"": """&amp;E18&amp;""", ""invoice_lines"": ["&amp;"{""label"": ""Loyer "&amp;LOWER(F18)&amp;" – "&amp;IFERROR(INDIRECT("'"&amp;A18&amp;"'!C4"),"")&amp;""", ""quantity"": 1, ""unit"": """&amp;I18&amp;""", ""raw_currency_unit_price"": """&amp;SUBSTITUTE(TEXT(J18,"0.00"),",",".")&amp;""", ""vat_rate"": """&amp;M18&amp;""""&amp;IF(D18&lt;&gt;"",", ""product_id"": "&amp;D18,"")&amp;"}"&amp;IF(K18&gt;0,", {""label"": ""Provision sur charges"", ""quantity"": 1, ""unit"": """&amp;I18&amp;""", ""raw_currency_unit_price"": """&amp;SUBSTITUTE(TEXT(K18,"0.00"),",",".")&amp;""", ""vat_rate"": """&amp;M18&amp;"""}","")&amp;"]}}")</f>
        <v/>
      </c>
    </row>
    <row r="19">
      <c r="A19" s="14">
        <f>IF(Récapitulatif!$A19="","",Récapitulatif!$A19)</f>
        <v/>
      </c>
      <c r="B19" s="14">
        <f>IF(A19="","",IFERROR(INDIRECT("'"&amp;A19&amp;"'!C5"),""))</f>
        <v/>
      </c>
      <c r="C19" s="14">
        <f>IF(A19="","",IF(IFERROR(INDIRECT("'"&amp;A19&amp;"'!C20"),"")="","À RENSEIGNER",IFERROR(INDIRECT("'"&amp;A19&amp;"'!C20"),"")))</f>
        <v/>
      </c>
      <c r="D19" s="14">
        <f>IF(A19="","",IFERROR(INDIRECT("'"&amp;A19&amp;"'!C21"),"")&amp;"")</f>
        <v/>
      </c>
      <c r="E19" s="14">
        <f>IF(A19="","","Loyer "&amp;IFERROR(INDIRECT("'"&amp;A19&amp;"'!C4"),""))</f>
        <v/>
      </c>
      <c r="F19" s="14">
        <f>IF(A19="","",IFERROR(INDIRECT("'"&amp;A19&amp;"'!C14"),""))</f>
        <v/>
      </c>
      <c r="G19" s="14">
        <f>IF(A19="","",IF(F19="Annuelle","yearly","monthly"))</f>
        <v/>
      </c>
      <c r="H19" s="14">
        <f>IF(A19="","",IF(F19="Mensuelle",1,IF(F19="Trimestrielle",3,IF(F19="Semestrielle",6,1))))</f>
        <v/>
      </c>
      <c r="I19" s="14">
        <f>IF(A19="","",IF(F19="Mensuelle","mois",IF(F19="Trimestrielle","trimestre",IF(F19="Semestrielle","semestre","an"))))</f>
        <v/>
      </c>
      <c r="J19" s="16">
        <f>IF(A19="","",IFERROR(ROUND(Récapitulatif!$I19/IF(F19="Mensuelle",12,IF(F19="Trimestrielle",4,IF(F19="Semestrielle",2,1))),2),""))</f>
        <v/>
      </c>
      <c r="K19" s="16">
        <f>IF(A19="","",IFERROR(ROUND(IF(IFERROR(INDIRECT("'"&amp;A19&amp;"'!C12"),"")="",0,IFERROR(INDIRECT("'"&amp;A19&amp;"'!C12"),""))/IF(F19="Mensuelle",12,IF(F19="Trimestrielle",4,IF(F19="Semestrielle",2,1))),2),""))</f>
        <v/>
      </c>
      <c r="L19" s="14">
        <f>IF(A19="","",IFERROR(INDIRECT("'"&amp;A19&amp;"'!C13"),""))</f>
        <v/>
      </c>
      <c r="M19" s="14">
        <f>IF(A19="","",IF(L19=20,"FR_200",IF(L19=10,"FR_100",IF(L19=5.5,"FR_55",IF(L19=2.1,"FR_21","exempt")))))</f>
        <v/>
      </c>
      <c r="N19" s="14">
        <f>IF(A19="","",Société!$B$11)</f>
        <v/>
      </c>
      <c r="O19" s="14">
        <f>IF(A19="","",Société!$B$12)</f>
        <v/>
      </c>
      <c r="P19" s="14">
        <f>IF(A19="","",Société!$B$13)</f>
        <v/>
      </c>
      <c r="Q19" s="15">
        <f>IF(A19="","",DATE(YEAR(TODAY()),MONTH(TODAY())+1,1))</f>
        <v/>
      </c>
      <c r="R19" s="14">
        <f>IF(A19="","",IFERROR(INDIRECT("'"&amp;A19&amp;"'!C22"),"")&amp;"")</f>
        <v/>
      </c>
      <c r="S19" s="14">
        <f>IF(OR(A19="",J19=""),"","{""customer_id"": "&amp;C19&amp;", ""label"": """&amp;E19&amp;""", ""start"": """&amp;YEAR(Q19)&amp;"-"&amp;TEXT(MONTH(Q19),"00")&amp;"-"&amp;TEXT(DAY(Q19),"00")&amp;""", ""mode"": {""type"": """&amp;N19&amp;"""}, ""payment_conditions"": """&amp;O19&amp;""", ""payment_method"": """&amp;P19&amp;""", ""recurring_rule"": "&amp;"{""type"": """&amp;G19&amp;""", ""interval"": "&amp;H19&amp;IF(G19="monthly",", ""day_of_month"": 1","")&amp;"}"&amp;", ""customer_invoice_data"": {""currency"": ""EUR"", ""language"": ""fr_FR"", ""pdf_invoice_subject"": """&amp;E19&amp;""", ""invoice_lines"": ["&amp;"{""label"": ""Loyer "&amp;LOWER(F19)&amp;" – "&amp;IFERROR(INDIRECT("'"&amp;A19&amp;"'!C4"),"")&amp;""", ""quantity"": 1, ""unit"": """&amp;I19&amp;""", ""raw_currency_unit_price"": """&amp;SUBSTITUTE(TEXT(J19,"0.00"),",",".")&amp;""", ""vat_rate"": """&amp;M19&amp;""""&amp;IF(D19&lt;&gt;"",", ""product_id"": "&amp;D19,"")&amp;"}"&amp;IF(K19&gt;0,", {""label"": ""Provision sur charges"", ""quantity"": 1, ""unit"": """&amp;I19&amp;""", ""raw_currency_unit_price"": """&amp;SUBSTITUTE(TEXT(K19,"0.00"),",",".")&amp;""", ""vat_rate"": """&amp;M19&amp;"""}","")&amp;"]}}")</f>
        <v/>
      </c>
    </row>
    <row r="20">
      <c r="A20" s="14">
        <f>IF(Récapitulatif!$A20="","",Récapitulatif!$A20)</f>
        <v/>
      </c>
      <c r="B20" s="14">
        <f>IF(A20="","",IFERROR(INDIRECT("'"&amp;A20&amp;"'!C5"),""))</f>
        <v/>
      </c>
      <c r="C20" s="14">
        <f>IF(A20="","",IF(IFERROR(INDIRECT("'"&amp;A20&amp;"'!C20"),"")="","À RENSEIGNER",IFERROR(INDIRECT("'"&amp;A20&amp;"'!C20"),"")))</f>
        <v/>
      </c>
      <c r="D20" s="14">
        <f>IF(A20="","",IFERROR(INDIRECT("'"&amp;A20&amp;"'!C21"),"")&amp;"")</f>
        <v/>
      </c>
      <c r="E20" s="14">
        <f>IF(A20="","","Loyer "&amp;IFERROR(INDIRECT("'"&amp;A20&amp;"'!C4"),""))</f>
        <v/>
      </c>
      <c r="F20" s="14">
        <f>IF(A20="","",IFERROR(INDIRECT("'"&amp;A20&amp;"'!C14"),""))</f>
        <v/>
      </c>
      <c r="G20" s="14">
        <f>IF(A20="","",IF(F20="Annuelle","yearly","monthly"))</f>
        <v/>
      </c>
      <c r="H20" s="14">
        <f>IF(A20="","",IF(F20="Mensuelle",1,IF(F20="Trimestrielle",3,IF(F20="Semestrielle",6,1))))</f>
        <v/>
      </c>
      <c r="I20" s="14">
        <f>IF(A20="","",IF(F20="Mensuelle","mois",IF(F20="Trimestrielle","trimestre",IF(F20="Semestrielle","semestre","an"))))</f>
        <v/>
      </c>
      <c r="J20" s="16">
        <f>IF(A20="","",IFERROR(ROUND(Récapitulatif!$I20/IF(F20="Mensuelle",12,IF(F20="Trimestrielle",4,IF(F20="Semestrielle",2,1))),2),""))</f>
        <v/>
      </c>
      <c r="K20" s="16">
        <f>IF(A20="","",IFERROR(ROUND(IF(IFERROR(INDIRECT("'"&amp;A20&amp;"'!C12"),"")="",0,IFERROR(INDIRECT("'"&amp;A20&amp;"'!C12"),""))/IF(F20="Mensuelle",12,IF(F20="Trimestrielle",4,IF(F20="Semestrielle",2,1))),2),""))</f>
        <v/>
      </c>
      <c r="L20" s="14">
        <f>IF(A20="","",IFERROR(INDIRECT("'"&amp;A20&amp;"'!C13"),""))</f>
        <v/>
      </c>
      <c r="M20" s="14">
        <f>IF(A20="","",IF(L20=20,"FR_200",IF(L20=10,"FR_100",IF(L20=5.5,"FR_55",IF(L20=2.1,"FR_21","exempt")))))</f>
        <v/>
      </c>
      <c r="N20" s="14">
        <f>IF(A20="","",Société!$B$11)</f>
        <v/>
      </c>
      <c r="O20" s="14">
        <f>IF(A20="","",Société!$B$12)</f>
        <v/>
      </c>
      <c r="P20" s="14">
        <f>IF(A20="","",Société!$B$13)</f>
        <v/>
      </c>
      <c r="Q20" s="15">
        <f>IF(A20="","",DATE(YEAR(TODAY()),MONTH(TODAY())+1,1))</f>
        <v/>
      </c>
      <c r="R20" s="14">
        <f>IF(A20="","",IFERROR(INDIRECT("'"&amp;A20&amp;"'!C22"),"")&amp;"")</f>
        <v/>
      </c>
      <c r="S20" s="14">
        <f>IF(OR(A20="",J20=""),"","{""customer_id"": "&amp;C20&amp;", ""label"": """&amp;E20&amp;""", ""start"": """&amp;YEAR(Q20)&amp;"-"&amp;TEXT(MONTH(Q20),"00")&amp;"-"&amp;TEXT(DAY(Q20),"00")&amp;""", ""mode"": {""type"": """&amp;N20&amp;"""}, ""payment_conditions"": """&amp;O20&amp;""", ""payment_method"": """&amp;P20&amp;""", ""recurring_rule"": "&amp;"{""type"": """&amp;G20&amp;""", ""interval"": "&amp;H20&amp;IF(G20="monthly",", ""day_of_month"": 1","")&amp;"}"&amp;", ""customer_invoice_data"": {""currency"": ""EUR"", ""language"": ""fr_FR"", ""pdf_invoice_subject"": """&amp;E20&amp;""", ""invoice_lines"": ["&amp;"{""label"": ""Loyer "&amp;LOWER(F20)&amp;" – "&amp;IFERROR(INDIRECT("'"&amp;A20&amp;"'!C4"),"")&amp;""", ""quantity"": 1, ""unit"": """&amp;I20&amp;""", ""raw_currency_unit_price"": """&amp;SUBSTITUTE(TEXT(J20,"0.00"),",",".")&amp;""", ""vat_rate"": """&amp;M20&amp;""""&amp;IF(D20&lt;&gt;"",", ""product_id"": "&amp;D20,"")&amp;"}"&amp;IF(K20&gt;0,", {""label"": ""Provision sur charges"", ""quantity"": 1, ""unit"": """&amp;I20&amp;""", ""raw_currency_unit_price"": """&amp;SUBSTITUTE(TEXT(K20,"0.00"),",",".")&amp;""", ""vat_rate"": """&amp;M20&amp;"""}","")&amp;"]}}")</f>
        <v/>
      </c>
    </row>
    <row r="21">
      <c r="A21" s="14">
        <f>IF(Récapitulatif!$A21="","",Récapitulatif!$A21)</f>
        <v/>
      </c>
      <c r="B21" s="14">
        <f>IF(A21="","",IFERROR(INDIRECT("'"&amp;A21&amp;"'!C5"),""))</f>
        <v/>
      </c>
      <c r="C21" s="14">
        <f>IF(A21="","",IF(IFERROR(INDIRECT("'"&amp;A21&amp;"'!C20"),"")="","À RENSEIGNER",IFERROR(INDIRECT("'"&amp;A21&amp;"'!C20"),"")))</f>
        <v/>
      </c>
      <c r="D21" s="14">
        <f>IF(A21="","",IFERROR(INDIRECT("'"&amp;A21&amp;"'!C21"),"")&amp;"")</f>
        <v/>
      </c>
      <c r="E21" s="14">
        <f>IF(A21="","","Loyer "&amp;IFERROR(INDIRECT("'"&amp;A21&amp;"'!C4"),""))</f>
        <v/>
      </c>
      <c r="F21" s="14">
        <f>IF(A21="","",IFERROR(INDIRECT("'"&amp;A21&amp;"'!C14"),""))</f>
        <v/>
      </c>
      <c r="G21" s="14">
        <f>IF(A21="","",IF(F21="Annuelle","yearly","monthly"))</f>
        <v/>
      </c>
      <c r="H21" s="14">
        <f>IF(A21="","",IF(F21="Mensuelle",1,IF(F21="Trimestrielle",3,IF(F21="Semestrielle",6,1))))</f>
        <v/>
      </c>
      <c r="I21" s="14">
        <f>IF(A21="","",IF(F21="Mensuelle","mois",IF(F21="Trimestrielle","trimestre",IF(F21="Semestrielle","semestre","an"))))</f>
        <v/>
      </c>
      <c r="J21" s="16">
        <f>IF(A21="","",IFERROR(ROUND(Récapitulatif!$I21/IF(F21="Mensuelle",12,IF(F21="Trimestrielle",4,IF(F21="Semestrielle",2,1))),2),""))</f>
        <v/>
      </c>
      <c r="K21" s="16">
        <f>IF(A21="","",IFERROR(ROUND(IF(IFERROR(INDIRECT("'"&amp;A21&amp;"'!C12"),"")="",0,IFERROR(INDIRECT("'"&amp;A21&amp;"'!C12"),""))/IF(F21="Mensuelle",12,IF(F21="Trimestrielle",4,IF(F21="Semestrielle",2,1))),2),""))</f>
        <v/>
      </c>
      <c r="L21" s="14">
        <f>IF(A21="","",IFERROR(INDIRECT("'"&amp;A21&amp;"'!C13"),""))</f>
        <v/>
      </c>
      <c r="M21" s="14">
        <f>IF(A21="","",IF(L21=20,"FR_200",IF(L21=10,"FR_100",IF(L21=5.5,"FR_55",IF(L21=2.1,"FR_21","exempt")))))</f>
        <v/>
      </c>
      <c r="N21" s="14">
        <f>IF(A21="","",Société!$B$11)</f>
        <v/>
      </c>
      <c r="O21" s="14">
        <f>IF(A21="","",Société!$B$12)</f>
        <v/>
      </c>
      <c r="P21" s="14">
        <f>IF(A21="","",Société!$B$13)</f>
        <v/>
      </c>
      <c r="Q21" s="15">
        <f>IF(A21="","",DATE(YEAR(TODAY()),MONTH(TODAY())+1,1))</f>
        <v/>
      </c>
      <c r="R21" s="14">
        <f>IF(A21="","",IFERROR(INDIRECT("'"&amp;A21&amp;"'!C22"),"")&amp;"")</f>
        <v/>
      </c>
      <c r="S21" s="14">
        <f>IF(OR(A21="",J21=""),"","{""customer_id"": "&amp;C21&amp;", ""label"": """&amp;E21&amp;""", ""start"": """&amp;YEAR(Q21)&amp;"-"&amp;TEXT(MONTH(Q21),"00")&amp;"-"&amp;TEXT(DAY(Q21),"00")&amp;""", ""mode"": {""type"": """&amp;N21&amp;"""}, ""payment_conditions"": """&amp;O21&amp;""", ""payment_method"": """&amp;P21&amp;""", ""recurring_rule"": "&amp;"{""type"": """&amp;G21&amp;""", ""interval"": "&amp;H21&amp;IF(G21="monthly",", ""day_of_month"": 1","")&amp;"}"&amp;", ""customer_invoice_data"": {""currency"": ""EUR"", ""language"": ""fr_FR"", ""pdf_invoice_subject"": """&amp;E21&amp;""", ""invoice_lines"": ["&amp;"{""label"": ""Loyer "&amp;LOWER(F21)&amp;" – "&amp;IFERROR(INDIRECT("'"&amp;A21&amp;"'!C4"),"")&amp;""", ""quantity"": 1, ""unit"": """&amp;I21&amp;""", ""raw_currency_unit_price"": """&amp;SUBSTITUTE(TEXT(J21,"0.00"),",",".")&amp;""", ""vat_rate"": """&amp;M21&amp;""""&amp;IF(D21&lt;&gt;"",", ""product_id"": "&amp;D21,"")&amp;"}"&amp;IF(K21&gt;0,", {""label"": ""Provision sur charges"", ""quantity"": 1, ""unit"": """&amp;I21&amp;""", ""raw_currency_unit_price"": """&amp;SUBSTITUTE(TEXT(K21,"0.00"),",",".")&amp;""", ""vat_rate"": """&amp;M21&amp;"""}","")&amp;"]}}")</f>
        <v/>
      </c>
    </row>
    <row r="22">
      <c r="A22" s="14">
        <f>IF(Récapitulatif!$A22="","",Récapitulatif!$A22)</f>
        <v/>
      </c>
      <c r="B22" s="14">
        <f>IF(A22="","",IFERROR(INDIRECT("'"&amp;A22&amp;"'!C5"),""))</f>
        <v/>
      </c>
      <c r="C22" s="14">
        <f>IF(A22="","",IF(IFERROR(INDIRECT("'"&amp;A22&amp;"'!C20"),"")="","À RENSEIGNER",IFERROR(INDIRECT("'"&amp;A22&amp;"'!C20"),"")))</f>
        <v/>
      </c>
      <c r="D22" s="14">
        <f>IF(A22="","",IFERROR(INDIRECT("'"&amp;A22&amp;"'!C21"),"")&amp;"")</f>
        <v/>
      </c>
      <c r="E22" s="14">
        <f>IF(A22="","","Loyer "&amp;IFERROR(INDIRECT("'"&amp;A22&amp;"'!C4"),""))</f>
        <v/>
      </c>
      <c r="F22" s="14">
        <f>IF(A22="","",IFERROR(INDIRECT("'"&amp;A22&amp;"'!C14"),""))</f>
        <v/>
      </c>
      <c r="G22" s="14">
        <f>IF(A22="","",IF(F22="Annuelle","yearly","monthly"))</f>
        <v/>
      </c>
      <c r="H22" s="14">
        <f>IF(A22="","",IF(F22="Mensuelle",1,IF(F22="Trimestrielle",3,IF(F22="Semestrielle",6,1))))</f>
        <v/>
      </c>
      <c r="I22" s="14">
        <f>IF(A22="","",IF(F22="Mensuelle","mois",IF(F22="Trimestrielle","trimestre",IF(F22="Semestrielle","semestre","an"))))</f>
        <v/>
      </c>
      <c r="J22" s="16">
        <f>IF(A22="","",IFERROR(ROUND(Récapitulatif!$I22/IF(F22="Mensuelle",12,IF(F22="Trimestrielle",4,IF(F22="Semestrielle",2,1))),2),""))</f>
        <v/>
      </c>
      <c r="K22" s="16">
        <f>IF(A22="","",IFERROR(ROUND(IF(IFERROR(INDIRECT("'"&amp;A22&amp;"'!C12"),"")="",0,IFERROR(INDIRECT("'"&amp;A22&amp;"'!C12"),""))/IF(F22="Mensuelle",12,IF(F22="Trimestrielle",4,IF(F22="Semestrielle",2,1))),2),""))</f>
        <v/>
      </c>
      <c r="L22" s="14">
        <f>IF(A22="","",IFERROR(INDIRECT("'"&amp;A22&amp;"'!C13"),""))</f>
        <v/>
      </c>
      <c r="M22" s="14">
        <f>IF(A22="","",IF(L22=20,"FR_200",IF(L22=10,"FR_100",IF(L22=5.5,"FR_55",IF(L22=2.1,"FR_21","exempt")))))</f>
        <v/>
      </c>
      <c r="N22" s="14">
        <f>IF(A22="","",Société!$B$11)</f>
        <v/>
      </c>
      <c r="O22" s="14">
        <f>IF(A22="","",Société!$B$12)</f>
        <v/>
      </c>
      <c r="P22" s="14">
        <f>IF(A22="","",Société!$B$13)</f>
        <v/>
      </c>
      <c r="Q22" s="15">
        <f>IF(A22="","",DATE(YEAR(TODAY()),MONTH(TODAY())+1,1))</f>
        <v/>
      </c>
      <c r="R22" s="14">
        <f>IF(A22="","",IFERROR(INDIRECT("'"&amp;A22&amp;"'!C22"),"")&amp;"")</f>
        <v/>
      </c>
      <c r="S22" s="14">
        <f>IF(OR(A22="",J22=""),"","{""customer_id"": "&amp;C22&amp;", ""label"": """&amp;E22&amp;""", ""start"": """&amp;YEAR(Q22)&amp;"-"&amp;TEXT(MONTH(Q22),"00")&amp;"-"&amp;TEXT(DAY(Q22),"00")&amp;""", ""mode"": {""type"": """&amp;N22&amp;"""}, ""payment_conditions"": """&amp;O22&amp;""", ""payment_method"": """&amp;P22&amp;""", ""recurring_rule"": "&amp;"{""type"": """&amp;G22&amp;""", ""interval"": "&amp;H22&amp;IF(G22="monthly",", ""day_of_month"": 1","")&amp;"}"&amp;", ""customer_invoice_data"": {""currency"": ""EUR"", ""language"": ""fr_FR"", ""pdf_invoice_subject"": """&amp;E22&amp;""", ""invoice_lines"": ["&amp;"{""label"": ""Loyer "&amp;LOWER(F22)&amp;" – "&amp;IFERROR(INDIRECT("'"&amp;A22&amp;"'!C4"),"")&amp;""", ""quantity"": 1, ""unit"": """&amp;I22&amp;""", ""raw_currency_unit_price"": """&amp;SUBSTITUTE(TEXT(J22,"0.00"),",",".")&amp;""", ""vat_rate"": """&amp;M22&amp;""""&amp;IF(D22&lt;&gt;"",", ""product_id"": "&amp;D22,"")&amp;"}"&amp;IF(K22&gt;0,", {""label"": ""Provision sur charges"", ""quantity"": 1, ""unit"": """&amp;I22&amp;""", ""raw_currency_unit_price"": """&amp;SUBSTITUTE(TEXT(K22,"0.00"),",",".")&amp;""", ""vat_rate"": """&amp;M22&amp;"""}","")&amp;"]}}")</f>
        <v/>
      </c>
    </row>
    <row r="23">
      <c r="A23" s="14">
        <f>IF(Récapitulatif!$A23="","",Récapitulatif!$A23)</f>
        <v/>
      </c>
      <c r="B23" s="14">
        <f>IF(A23="","",IFERROR(INDIRECT("'"&amp;A23&amp;"'!C5"),""))</f>
        <v/>
      </c>
      <c r="C23" s="14">
        <f>IF(A23="","",IF(IFERROR(INDIRECT("'"&amp;A23&amp;"'!C20"),"")="","À RENSEIGNER",IFERROR(INDIRECT("'"&amp;A23&amp;"'!C20"),"")))</f>
        <v/>
      </c>
      <c r="D23" s="14">
        <f>IF(A23="","",IFERROR(INDIRECT("'"&amp;A23&amp;"'!C21"),"")&amp;"")</f>
        <v/>
      </c>
      <c r="E23" s="14">
        <f>IF(A23="","","Loyer "&amp;IFERROR(INDIRECT("'"&amp;A23&amp;"'!C4"),""))</f>
        <v/>
      </c>
      <c r="F23" s="14">
        <f>IF(A23="","",IFERROR(INDIRECT("'"&amp;A23&amp;"'!C14"),""))</f>
        <v/>
      </c>
      <c r="G23" s="14">
        <f>IF(A23="","",IF(F23="Annuelle","yearly","monthly"))</f>
        <v/>
      </c>
      <c r="H23" s="14">
        <f>IF(A23="","",IF(F23="Mensuelle",1,IF(F23="Trimestrielle",3,IF(F23="Semestrielle",6,1))))</f>
        <v/>
      </c>
      <c r="I23" s="14">
        <f>IF(A23="","",IF(F23="Mensuelle","mois",IF(F23="Trimestrielle","trimestre",IF(F23="Semestrielle","semestre","an"))))</f>
        <v/>
      </c>
      <c r="J23" s="16">
        <f>IF(A23="","",IFERROR(ROUND(Récapitulatif!$I23/IF(F23="Mensuelle",12,IF(F23="Trimestrielle",4,IF(F23="Semestrielle",2,1))),2),""))</f>
        <v/>
      </c>
      <c r="K23" s="16">
        <f>IF(A23="","",IFERROR(ROUND(IF(IFERROR(INDIRECT("'"&amp;A23&amp;"'!C12"),"")="",0,IFERROR(INDIRECT("'"&amp;A23&amp;"'!C12"),""))/IF(F23="Mensuelle",12,IF(F23="Trimestrielle",4,IF(F23="Semestrielle",2,1))),2),""))</f>
        <v/>
      </c>
      <c r="L23" s="14">
        <f>IF(A23="","",IFERROR(INDIRECT("'"&amp;A23&amp;"'!C13"),""))</f>
        <v/>
      </c>
      <c r="M23" s="14">
        <f>IF(A23="","",IF(L23=20,"FR_200",IF(L23=10,"FR_100",IF(L23=5.5,"FR_55",IF(L23=2.1,"FR_21","exempt")))))</f>
        <v/>
      </c>
      <c r="N23" s="14">
        <f>IF(A23="","",Société!$B$11)</f>
        <v/>
      </c>
      <c r="O23" s="14">
        <f>IF(A23="","",Société!$B$12)</f>
        <v/>
      </c>
      <c r="P23" s="14">
        <f>IF(A23="","",Société!$B$13)</f>
        <v/>
      </c>
      <c r="Q23" s="15">
        <f>IF(A23="","",DATE(YEAR(TODAY()),MONTH(TODAY())+1,1))</f>
        <v/>
      </c>
      <c r="R23" s="14">
        <f>IF(A23="","",IFERROR(INDIRECT("'"&amp;A23&amp;"'!C22"),"")&amp;"")</f>
        <v/>
      </c>
      <c r="S23" s="14">
        <f>IF(OR(A23="",J23=""),"","{""customer_id"": "&amp;C23&amp;", ""label"": """&amp;E23&amp;""", ""start"": """&amp;YEAR(Q23)&amp;"-"&amp;TEXT(MONTH(Q23),"00")&amp;"-"&amp;TEXT(DAY(Q23),"00")&amp;""", ""mode"": {""type"": """&amp;N23&amp;"""}, ""payment_conditions"": """&amp;O23&amp;""", ""payment_method"": """&amp;P23&amp;""", ""recurring_rule"": "&amp;"{""type"": """&amp;G23&amp;""", ""interval"": "&amp;H23&amp;IF(G23="monthly",", ""day_of_month"": 1","")&amp;"}"&amp;", ""customer_invoice_data"": {""currency"": ""EUR"", ""language"": ""fr_FR"", ""pdf_invoice_subject"": """&amp;E23&amp;""", ""invoice_lines"": ["&amp;"{""label"": ""Loyer "&amp;LOWER(F23)&amp;" – "&amp;IFERROR(INDIRECT("'"&amp;A23&amp;"'!C4"),"")&amp;""", ""quantity"": 1, ""unit"": """&amp;I23&amp;""", ""raw_currency_unit_price"": """&amp;SUBSTITUTE(TEXT(J23,"0.00"),",",".")&amp;""", ""vat_rate"": """&amp;M23&amp;""""&amp;IF(D23&lt;&gt;"",", ""product_id"": "&amp;D23,"")&amp;"}"&amp;IF(K23&gt;0,", {""label"": ""Provision sur charges"", ""quantity"": 1, ""unit"": """&amp;I23&amp;""", ""raw_currency_unit_price"": """&amp;SUBSTITUTE(TEXT(K23,"0.00"),",",".")&amp;""", ""vat_rate"": """&amp;M23&amp;"""}","")&amp;"]}}")</f>
        <v/>
      </c>
    </row>
    <row r="24">
      <c r="A24" s="14">
        <f>IF(Récapitulatif!$A24="","",Récapitulatif!$A24)</f>
        <v/>
      </c>
      <c r="B24" s="14">
        <f>IF(A24="","",IFERROR(INDIRECT("'"&amp;A24&amp;"'!C5"),""))</f>
        <v/>
      </c>
      <c r="C24" s="14">
        <f>IF(A24="","",IF(IFERROR(INDIRECT("'"&amp;A24&amp;"'!C20"),"")="","À RENSEIGNER",IFERROR(INDIRECT("'"&amp;A24&amp;"'!C20"),"")))</f>
        <v/>
      </c>
      <c r="D24" s="14">
        <f>IF(A24="","",IFERROR(INDIRECT("'"&amp;A24&amp;"'!C21"),"")&amp;"")</f>
        <v/>
      </c>
      <c r="E24" s="14">
        <f>IF(A24="","","Loyer "&amp;IFERROR(INDIRECT("'"&amp;A24&amp;"'!C4"),""))</f>
        <v/>
      </c>
      <c r="F24" s="14">
        <f>IF(A24="","",IFERROR(INDIRECT("'"&amp;A24&amp;"'!C14"),""))</f>
        <v/>
      </c>
      <c r="G24" s="14">
        <f>IF(A24="","",IF(F24="Annuelle","yearly","monthly"))</f>
        <v/>
      </c>
      <c r="H24" s="14">
        <f>IF(A24="","",IF(F24="Mensuelle",1,IF(F24="Trimestrielle",3,IF(F24="Semestrielle",6,1))))</f>
        <v/>
      </c>
      <c r="I24" s="14">
        <f>IF(A24="","",IF(F24="Mensuelle","mois",IF(F24="Trimestrielle","trimestre",IF(F24="Semestrielle","semestre","an"))))</f>
        <v/>
      </c>
      <c r="J24" s="16">
        <f>IF(A24="","",IFERROR(ROUND(Récapitulatif!$I24/IF(F24="Mensuelle",12,IF(F24="Trimestrielle",4,IF(F24="Semestrielle",2,1))),2),""))</f>
        <v/>
      </c>
      <c r="K24" s="16">
        <f>IF(A24="","",IFERROR(ROUND(IF(IFERROR(INDIRECT("'"&amp;A24&amp;"'!C12"),"")="",0,IFERROR(INDIRECT("'"&amp;A24&amp;"'!C12"),""))/IF(F24="Mensuelle",12,IF(F24="Trimestrielle",4,IF(F24="Semestrielle",2,1))),2),""))</f>
        <v/>
      </c>
      <c r="L24" s="14">
        <f>IF(A24="","",IFERROR(INDIRECT("'"&amp;A24&amp;"'!C13"),""))</f>
        <v/>
      </c>
      <c r="M24" s="14">
        <f>IF(A24="","",IF(L24=20,"FR_200",IF(L24=10,"FR_100",IF(L24=5.5,"FR_55",IF(L24=2.1,"FR_21","exempt")))))</f>
        <v/>
      </c>
      <c r="N24" s="14">
        <f>IF(A24="","",Société!$B$11)</f>
        <v/>
      </c>
      <c r="O24" s="14">
        <f>IF(A24="","",Société!$B$12)</f>
        <v/>
      </c>
      <c r="P24" s="14">
        <f>IF(A24="","",Société!$B$13)</f>
        <v/>
      </c>
      <c r="Q24" s="15">
        <f>IF(A24="","",DATE(YEAR(TODAY()),MONTH(TODAY())+1,1))</f>
        <v/>
      </c>
      <c r="R24" s="14">
        <f>IF(A24="","",IFERROR(INDIRECT("'"&amp;A24&amp;"'!C22"),"")&amp;"")</f>
        <v/>
      </c>
      <c r="S24" s="14">
        <f>IF(OR(A24="",J24=""),"","{""customer_id"": "&amp;C24&amp;", ""label"": """&amp;E24&amp;""", ""start"": """&amp;YEAR(Q24)&amp;"-"&amp;TEXT(MONTH(Q24),"00")&amp;"-"&amp;TEXT(DAY(Q24),"00")&amp;""", ""mode"": {""type"": """&amp;N24&amp;"""}, ""payment_conditions"": """&amp;O24&amp;""", ""payment_method"": """&amp;P24&amp;""", ""recurring_rule"": "&amp;"{""type"": """&amp;G24&amp;""", ""interval"": "&amp;H24&amp;IF(G24="monthly",", ""day_of_month"": 1","")&amp;"}"&amp;", ""customer_invoice_data"": {""currency"": ""EUR"", ""language"": ""fr_FR"", ""pdf_invoice_subject"": """&amp;E24&amp;""", ""invoice_lines"": ["&amp;"{""label"": ""Loyer "&amp;LOWER(F24)&amp;" – "&amp;IFERROR(INDIRECT("'"&amp;A24&amp;"'!C4"),"")&amp;""", ""quantity"": 1, ""unit"": """&amp;I24&amp;""", ""raw_currency_unit_price"": """&amp;SUBSTITUTE(TEXT(J24,"0.00"),",",".")&amp;""", ""vat_rate"": """&amp;M24&amp;""""&amp;IF(D24&lt;&gt;"",", ""product_id"": "&amp;D24,"")&amp;"}"&amp;IF(K24&gt;0,", {""label"": ""Provision sur charges"", ""quantity"": 1, ""unit"": """&amp;I24&amp;""", ""raw_currency_unit_price"": """&amp;SUBSTITUTE(TEXT(K24,"0.00"),",",".")&amp;""", ""vat_rate"": """&amp;M24&amp;"""}","")&amp;"]}}")</f>
        <v/>
      </c>
    </row>
    <row r="25">
      <c r="A25" s="14">
        <f>IF(Récapitulatif!$A25="","",Récapitulatif!$A25)</f>
        <v/>
      </c>
      <c r="B25" s="14">
        <f>IF(A25="","",IFERROR(INDIRECT("'"&amp;A25&amp;"'!C5"),""))</f>
        <v/>
      </c>
      <c r="C25" s="14">
        <f>IF(A25="","",IF(IFERROR(INDIRECT("'"&amp;A25&amp;"'!C20"),"")="","À RENSEIGNER",IFERROR(INDIRECT("'"&amp;A25&amp;"'!C20"),"")))</f>
        <v/>
      </c>
      <c r="D25" s="14">
        <f>IF(A25="","",IFERROR(INDIRECT("'"&amp;A25&amp;"'!C21"),"")&amp;"")</f>
        <v/>
      </c>
      <c r="E25" s="14">
        <f>IF(A25="","","Loyer "&amp;IFERROR(INDIRECT("'"&amp;A25&amp;"'!C4"),""))</f>
        <v/>
      </c>
      <c r="F25" s="14">
        <f>IF(A25="","",IFERROR(INDIRECT("'"&amp;A25&amp;"'!C14"),""))</f>
        <v/>
      </c>
      <c r="G25" s="14">
        <f>IF(A25="","",IF(F25="Annuelle","yearly","monthly"))</f>
        <v/>
      </c>
      <c r="H25" s="14">
        <f>IF(A25="","",IF(F25="Mensuelle",1,IF(F25="Trimestrielle",3,IF(F25="Semestrielle",6,1))))</f>
        <v/>
      </c>
      <c r="I25" s="14">
        <f>IF(A25="","",IF(F25="Mensuelle","mois",IF(F25="Trimestrielle","trimestre",IF(F25="Semestrielle","semestre","an"))))</f>
        <v/>
      </c>
      <c r="J25" s="16">
        <f>IF(A25="","",IFERROR(ROUND(Récapitulatif!$I25/IF(F25="Mensuelle",12,IF(F25="Trimestrielle",4,IF(F25="Semestrielle",2,1))),2),""))</f>
        <v/>
      </c>
      <c r="K25" s="16">
        <f>IF(A25="","",IFERROR(ROUND(IF(IFERROR(INDIRECT("'"&amp;A25&amp;"'!C12"),"")="",0,IFERROR(INDIRECT("'"&amp;A25&amp;"'!C12"),""))/IF(F25="Mensuelle",12,IF(F25="Trimestrielle",4,IF(F25="Semestrielle",2,1))),2),""))</f>
        <v/>
      </c>
      <c r="L25" s="14">
        <f>IF(A25="","",IFERROR(INDIRECT("'"&amp;A25&amp;"'!C13"),""))</f>
        <v/>
      </c>
      <c r="M25" s="14">
        <f>IF(A25="","",IF(L25=20,"FR_200",IF(L25=10,"FR_100",IF(L25=5.5,"FR_55",IF(L25=2.1,"FR_21","exempt")))))</f>
        <v/>
      </c>
      <c r="N25" s="14">
        <f>IF(A25="","",Société!$B$11)</f>
        <v/>
      </c>
      <c r="O25" s="14">
        <f>IF(A25="","",Société!$B$12)</f>
        <v/>
      </c>
      <c r="P25" s="14">
        <f>IF(A25="","",Société!$B$13)</f>
        <v/>
      </c>
      <c r="Q25" s="15">
        <f>IF(A25="","",DATE(YEAR(TODAY()),MONTH(TODAY())+1,1))</f>
        <v/>
      </c>
      <c r="R25" s="14">
        <f>IF(A25="","",IFERROR(INDIRECT("'"&amp;A25&amp;"'!C22"),"")&amp;"")</f>
        <v/>
      </c>
      <c r="S25" s="14">
        <f>IF(OR(A25="",J25=""),"","{""customer_id"": "&amp;C25&amp;", ""label"": """&amp;E25&amp;""", ""start"": """&amp;YEAR(Q25)&amp;"-"&amp;TEXT(MONTH(Q25),"00")&amp;"-"&amp;TEXT(DAY(Q25),"00")&amp;""", ""mode"": {""type"": """&amp;N25&amp;"""}, ""payment_conditions"": """&amp;O25&amp;""", ""payment_method"": """&amp;P25&amp;""", ""recurring_rule"": "&amp;"{""type"": """&amp;G25&amp;""", ""interval"": "&amp;H25&amp;IF(G25="monthly",", ""day_of_month"": 1","")&amp;"}"&amp;", ""customer_invoice_data"": {""currency"": ""EUR"", ""language"": ""fr_FR"", ""pdf_invoice_subject"": """&amp;E25&amp;""", ""invoice_lines"": ["&amp;"{""label"": ""Loyer "&amp;LOWER(F25)&amp;" – "&amp;IFERROR(INDIRECT("'"&amp;A25&amp;"'!C4"),"")&amp;""", ""quantity"": 1, ""unit"": """&amp;I25&amp;""", ""raw_currency_unit_price"": """&amp;SUBSTITUTE(TEXT(J25,"0.00"),",",".")&amp;""", ""vat_rate"": """&amp;M25&amp;""""&amp;IF(D25&lt;&gt;"",", ""product_id"": "&amp;D25,"")&amp;"}"&amp;IF(K25&gt;0,", {""label"": ""Provision sur charges"", ""quantity"": 1, ""unit"": """&amp;I25&amp;""", ""raw_currency_unit_price"": """&amp;SUBSTITUTE(TEXT(K25,"0.00"),",",".")&amp;""", ""vat_rate"": """&amp;M25&amp;"""}","")&amp;"]}}")</f>
        <v/>
      </c>
    </row>
    <row r="26">
      <c r="A26" s="14">
        <f>IF(Récapitulatif!$A26="","",Récapitulatif!$A26)</f>
        <v/>
      </c>
      <c r="B26" s="14">
        <f>IF(A26="","",IFERROR(INDIRECT("'"&amp;A26&amp;"'!C5"),""))</f>
        <v/>
      </c>
      <c r="C26" s="14">
        <f>IF(A26="","",IF(IFERROR(INDIRECT("'"&amp;A26&amp;"'!C20"),"")="","À RENSEIGNER",IFERROR(INDIRECT("'"&amp;A26&amp;"'!C20"),"")))</f>
        <v/>
      </c>
      <c r="D26" s="14">
        <f>IF(A26="","",IFERROR(INDIRECT("'"&amp;A26&amp;"'!C21"),"")&amp;"")</f>
        <v/>
      </c>
      <c r="E26" s="14">
        <f>IF(A26="","","Loyer "&amp;IFERROR(INDIRECT("'"&amp;A26&amp;"'!C4"),""))</f>
        <v/>
      </c>
      <c r="F26" s="14">
        <f>IF(A26="","",IFERROR(INDIRECT("'"&amp;A26&amp;"'!C14"),""))</f>
        <v/>
      </c>
      <c r="G26" s="14">
        <f>IF(A26="","",IF(F26="Annuelle","yearly","monthly"))</f>
        <v/>
      </c>
      <c r="H26" s="14">
        <f>IF(A26="","",IF(F26="Mensuelle",1,IF(F26="Trimestrielle",3,IF(F26="Semestrielle",6,1))))</f>
        <v/>
      </c>
      <c r="I26" s="14">
        <f>IF(A26="","",IF(F26="Mensuelle","mois",IF(F26="Trimestrielle","trimestre",IF(F26="Semestrielle","semestre","an"))))</f>
        <v/>
      </c>
      <c r="J26" s="16">
        <f>IF(A26="","",IFERROR(ROUND(Récapitulatif!$I26/IF(F26="Mensuelle",12,IF(F26="Trimestrielle",4,IF(F26="Semestrielle",2,1))),2),""))</f>
        <v/>
      </c>
      <c r="K26" s="16">
        <f>IF(A26="","",IFERROR(ROUND(IF(IFERROR(INDIRECT("'"&amp;A26&amp;"'!C12"),"")="",0,IFERROR(INDIRECT("'"&amp;A26&amp;"'!C12"),""))/IF(F26="Mensuelle",12,IF(F26="Trimestrielle",4,IF(F26="Semestrielle",2,1))),2),""))</f>
        <v/>
      </c>
      <c r="L26" s="14">
        <f>IF(A26="","",IFERROR(INDIRECT("'"&amp;A26&amp;"'!C13"),""))</f>
        <v/>
      </c>
      <c r="M26" s="14">
        <f>IF(A26="","",IF(L26=20,"FR_200",IF(L26=10,"FR_100",IF(L26=5.5,"FR_55",IF(L26=2.1,"FR_21","exempt")))))</f>
        <v/>
      </c>
      <c r="N26" s="14">
        <f>IF(A26="","",Société!$B$11)</f>
        <v/>
      </c>
      <c r="O26" s="14">
        <f>IF(A26="","",Société!$B$12)</f>
        <v/>
      </c>
      <c r="P26" s="14">
        <f>IF(A26="","",Société!$B$13)</f>
        <v/>
      </c>
      <c r="Q26" s="15">
        <f>IF(A26="","",DATE(YEAR(TODAY()),MONTH(TODAY())+1,1))</f>
        <v/>
      </c>
      <c r="R26" s="14">
        <f>IF(A26="","",IFERROR(INDIRECT("'"&amp;A26&amp;"'!C22"),"")&amp;"")</f>
        <v/>
      </c>
      <c r="S26" s="14">
        <f>IF(OR(A26="",J26=""),"","{""customer_id"": "&amp;C26&amp;", ""label"": """&amp;E26&amp;""", ""start"": """&amp;YEAR(Q26)&amp;"-"&amp;TEXT(MONTH(Q26),"00")&amp;"-"&amp;TEXT(DAY(Q26),"00")&amp;""", ""mode"": {""type"": """&amp;N26&amp;"""}, ""payment_conditions"": """&amp;O26&amp;""", ""payment_method"": """&amp;P26&amp;""", ""recurring_rule"": "&amp;"{""type"": """&amp;G26&amp;""", ""interval"": "&amp;H26&amp;IF(G26="monthly",", ""day_of_month"": 1","")&amp;"}"&amp;", ""customer_invoice_data"": {""currency"": ""EUR"", ""language"": ""fr_FR"", ""pdf_invoice_subject"": """&amp;E26&amp;""", ""invoice_lines"": ["&amp;"{""label"": ""Loyer "&amp;LOWER(F26)&amp;" – "&amp;IFERROR(INDIRECT("'"&amp;A26&amp;"'!C4"),"")&amp;""", ""quantity"": 1, ""unit"": """&amp;I26&amp;""", ""raw_currency_unit_price"": """&amp;SUBSTITUTE(TEXT(J26,"0.00"),",",".")&amp;""", ""vat_rate"": """&amp;M26&amp;""""&amp;IF(D26&lt;&gt;"",", ""product_id"": "&amp;D26,"")&amp;"}"&amp;IF(K26&gt;0,", {""label"": ""Provision sur charges"", ""quantity"": 1, ""unit"": """&amp;I26&amp;""", ""raw_currency_unit_price"": """&amp;SUBSTITUTE(TEXT(K26,"0.00"),",",".")&amp;""", ""vat_rate"": """&amp;M26&amp;"""}","")&amp;"]}}")</f>
        <v/>
      </c>
    </row>
    <row r="27">
      <c r="A27" s="14">
        <f>IF(Récapitulatif!$A27="","",Récapitulatif!$A27)</f>
        <v/>
      </c>
      <c r="B27" s="14">
        <f>IF(A27="","",IFERROR(INDIRECT("'"&amp;A27&amp;"'!C5"),""))</f>
        <v/>
      </c>
      <c r="C27" s="14">
        <f>IF(A27="","",IF(IFERROR(INDIRECT("'"&amp;A27&amp;"'!C20"),"")="","À RENSEIGNER",IFERROR(INDIRECT("'"&amp;A27&amp;"'!C20"),"")))</f>
        <v/>
      </c>
      <c r="D27" s="14">
        <f>IF(A27="","",IFERROR(INDIRECT("'"&amp;A27&amp;"'!C21"),"")&amp;"")</f>
        <v/>
      </c>
      <c r="E27" s="14">
        <f>IF(A27="","","Loyer "&amp;IFERROR(INDIRECT("'"&amp;A27&amp;"'!C4"),""))</f>
        <v/>
      </c>
      <c r="F27" s="14">
        <f>IF(A27="","",IFERROR(INDIRECT("'"&amp;A27&amp;"'!C14"),""))</f>
        <v/>
      </c>
      <c r="G27" s="14">
        <f>IF(A27="","",IF(F27="Annuelle","yearly","monthly"))</f>
        <v/>
      </c>
      <c r="H27" s="14">
        <f>IF(A27="","",IF(F27="Mensuelle",1,IF(F27="Trimestrielle",3,IF(F27="Semestrielle",6,1))))</f>
        <v/>
      </c>
      <c r="I27" s="14">
        <f>IF(A27="","",IF(F27="Mensuelle","mois",IF(F27="Trimestrielle","trimestre",IF(F27="Semestrielle","semestre","an"))))</f>
        <v/>
      </c>
      <c r="J27" s="16">
        <f>IF(A27="","",IFERROR(ROUND(Récapitulatif!$I27/IF(F27="Mensuelle",12,IF(F27="Trimestrielle",4,IF(F27="Semestrielle",2,1))),2),""))</f>
        <v/>
      </c>
      <c r="K27" s="16">
        <f>IF(A27="","",IFERROR(ROUND(IF(IFERROR(INDIRECT("'"&amp;A27&amp;"'!C12"),"")="",0,IFERROR(INDIRECT("'"&amp;A27&amp;"'!C12"),""))/IF(F27="Mensuelle",12,IF(F27="Trimestrielle",4,IF(F27="Semestrielle",2,1))),2),""))</f>
        <v/>
      </c>
      <c r="L27" s="14">
        <f>IF(A27="","",IFERROR(INDIRECT("'"&amp;A27&amp;"'!C13"),""))</f>
        <v/>
      </c>
      <c r="M27" s="14">
        <f>IF(A27="","",IF(L27=20,"FR_200",IF(L27=10,"FR_100",IF(L27=5.5,"FR_55",IF(L27=2.1,"FR_21","exempt")))))</f>
        <v/>
      </c>
      <c r="N27" s="14">
        <f>IF(A27="","",Société!$B$11)</f>
        <v/>
      </c>
      <c r="O27" s="14">
        <f>IF(A27="","",Société!$B$12)</f>
        <v/>
      </c>
      <c r="P27" s="14">
        <f>IF(A27="","",Société!$B$13)</f>
        <v/>
      </c>
      <c r="Q27" s="15">
        <f>IF(A27="","",DATE(YEAR(TODAY()),MONTH(TODAY())+1,1))</f>
        <v/>
      </c>
      <c r="R27" s="14">
        <f>IF(A27="","",IFERROR(INDIRECT("'"&amp;A27&amp;"'!C22"),"")&amp;"")</f>
        <v/>
      </c>
      <c r="S27" s="14">
        <f>IF(OR(A27="",J27=""),"","{""customer_id"": "&amp;C27&amp;", ""label"": """&amp;E27&amp;""", ""start"": """&amp;YEAR(Q27)&amp;"-"&amp;TEXT(MONTH(Q27),"00")&amp;"-"&amp;TEXT(DAY(Q27),"00")&amp;""", ""mode"": {""type"": """&amp;N27&amp;"""}, ""payment_conditions"": """&amp;O27&amp;""", ""payment_method"": """&amp;P27&amp;""", ""recurring_rule"": "&amp;"{""type"": """&amp;G27&amp;""", ""interval"": "&amp;H27&amp;IF(G27="monthly",", ""day_of_month"": 1","")&amp;"}"&amp;", ""customer_invoice_data"": {""currency"": ""EUR"", ""language"": ""fr_FR"", ""pdf_invoice_subject"": """&amp;E27&amp;""", ""invoice_lines"": ["&amp;"{""label"": ""Loyer "&amp;LOWER(F27)&amp;" – "&amp;IFERROR(INDIRECT("'"&amp;A27&amp;"'!C4"),"")&amp;""", ""quantity"": 1, ""unit"": """&amp;I27&amp;""", ""raw_currency_unit_price"": """&amp;SUBSTITUTE(TEXT(J27,"0.00"),",",".")&amp;""", ""vat_rate"": """&amp;M27&amp;""""&amp;IF(D27&lt;&gt;"",", ""product_id"": "&amp;D27,"")&amp;"}"&amp;IF(K27&gt;0,", {""label"": ""Provision sur charges"", ""quantity"": 1, ""unit"": """&amp;I27&amp;""", ""raw_currency_unit_price"": """&amp;SUBSTITUTE(TEXT(K27,"0.00"),",",".")&amp;""", ""vat_rate"": """&amp;M27&amp;"""}","")&amp;"]}}")</f>
        <v/>
      </c>
    </row>
    <row r="28">
      <c r="A28" s="14">
        <f>IF(Récapitulatif!$A28="","",Récapitulatif!$A28)</f>
        <v/>
      </c>
      <c r="B28" s="14">
        <f>IF(A28="","",IFERROR(INDIRECT("'"&amp;A28&amp;"'!C5"),""))</f>
        <v/>
      </c>
      <c r="C28" s="14">
        <f>IF(A28="","",IF(IFERROR(INDIRECT("'"&amp;A28&amp;"'!C20"),"")="","À RENSEIGNER",IFERROR(INDIRECT("'"&amp;A28&amp;"'!C20"),"")))</f>
        <v/>
      </c>
      <c r="D28" s="14">
        <f>IF(A28="","",IFERROR(INDIRECT("'"&amp;A28&amp;"'!C21"),"")&amp;"")</f>
        <v/>
      </c>
      <c r="E28" s="14">
        <f>IF(A28="","","Loyer "&amp;IFERROR(INDIRECT("'"&amp;A28&amp;"'!C4"),""))</f>
        <v/>
      </c>
      <c r="F28" s="14">
        <f>IF(A28="","",IFERROR(INDIRECT("'"&amp;A28&amp;"'!C14"),""))</f>
        <v/>
      </c>
      <c r="G28" s="14">
        <f>IF(A28="","",IF(F28="Annuelle","yearly","monthly"))</f>
        <v/>
      </c>
      <c r="H28" s="14">
        <f>IF(A28="","",IF(F28="Mensuelle",1,IF(F28="Trimestrielle",3,IF(F28="Semestrielle",6,1))))</f>
        <v/>
      </c>
      <c r="I28" s="14">
        <f>IF(A28="","",IF(F28="Mensuelle","mois",IF(F28="Trimestrielle","trimestre",IF(F28="Semestrielle","semestre","an"))))</f>
        <v/>
      </c>
      <c r="J28" s="16">
        <f>IF(A28="","",IFERROR(ROUND(Récapitulatif!$I28/IF(F28="Mensuelle",12,IF(F28="Trimestrielle",4,IF(F28="Semestrielle",2,1))),2),""))</f>
        <v/>
      </c>
      <c r="K28" s="16">
        <f>IF(A28="","",IFERROR(ROUND(IF(IFERROR(INDIRECT("'"&amp;A28&amp;"'!C12"),"")="",0,IFERROR(INDIRECT("'"&amp;A28&amp;"'!C12"),""))/IF(F28="Mensuelle",12,IF(F28="Trimestrielle",4,IF(F28="Semestrielle",2,1))),2),""))</f>
        <v/>
      </c>
      <c r="L28" s="14">
        <f>IF(A28="","",IFERROR(INDIRECT("'"&amp;A28&amp;"'!C13"),""))</f>
        <v/>
      </c>
      <c r="M28" s="14">
        <f>IF(A28="","",IF(L28=20,"FR_200",IF(L28=10,"FR_100",IF(L28=5.5,"FR_55",IF(L28=2.1,"FR_21","exempt")))))</f>
        <v/>
      </c>
      <c r="N28" s="14">
        <f>IF(A28="","",Société!$B$11)</f>
        <v/>
      </c>
      <c r="O28" s="14">
        <f>IF(A28="","",Société!$B$12)</f>
        <v/>
      </c>
      <c r="P28" s="14">
        <f>IF(A28="","",Société!$B$13)</f>
        <v/>
      </c>
      <c r="Q28" s="15">
        <f>IF(A28="","",DATE(YEAR(TODAY()),MONTH(TODAY())+1,1))</f>
        <v/>
      </c>
      <c r="R28" s="14">
        <f>IF(A28="","",IFERROR(INDIRECT("'"&amp;A28&amp;"'!C22"),"")&amp;"")</f>
        <v/>
      </c>
      <c r="S28" s="14">
        <f>IF(OR(A28="",J28=""),"","{""customer_id"": "&amp;C28&amp;", ""label"": """&amp;E28&amp;""", ""start"": """&amp;YEAR(Q28)&amp;"-"&amp;TEXT(MONTH(Q28),"00")&amp;"-"&amp;TEXT(DAY(Q28),"00")&amp;""", ""mode"": {""type"": """&amp;N28&amp;"""}, ""payment_conditions"": """&amp;O28&amp;""", ""payment_method"": """&amp;P28&amp;""", ""recurring_rule"": "&amp;"{""type"": """&amp;G28&amp;""", ""interval"": "&amp;H28&amp;IF(G28="monthly",", ""day_of_month"": 1","")&amp;"}"&amp;", ""customer_invoice_data"": {""currency"": ""EUR"", ""language"": ""fr_FR"", ""pdf_invoice_subject"": """&amp;E28&amp;""", ""invoice_lines"": ["&amp;"{""label"": ""Loyer "&amp;LOWER(F28)&amp;" – "&amp;IFERROR(INDIRECT("'"&amp;A28&amp;"'!C4"),"")&amp;""", ""quantity"": 1, ""unit"": """&amp;I28&amp;""", ""raw_currency_unit_price"": """&amp;SUBSTITUTE(TEXT(J28,"0.00"),",",".")&amp;""", ""vat_rate"": """&amp;M28&amp;""""&amp;IF(D28&lt;&gt;"",", ""product_id"": "&amp;D28,"")&amp;"}"&amp;IF(K28&gt;0,", {""label"": ""Provision sur charges"", ""quantity"": 1, ""unit"": """&amp;I28&amp;""", ""raw_currency_unit_price"": """&amp;SUBSTITUTE(TEXT(K28,"0.00"),",",".")&amp;""", ""vat_rate"": """&amp;M28&amp;"""}","")&amp;"]}}")</f>
        <v/>
      </c>
    </row>
    <row r="29">
      <c r="A29" s="14">
        <f>IF(Récapitulatif!$A29="","",Récapitulatif!$A29)</f>
        <v/>
      </c>
      <c r="B29" s="14">
        <f>IF(A29="","",IFERROR(INDIRECT("'"&amp;A29&amp;"'!C5"),""))</f>
        <v/>
      </c>
      <c r="C29" s="14">
        <f>IF(A29="","",IF(IFERROR(INDIRECT("'"&amp;A29&amp;"'!C20"),"")="","À RENSEIGNER",IFERROR(INDIRECT("'"&amp;A29&amp;"'!C20"),"")))</f>
        <v/>
      </c>
      <c r="D29" s="14">
        <f>IF(A29="","",IFERROR(INDIRECT("'"&amp;A29&amp;"'!C21"),"")&amp;"")</f>
        <v/>
      </c>
      <c r="E29" s="14">
        <f>IF(A29="","","Loyer "&amp;IFERROR(INDIRECT("'"&amp;A29&amp;"'!C4"),""))</f>
        <v/>
      </c>
      <c r="F29" s="14">
        <f>IF(A29="","",IFERROR(INDIRECT("'"&amp;A29&amp;"'!C14"),""))</f>
        <v/>
      </c>
      <c r="G29" s="14">
        <f>IF(A29="","",IF(F29="Annuelle","yearly","monthly"))</f>
        <v/>
      </c>
      <c r="H29" s="14">
        <f>IF(A29="","",IF(F29="Mensuelle",1,IF(F29="Trimestrielle",3,IF(F29="Semestrielle",6,1))))</f>
        <v/>
      </c>
      <c r="I29" s="14">
        <f>IF(A29="","",IF(F29="Mensuelle","mois",IF(F29="Trimestrielle","trimestre",IF(F29="Semestrielle","semestre","an"))))</f>
        <v/>
      </c>
      <c r="J29" s="16">
        <f>IF(A29="","",IFERROR(ROUND(Récapitulatif!$I29/IF(F29="Mensuelle",12,IF(F29="Trimestrielle",4,IF(F29="Semestrielle",2,1))),2),""))</f>
        <v/>
      </c>
      <c r="K29" s="16">
        <f>IF(A29="","",IFERROR(ROUND(IF(IFERROR(INDIRECT("'"&amp;A29&amp;"'!C12"),"")="",0,IFERROR(INDIRECT("'"&amp;A29&amp;"'!C12"),""))/IF(F29="Mensuelle",12,IF(F29="Trimestrielle",4,IF(F29="Semestrielle",2,1))),2),""))</f>
        <v/>
      </c>
      <c r="L29" s="14">
        <f>IF(A29="","",IFERROR(INDIRECT("'"&amp;A29&amp;"'!C13"),""))</f>
        <v/>
      </c>
      <c r="M29" s="14">
        <f>IF(A29="","",IF(L29=20,"FR_200",IF(L29=10,"FR_100",IF(L29=5.5,"FR_55",IF(L29=2.1,"FR_21","exempt")))))</f>
        <v/>
      </c>
      <c r="N29" s="14">
        <f>IF(A29="","",Société!$B$11)</f>
        <v/>
      </c>
      <c r="O29" s="14">
        <f>IF(A29="","",Société!$B$12)</f>
        <v/>
      </c>
      <c r="P29" s="14">
        <f>IF(A29="","",Société!$B$13)</f>
        <v/>
      </c>
      <c r="Q29" s="15">
        <f>IF(A29="","",DATE(YEAR(TODAY()),MONTH(TODAY())+1,1))</f>
        <v/>
      </c>
      <c r="R29" s="14">
        <f>IF(A29="","",IFERROR(INDIRECT("'"&amp;A29&amp;"'!C22"),"")&amp;"")</f>
        <v/>
      </c>
      <c r="S29" s="14">
        <f>IF(OR(A29="",J29=""),"","{""customer_id"": "&amp;C29&amp;", ""label"": """&amp;E29&amp;""", ""start"": """&amp;YEAR(Q29)&amp;"-"&amp;TEXT(MONTH(Q29),"00")&amp;"-"&amp;TEXT(DAY(Q29),"00")&amp;""", ""mode"": {""type"": """&amp;N29&amp;"""}, ""payment_conditions"": """&amp;O29&amp;""", ""payment_method"": """&amp;P29&amp;""", ""recurring_rule"": "&amp;"{""type"": """&amp;G29&amp;""", ""interval"": "&amp;H29&amp;IF(G29="monthly",", ""day_of_month"": 1","")&amp;"}"&amp;", ""customer_invoice_data"": {""currency"": ""EUR"", ""language"": ""fr_FR"", ""pdf_invoice_subject"": """&amp;E29&amp;""", ""invoice_lines"": ["&amp;"{""label"": ""Loyer "&amp;LOWER(F29)&amp;" – "&amp;IFERROR(INDIRECT("'"&amp;A29&amp;"'!C4"),"")&amp;""", ""quantity"": 1, ""unit"": """&amp;I29&amp;""", ""raw_currency_unit_price"": """&amp;SUBSTITUTE(TEXT(J29,"0.00"),",",".")&amp;""", ""vat_rate"": """&amp;M29&amp;""""&amp;IF(D29&lt;&gt;"",", ""product_id"": "&amp;D29,"")&amp;"}"&amp;IF(K29&gt;0,", {""label"": ""Provision sur charges"", ""quantity"": 1, ""unit"": """&amp;I29&amp;""", ""raw_currency_unit_price"": """&amp;SUBSTITUTE(TEXT(K29,"0.00"),",",".")&amp;""", ""vat_rate"": """&amp;M29&amp;"""}","")&amp;"]}}")</f>
        <v/>
      </c>
    </row>
    <row r="30">
      <c r="A30" s="14">
        <f>IF(Récapitulatif!$A30="","",Récapitulatif!$A30)</f>
        <v/>
      </c>
      <c r="B30" s="14">
        <f>IF(A30="","",IFERROR(INDIRECT("'"&amp;A30&amp;"'!C5"),""))</f>
        <v/>
      </c>
      <c r="C30" s="14">
        <f>IF(A30="","",IF(IFERROR(INDIRECT("'"&amp;A30&amp;"'!C20"),"")="","À RENSEIGNER",IFERROR(INDIRECT("'"&amp;A30&amp;"'!C20"),"")))</f>
        <v/>
      </c>
      <c r="D30" s="14">
        <f>IF(A30="","",IFERROR(INDIRECT("'"&amp;A30&amp;"'!C21"),"")&amp;"")</f>
        <v/>
      </c>
      <c r="E30" s="14">
        <f>IF(A30="","","Loyer "&amp;IFERROR(INDIRECT("'"&amp;A30&amp;"'!C4"),""))</f>
        <v/>
      </c>
      <c r="F30" s="14">
        <f>IF(A30="","",IFERROR(INDIRECT("'"&amp;A30&amp;"'!C14"),""))</f>
        <v/>
      </c>
      <c r="G30" s="14">
        <f>IF(A30="","",IF(F30="Annuelle","yearly","monthly"))</f>
        <v/>
      </c>
      <c r="H30" s="14">
        <f>IF(A30="","",IF(F30="Mensuelle",1,IF(F30="Trimestrielle",3,IF(F30="Semestrielle",6,1))))</f>
        <v/>
      </c>
      <c r="I30" s="14">
        <f>IF(A30="","",IF(F30="Mensuelle","mois",IF(F30="Trimestrielle","trimestre",IF(F30="Semestrielle","semestre","an"))))</f>
        <v/>
      </c>
      <c r="J30" s="16">
        <f>IF(A30="","",IFERROR(ROUND(Récapitulatif!$I30/IF(F30="Mensuelle",12,IF(F30="Trimestrielle",4,IF(F30="Semestrielle",2,1))),2),""))</f>
        <v/>
      </c>
      <c r="K30" s="16">
        <f>IF(A30="","",IFERROR(ROUND(IF(IFERROR(INDIRECT("'"&amp;A30&amp;"'!C12"),"")="",0,IFERROR(INDIRECT("'"&amp;A30&amp;"'!C12"),""))/IF(F30="Mensuelle",12,IF(F30="Trimestrielle",4,IF(F30="Semestrielle",2,1))),2),""))</f>
        <v/>
      </c>
      <c r="L30" s="14">
        <f>IF(A30="","",IFERROR(INDIRECT("'"&amp;A30&amp;"'!C13"),""))</f>
        <v/>
      </c>
      <c r="M30" s="14">
        <f>IF(A30="","",IF(L30=20,"FR_200",IF(L30=10,"FR_100",IF(L30=5.5,"FR_55",IF(L30=2.1,"FR_21","exempt")))))</f>
        <v/>
      </c>
      <c r="N30" s="14">
        <f>IF(A30="","",Société!$B$11)</f>
        <v/>
      </c>
      <c r="O30" s="14">
        <f>IF(A30="","",Société!$B$12)</f>
        <v/>
      </c>
      <c r="P30" s="14">
        <f>IF(A30="","",Société!$B$13)</f>
        <v/>
      </c>
      <c r="Q30" s="15">
        <f>IF(A30="","",DATE(YEAR(TODAY()),MONTH(TODAY())+1,1))</f>
        <v/>
      </c>
      <c r="R30" s="14">
        <f>IF(A30="","",IFERROR(INDIRECT("'"&amp;A30&amp;"'!C22"),"")&amp;"")</f>
        <v/>
      </c>
      <c r="S30" s="14">
        <f>IF(OR(A30="",J30=""),"","{""customer_id"": "&amp;C30&amp;", ""label"": """&amp;E30&amp;""", ""start"": """&amp;YEAR(Q30)&amp;"-"&amp;TEXT(MONTH(Q30),"00")&amp;"-"&amp;TEXT(DAY(Q30),"00")&amp;""", ""mode"": {""type"": """&amp;N30&amp;"""}, ""payment_conditions"": """&amp;O30&amp;""", ""payment_method"": """&amp;P30&amp;""", ""recurring_rule"": "&amp;"{""type"": """&amp;G30&amp;""", ""interval"": "&amp;H30&amp;IF(G30="monthly",", ""day_of_month"": 1","")&amp;"}"&amp;", ""customer_invoice_data"": {""currency"": ""EUR"", ""language"": ""fr_FR"", ""pdf_invoice_subject"": """&amp;E30&amp;""", ""invoice_lines"": ["&amp;"{""label"": ""Loyer "&amp;LOWER(F30)&amp;" – "&amp;IFERROR(INDIRECT("'"&amp;A30&amp;"'!C4"),"")&amp;""", ""quantity"": 1, ""unit"": """&amp;I30&amp;""", ""raw_currency_unit_price"": """&amp;SUBSTITUTE(TEXT(J30,"0.00"),",",".")&amp;""", ""vat_rate"": """&amp;M30&amp;""""&amp;IF(D30&lt;&gt;"",", ""product_id"": "&amp;D30,"")&amp;"}"&amp;IF(K30&gt;0,", {""label"": ""Provision sur charges"", ""quantity"": 1, ""unit"": """&amp;I30&amp;""", ""raw_currency_unit_price"": """&amp;SUBSTITUTE(TEXT(K30,"0.00"),",",".")&amp;""", ""vat_rate"": """&amp;M30&amp;"""}","")&amp;"]}}")</f>
        <v/>
      </c>
    </row>
    <row r="31">
      <c r="A31" s="14">
        <f>IF(Récapitulatif!$A31="","",Récapitulatif!$A31)</f>
        <v/>
      </c>
      <c r="B31" s="14">
        <f>IF(A31="","",IFERROR(INDIRECT("'"&amp;A31&amp;"'!C5"),""))</f>
        <v/>
      </c>
      <c r="C31" s="14">
        <f>IF(A31="","",IF(IFERROR(INDIRECT("'"&amp;A31&amp;"'!C20"),"")="","À RENSEIGNER",IFERROR(INDIRECT("'"&amp;A31&amp;"'!C20"),"")))</f>
        <v/>
      </c>
      <c r="D31" s="14">
        <f>IF(A31="","",IFERROR(INDIRECT("'"&amp;A31&amp;"'!C21"),"")&amp;"")</f>
        <v/>
      </c>
      <c r="E31" s="14">
        <f>IF(A31="","","Loyer "&amp;IFERROR(INDIRECT("'"&amp;A31&amp;"'!C4"),""))</f>
        <v/>
      </c>
      <c r="F31" s="14">
        <f>IF(A31="","",IFERROR(INDIRECT("'"&amp;A31&amp;"'!C14"),""))</f>
        <v/>
      </c>
      <c r="G31" s="14">
        <f>IF(A31="","",IF(F31="Annuelle","yearly","monthly"))</f>
        <v/>
      </c>
      <c r="H31" s="14">
        <f>IF(A31="","",IF(F31="Mensuelle",1,IF(F31="Trimestrielle",3,IF(F31="Semestrielle",6,1))))</f>
        <v/>
      </c>
      <c r="I31" s="14">
        <f>IF(A31="","",IF(F31="Mensuelle","mois",IF(F31="Trimestrielle","trimestre",IF(F31="Semestrielle","semestre","an"))))</f>
        <v/>
      </c>
      <c r="J31" s="16">
        <f>IF(A31="","",IFERROR(ROUND(Récapitulatif!$I31/IF(F31="Mensuelle",12,IF(F31="Trimestrielle",4,IF(F31="Semestrielle",2,1))),2),""))</f>
        <v/>
      </c>
      <c r="K31" s="16">
        <f>IF(A31="","",IFERROR(ROUND(IF(IFERROR(INDIRECT("'"&amp;A31&amp;"'!C12"),"")="",0,IFERROR(INDIRECT("'"&amp;A31&amp;"'!C12"),""))/IF(F31="Mensuelle",12,IF(F31="Trimestrielle",4,IF(F31="Semestrielle",2,1))),2),""))</f>
        <v/>
      </c>
      <c r="L31" s="14">
        <f>IF(A31="","",IFERROR(INDIRECT("'"&amp;A31&amp;"'!C13"),""))</f>
        <v/>
      </c>
      <c r="M31" s="14">
        <f>IF(A31="","",IF(L31=20,"FR_200",IF(L31=10,"FR_100",IF(L31=5.5,"FR_55",IF(L31=2.1,"FR_21","exempt")))))</f>
        <v/>
      </c>
      <c r="N31" s="14">
        <f>IF(A31="","",Société!$B$11)</f>
        <v/>
      </c>
      <c r="O31" s="14">
        <f>IF(A31="","",Société!$B$12)</f>
        <v/>
      </c>
      <c r="P31" s="14">
        <f>IF(A31="","",Société!$B$13)</f>
        <v/>
      </c>
      <c r="Q31" s="15">
        <f>IF(A31="","",DATE(YEAR(TODAY()),MONTH(TODAY())+1,1))</f>
        <v/>
      </c>
      <c r="R31" s="14">
        <f>IF(A31="","",IFERROR(INDIRECT("'"&amp;A31&amp;"'!C22"),"")&amp;"")</f>
        <v/>
      </c>
      <c r="S31" s="14">
        <f>IF(OR(A31="",J31=""),"","{""customer_id"": "&amp;C31&amp;", ""label"": """&amp;E31&amp;""", ""start"": """&amp;YEAR(Q31)&amp;"-"&amp;TEXT(MONTH(Q31),"00")&amp;"-"&amp;TEXT(DAY(Q31),"00")&amp;""", ""mode"": {""type"": """&amp;N31&amp;"""}, ""payment_conditions"": """&amp;O31&amp;""", ""payment_method"": """&amp;P31&amp;""", ""recurring_rule"": "&amp;"{""type"": """&amp;G31&amp;""", ""interval"": "&amp;H31&amp;IF(G31="monthly",", ""day_of_month"": 1","")&amp;"}"&amp;", ""customer_invoice_data"": {""currency"": ""EUR"", ""language"": ""fr_FR"", ""pdf_invoice_subject"": """&amp;E31&amp;""", ""invoice_lines"": ["&amp;"{""label"": ""Loyer "&amp;LOWER(F31)&amp;" – "&amp;IFERROR(INDIRECT("'"&amp;A31&amp;"'!C4"),"")&amp;""", ""quantity"": 1, ""unit"": """&amp;I31&amp;""", ""raw_currency_unit_price"": """&amp;SUBSTITUTE(TEXT(J31,"0.00"),",",".")&amp;""", ""vat_rate"": """&amp;M31&amp;""""&amp;IF(D31&lt;&gt;"",", ""product_id"": "&amp;D31,"")&amp;"}"&amp;IF(K31&gt;0,", {""label"": ""Provision sur charges"", ""quantity"": 1, ""unit"": """&amp;I31&amp;""", ""raw_currency_unit_price"": """&amp;SUBSTITUTE(TEXT(K31,"0.00"),",",".")&amp;""", ""vat_rate"": """&amp;M31&amp;"""}","")&amp;"]}}")</f>
        <v/>
      </c>
    </row>
    <row r="32">
      <c r="A32" s="14">
        <f>IF(Récapitulatif!$A32="","",Récapitulatif!$A32)</f>
        <v/>
      </c>
      <c r="B32" s="14">
        <f>IF(A32="","",IFERROR(INDIRECT("'"&amp;A32&amp;"'!C5"),""))</f>
        <v/>
      </c>
      <c r="C32" s="14">
        <f>IF(A32="","",IF(IFERROR(INDIRECT("'"&amp;A32&amp;"'!C20"),"")="","À RENSEIGNER",IFERROR(INDIRECT("'"&amp;A32&amp;"'!C20"),"")))</f>
        <v/>
      </c>
      <c r="D32" s="14">
        <f>IF(A32="","",IFERROR(INDIRECT("'"&amp;A32&amp;"'!C21"),"")&amp;"")</f>
        <v/>
      </c>
      <c r="E32" s="14">
        <f>IF(A32="","","Loyer "&amp;IFERROR(INDIRECT("'"&amp;A32&amp;"'!C4"),""))</f>
        <v/>
      </c>
      <c r="F32" s="14">
        <f>IF(A32="","",IFERROR(INDIRECT("'"&amp;A32&amp;"'!C14"),""))</f>
        <v/>
      </c>
      <c r="G32" s="14">
        <f>IF(A32="","",IF(F32="Annuelle","yearly","monthly"))</f>
        <v/>
      </c>
      <c r="H32" s="14">
        <f>IF(A32="","",IF(F32="Mensuelle",1,IF(F32="Trimestrielle",3,IF(F32="Semestrielle",6,1))))</f>
        <v/>
      </c>
      <c r="I32" s="14">
        <f>IF(A32="","",IF(F32="Mensuelle","mois",IF(F32="Trimestrielle","trimestre",IF(F32="Semestrielle","semestre","an"))))</f>
        <v/>
      </c>
      <c r="J32" s="16">
        <f>IF(A32="","",IFERROR(ROUND(Récapitulatif!$I32/IF(F32="Mensuelle",12,IF(F32="Trimestrielle",4,IF(F32="Semestrielle",2,1))),2),""))</f>
        <v/>
      </c>
      <c r="K32" s="16">
        <f>IF(A32="","",IFERROR(ROUND(IF(IFERROR(INDIRECT("'"&amp;A32&amp;"'!C12"),"")="",0,IFERROR(INDIRECT("'"&amp;A32&amp;"'!C12"),""))/IF(F32="Mensuelle",12,IF(F32="Trimestrielle",4,IF(F32="Semestrielle",2,1))),2),""))</f>
        <v/>
      </c>
      <c r="L32" s="14">
        <f>IF(A32="","",IFERROR(INDIRECT("'"&amp;A32&amp;"'!C13"),""))</f>
        <v/>
      </c>
      <c r="M32" s="14">
        <f>IF(A32="","",IF(L32=20,"FR_200",IF(L32=10,"FR_100",IF(L32=5.5,"FR_55",IF(L32=2.1,"FR_21","exempt")))))</f>
        <v/>
      </c>
      <c r="N32" s="14">
        <f>IF(A32="","",Société!$B$11)</f>
        <v/>
      </c>
      <c r="O32" s="14">
        <f>IF(A32="","",Société!$B$12)</f>
        <v/>
      </c>
      <c r="P32" s="14">
        <f>IF(A32="","",Société!$B$13)</f>
        <v/>
      </c>
      <c r="Q32" s="15">
        <f>IF(A32="","",DATE(YEAR(TODAY()),MONTH(TODAY())+1,1))</f>
        <v/>
      </c>
      <c r="R32" s="14">
        <f>IF(A32="","",IFERROR(INDIRECT("'"&amp;A32&amp;"'!C22"),"")&amp;"")</f>
        <v/>
      </c>
      <c r="S32" s="14">
        <f>IF(OR(A32="",J32=""),"","{""customer_id"": "&amp;C32&amp;", ""label"": """&amp;E32&amp;""", ""start"": """&amp;YEAR(Q32)&amp;"-"&amp;TEXT(MONTH(Q32),"00")&amp;"-"&amp;TEXT(DAY(Q32),"00")&amp;""", ""mode"": {""type"": """&amp;N32&amp;"""}, ""payment_conditions"": """&amp;O32&amp;""", ""payment_method"": """&amp;P32&amp;""", ""recurring_rule"": "&amp;"{""type"": """&amp;G32&amp;""", ""interval"": "&amp;H32&amp;IF(G32="monthly",", ""day_of_month"": 1","")&amp;"}"&amp;", ""customer_invoice_data"": {""currency"": ""EUR"", ""language"": ""fr_FR"", ""pdf_invoice_subject"": """&amp;E32&amp;""", ""invoice_lines"": ["&amp;"{""label"": ""Loyer "&amp;LOWER(F32)&amp;" – "&amp;IFERROR(INDIRECT("'"&amp;A32&amp;"'!C4"),"")&amp;""", ""quantity"": 1, ""unit"": """&amp;I32&amp;""", ""raw_currency_unit_price"": """&amp;SUBSTITUTE(TEXT(J32,"0.00"),",",".")&amp;""", ""vat_rate"": """&amp;M32&amp;""""&amp;IF(D32&lt;&gt;"",", ""product_id"": "&amp;D32,"")&amp;"}"&amp;IF(K32&gt;0,", {""label"": ""Provision sur charges"", ""quantity"": 1, ""unit"": """&amp;I32&amp;""", ""raw_currency_unit_price"": """&amp;SUBSTITUTE(TEXT(K32,"0.00"),",",".")&amp;""", ""vat_rate"": """&amp;M32&amp;"""}","")&amp;"]}}")</f>
        <v/>
      </c>
    </row>
    <row r="33">
      <c r="A33" s="14">
        <f>IF(Récapitulatif!$A33="","",Récapitulatif!$A33)</f>
        <v/>
      </c>
      <c r="B33" s="14">
        <f>IF(A33="","",IFERROR(INDIRECT("'"&amp;A33&amp;"'!C5"),""))</f>
        <v/>
      </c>
      <c r="C33" s="14">
        <f>IF(A33="","",IF(IFERROR(INDIRECT("'"&amp;A33&amp;"'!C20"),"")="","À RENSEIGNER",IFERROR(INDIRECT("'"&amp;A33&amp;"'!C20"),"")))</f>
        <v/>
      </c>
      <c r="D33" s="14">
        <f>IF(A33="","",IFERROR(INDIRECT("'"&amp;A33&amp;"'!C21"),"")&amp;"")</f>
        <v/>
      </c>
      <c r="E33" s="14">
        <f>IF(A33="","","Loyer "&amp;IFERROR(INDIRECT("'"&amp;A33&amp;"'!C4"),""))</f>
        <v/>
      </c>
      <c r="F33" s="14">
        <f>IF(A33="","",IFERROR(INDIRECT("'"&amp;A33&amp;"'!C14"),""))</f>
        <v/>
      </c>
      <c r="G33" s="14">
        <f>IF(A33="","",IF(F33="Annuelle","yearly","monthly"))</f>
        <v/>
      </c>
      <c r="H33" s="14">
        <f>IF(A33="","",IF(F33="Mensuelle",1,IF(F33="Trimestrielle",3,IF(F33="Semestrielle",6,1))))</f>
        <v/>
      </c>
      <c r="I33" s="14">
        <f>IF(A33="","",IF(F33="Mensuelle","mois",IF(F33="Trimestrielle","trimestre",IF(F33="Semestrielle","semestre","an"))))</f>
        <v/>
      </c>
      <c r="J33" s="16">
        <f>IF(A33="","",IFERROR(ROUND(Récapitulatif!$I33/IF(F33="Mensuelle",12,IF(F33="Trimestrielle",4,IF(F33="Semestrielle",2,1))),2),""))</f>
        <v/>
      </c>
      <c r="K33" s="16">
        <f>IF(A33="","",IFERROR(ROUND(IF(IFERROR(INDIRECT("'"&amp;A33&amp;"'!C12"),"")="",0,IFERROR(INDIRECT("'"&amp;A33&amp;"'!C12"),""))/IF(F33="Mensuelle",12,IF(F33="Trimestrielle",4,IF(F33="Semestrielle",2,1))),2),""))</f>
        <v/>
      </c>
      <c r="L33" s="14">
        <f>IF(A33="","",IFERROR(INDIRECT("'"&amp;A33&amp;"'!C13"),""))</f>
        <v/>
      </c>
      <c r="M33" s="14">
        <f>IF(A33="","",IF(L33=20,"FR_200",IF(L33=10,"FR_100",IF(L33=5.5,"FR_55",IF(L33=2.1,"FR_21","exempt")))))</f>
        <v/>
      </c>
      <c r="N33" s="14">
        <f>IF(A33="","",Société!$B$11)</f>
        <v/>
      </c>
      <c r="O33" s="14">
        <f>IF(A33="","",Société!$B$12)</f>
        <v/>
      </c>
      <c r="P33" s="14">
        <f>IF(A33="","",Société!$B$13)</f>
        <v/>
      </c>
      <c r="Q33" s="15">
        <f>IF(A33="","",DATE(YEAR(TODAY()),MONTH(TODAY())+1,1))</f>
        <v/>
      </c>
      <c r="R33" s="14">
        <f>IF(A33="","",IFERROR(INDIRECT("'"&amp;A33&amp;"'!C22"),"")&amp;"")</f>
        <v/>
      </c>
      <c r="S33" s="14">
        <f>IF(OR(A33="",J33=""),"","{""customer_id"": "&amp;C33&amp;", ""label"": """&amp;E33&amp;""", ""start"": """&amp;YEAR(Q33)&amp;"-"&amp;TEXT(MONTH(Q33),"00")&amp;"-"&amp;TEXT(DAY(Q33),"00")&amp;""", ""mode"": {""type"": """&amp;N33&amp;"""}, ""payment_conditions"": """&amp;O33&amp;""", ""payment_method"": """&amp;P33&amp;""", ""recurring_rule"": "&amp;"{""type"": """&amp;G33&amp;""", ""interval"": "&amp;H33&amp;IF(G33="monthly",", ""day_of_month"": 1","")&amp;"}"&amp;", ""customer_invoice_data"": {""currency"": ""EUR"", ""language"": ""fr_FR"", ""pdf_invoice_subject"": """&amp;E33&amp;""", ""invoice_lines"": ["&amp;"{""label"": ""Loyer "&amp;LOWER(F33)&amp;" – "&amp;IFERROR(INDIRECT("'"&amp;A33&amp;"'!C4"),"")&amp;""", ""quantity"": 1, ""unit"": """&amp;I33&amp;""", ""raw_currency_unit_price"": """&amp;SUBSTITUTE(TEXT(J33,"0.00"),",",".")&amp;""", ""vat_rate"": """&amp;M33&amp;""""&amp;IF(D33&lt;&gt;"",", ""product_id"": "&amp;D33,"")&amp;"}"&amp;IF(K33&gt;0,", {""label"": ""Provision sur charges"", ""quantity"": 1, ""unit"": """&amp;I33&amp;""", ""raw_currency_unit_price"": """&amp;SUBSTITUTE(TEXT(K33,"0.00"),",",".")&amp;""", ""vat_rate"": """&amp;M33&amp;"""}","")&amp;"]}}")</f>
        <v/>
      </c>
    </row>
    <row r="34">
      <c r="A34" s="14">
        <f>IF(Récapitulatif!$A34="","",Récapitulatif!$A34)</f>
        <v/>
      </c>
      <c r="B34" s="14">
        <f>IF(A34="","",IFERROR(INDIRECT("'"&amp;A34&amp;"'!C5"),""))</f>
        <v/>
      </c>
      <c r="C34" s="14">
        <f>IF(A34="","",IF(IFERROR(INDIRECT("'"&amp;A34&amp;"'!C20"),"")="","À RENSEIGNER",IFERROR(INDIRECT("'"&amp;A34&amp;"'!C20"),"")))</f>
        <v/>
      </c>
      <c r="D34" s="14">
        <f>IF(A34="","",IFERROR(INDIRECT("'"&amp;A34&amp;"'!C21"),"")&amp;"")</f>
        <v/>
      </c>
      <c r="E34" s="14">
        <f>IF(A34="","","Loyer "&amp;IFERROR(INDIRECT("'"&amp;A34&amp;"'!C4"),""))</f>
        <v/>
      </c>
      <c r="F34" s="14">
        <f>IF(A34="","",IFERROR(INDIRECT("'"&amp;A34&amp;"'!C14"),""))</f>
        <v/>
      </c>
      <c r="G34" s="14">
        <f>IF(A34="","",IF(F34="Annuelle","yearly","monthly"))</f>
        <v/>
      </c>
      <c r="H34" s="14">
        <f>IF(A34="","",IF(F34="Mensuelle",1,IF(F34="Trimestrielle",3,IF(F34="Semestrielle",6,1))))</f>
        <v/>
      </c>
      <c r="I34" s="14">
        <f>IF(A34="","",IF(F34="Mensuelle","mois",IF(F34="Trimestrielle","trimestre",IF(F34="Semestrielle","semestre","an"))))</f>
        <v/>
      </c>
      <c r="J34" s="16">
        <f>IF(A34="","",IFERROR(ROUND(Récapitulatif!$I34/IF(F34="Mensuelle",12,IF(F34="Trimestrielle",4,IF(F34="Semestrielle",2,1))),2),""))</f>
        <v/>
      </c>
      <c r="K34" s="16">
        <f>IF(A34="","",IFERROR(ROUND(IF(IFERROR(INDIRECT("'"&amp;A34&amp;"'!C12"),"")="",0,IFERROR(INDIRECT("'"&amp;A34&amp;"'!C12"),""))/IF(F34="Mensuelle",12,IF(F34="Trimestrielle",4,IF(F34="Semestrielle",2,1))),2),""))</f>
        <v/>
      </c>
      <c r="L34" s="14">
        <f>IF(A34="","",IFERROR(INDIRECT("'"&amp;A34&amp;"'!C13"),""))</f>
        <v/>
      </c>
      <c r="M34" s="14">
        <f>IF(A34="","",IF(L34=20,"FR_200",IF(L34=10,"FR_100",IF(L34=5.5,"FR_55",IF(L34=2.1,"FR_21","exempt")))))</f>
        <v/>
      </c>
      <c r="N34" s="14">
        <f>IF(A34="","",Société!$B$11)</f>
        <v/>
      </c>
      <c r="O34" s="14">
        <f>IF(A34="","",Société!$B$12)</f>
        <v/>
      </c>
      <c r="P34" s="14">
        <f>IF(A34="","",Société!$B$13)</f>
        <v/>
      </c>
      <c r="Q34" s="15">
        <f>IF(A34="","",DATE(YEAR(TODAY()),MONTH(TODAY())+1,1))</f>
        <v/>
      </c>
      <c r="R34" s="14">
        <f>IF(A34="","",IFERROR(INDIRECT("'"&amp;A34&amp;"'!C22"),"")&amp;"")</f>
        <v/>
      </c>
      <c r="S34" s="14">
        <f>IF(OR(A34="",J34=""),"","{""customer_id"": "&amp;C34&amp;", ""label"": """&amp;E34&amp;""", ""start"": """&amp;YEAR(Q34)&amp;"-"&amp;TEXT(MONTH(Q34),"00")&amp;"-"&amp;TEXT(DAY(Q34),"00")&amp;""", ""mode"": {""type"": """&amp;N34&amp;"""}, ""payment_conditions"": """&amp;O34&amp;""", ""payment_method"": """&amp;P34&amp;""", ""recurring_rule"": "&amp;"{""type"": """&amp;G34&amp;""", ""interval"": "&amp;H34&amp;IF(G34="monthly",", ""day_of_month"": 1","")&amp;"}"&amp;", ""customer_invoice_data"": {""currency"": ""EUR"", ""language"": ""fr_FR"", ""pdf_invoice_subject"": """&amp;E34&amp;""", ""invoice_lines"": ["&amp;"{""label"": ""Loyer "&amp;LOWER(F34)&amp;" – "&amp;IFERROR(INDIRECT("'"&amp;A34&amp;"'!C4"),"")&amp;""", ""quantity"": 1, ""unit"": """&amp;I34&amp;""", ""raw_currency_unit_price"": """&amp;SUBSTITUTE(TEXT(J34,"0.00"),",",".")&amp;""", ""vat_rate"": """&amp;M34&amp;""""&amp;IF(D34&lt;&gt;"",", ""product_id"": "&amp;D34,"")&amp;"}"&amp;IF(K34&gt;0,", {""label"": ""Provision sur charges"", ""quantity"": 1, ""unit"": """&amp;I34&amp;""", ""raw_currency_unit_price"": """&amp;SUBSTITUTE(TEXT(K34,"0.00"),",",".")&amp;""", ""vat_rate"": """&amp;M34&amp;"""}","")&amp;"]}}")</f>
        <v/>
      </c>
    </row>
    <row r="35">
      <c r="A35" s="14">
        <f>IF(Récapitulatif!$A35="","",Récapitulatif!$A35)</f>
        <v/>
      </c>
      <c r="B35" s="14">
        <f>IF(A35="","",IFERROR(INDIRECT("'"&amp;A35&amp;"'!C5"),""))</f>
        <v/>
      </c>
      <c r="C35" s="14">
        <f>IF(A35="","",IF(IFERROR(INDIRECT("'"&amp;A35&amp;"'!C20"),"")="","À RENSEIGNER",IFERROR(INDIRECT("'"&amp;A35&amp;"'!C20"),"")))</f>
        <v/>
      </c>
      <c r="D35" s="14">
        <f>IF(A35="","",IFERROR(INDIRECT("'"&amp;A35&amp;"'!C21"),"")&amp;"")</f>
        <v/>
      </c>
      <c r="E35" s="14">
        <f>IF(A35="","","Loyer "&amp;IFERROR(INDIRECT("'"&amp;A35&amp;"'!C4"),""))</f>
        <v/>
      </c>
      <c r="F35" s="14">
        <f>IF(A35="","",IFERROR(INDIRECT("'"&amp;A35&amp;"'!C14"),""))</f>
        <v/>
      </c>
      <c r="G35" s="14">
        <f>IF(A35="","",IF(F35="Annuelle","yearly","monthly"))</f>
        <v/>
      </c>
      <c r="H35" s="14">
        <f>IF(A35="","",IF(F35="Mensuelle",1,IF(F35="Trimestrielle",3,IF(F35="Semestrielle",6,1))))</f>
        <v/>
      </c>
      <c r="I35" s="14">
        <f>IF(A35="","",IF(F35="Mensuelle","mois",IF(F35="Trimestrielle","trimestre",IF(F35="Semestrielle","semestre","an"))))</f>
        <v/>
      </c>
      <c r="J35" s="16">
        <f>IF(A35="","",IFERROR(ROUND(Récapitulatif!$I35/IF(F35="Mensuelle",12,IF(F35="Trimestrielle",4,IF(F35="Semestrielle",2,1))),2),""))</f>
        <v/>
      </c>
      <c r="K35" s="16">
        <f>IF(A35="","",IFERROR(ROUND(IF(IFERROR(INDIRECT("'"&amp;A35&amp;"'!C12"),"")="",0,IFERROR(INDIRECT("'"&amp;A35&amp;"'!C12"),""))/IF(F35="Mensuelle",12,IF(F35="Trimestrielle",4,IF(F35="Semestrielle",2,1))),2),""))</f>
        <v/>
      </c>
      <c r="L35" s="14">
        <f>IF(A35="","",IFERROR(INDIRECT("'"&amp;A35&amp;"'!C13"),""))</f>
        <v/>
      </c>
      <c r="M35" s="14">
        <f>IF(A35="","",IF(L35=20,"FR_200",IF(L35=10,"FR_100",IF(L35=5.5,"FR_55",IF(L35=2.1,"FR_21","exempt")))))</f>
        <v/>
      </c>
      <c r="N35" s="14">
        <f>IF(A35="","",Société!$B$11)</f>
        <v/>
      </c>
      <c r="O35" s="14">
        <f>IF(A35="","",Société!$B$12)</f>
        <v/>
      </c>
      <c r="P35" s="14">
        <f>IF(A35="","",Société!$B$13)</f>
        <v/>
      </c>
      <c r="Q35" s="15">
        <f>IF(A35="","",DATE(YEAR(TODAY()),MONTH(TODAY())+1,1))</f>
        <v/>
      </c>
      <c r="R35" s="14">
        <f>IF(A35="","",IFERROR(INDIRECT("'"&amp;A35&amp;"'!C22"),"")&amp;"")</f>
        <v/>
      </c>
      <c r="S35" s="14">
        <f>IF(OR(A35="",J35=""),"","{""customer_id"": "&amp;C35&amp;", ""label"": """&amp;E35&amp;""", ""start"": """&amp;YEAR(Q35)&amp;"-"&amp;TEXT(MONTH(Q35),"00")&amp;"-"&amp;TEXT(DAY(Q35),"00")&amp;""", ""mode"": {""type"": """&amp;N35&amp;"""}, ""payment_conditions"": """&amp;O35&amp;""", ""payment_method"": """&amp;P35&amp;""", ""recurring_rule"": "&amp;"{""type"": """&amp;G35&amp;""", ""interval"": "&amp;H35&amp;IF(G35="monthly",", ""day_of_month"": 1","")&amp;"}"&amp;", ""customer_invoice_data"": {""currency"": ""EUR"", ""language"": ""fr_FR"", ""pdf_invoice_subject"": """&amp;E35&amp;""", ""invoice_lines"": ["&amp;"{""label"": ""Loyer "&amp;LOWER(F35)&amp;" – "&amp;IFERROR(INDIRECT("'"&amp;A35&amp;"'!C4"),"")&amp;""", ""quantity"": 1, ""unit"": """&amp;I35&amp;""", ""raw_currency_unit_price"": """&amp;SUBSTITUTE(TEXT(J35,"0.00"),",",".")&amp;""", ""vat_rate"": """&amp;M35&amp;""""&amp;IF(D35&lt;&gt;"",", ""product_id"": "&amp;D35,"")&amp;"}"&amp;IF(K35&gt;0,", {""label"": ""Provision sur charges"", ""quantity"": 1, ""unit"": """&amp;I35&amp;""", ""raw_currency_unit_price"": """&amp;SUBSTITUTE(TEXT(K35,"0.00"),",",".")&amp;""", ""vat_rate"": """&amp;M35&amp;"""}","")&amp;"]}}")</f>
        <v/>
      </c>
    </row>
    <row r="36">
      <c r="A36" s="14">
        <f>IF(Récapitulatif!$A36="","",Récapitulatif!$A36)</f>
        <v/>
      </c>
      <c r="B36" s="14">
        <f>IF(A36="","",IFERROR(INDIRECT("'"&amp;A36&amp;"'!C5"),""))</f>
        <v/>
      </c>
      <c r="C36" s="14">
        <f>IF(A36="","",IF(IFERROR(INDIRECT("'"&amp;A36&amp;"'!C20"),"")="","À RENSEIGNER",IFERROR(INDIRECT("'"&amp;A36&amp;"'!C20"),"")))</f>
        <v/>
      </c>
      <c r="D36" s="14">
        <f>IF(A36="","",IFERROR(INDIRECT("'"&amp;A36&amp;"'!C21"),"")&amp;"")</f>
        <v/>
      </c>
      <c r="E36" s="14">
        <f>IF(A36="","","Loyer "&amp;IFERROR(INDIRECT("'"&amp;A36&amp;"'!C4"),""))</f>
        <v/>
      </c>
      <c r="F36" s="14">
        <f>IF(A36="","",IFERROR(INDIRECT("'"&amp;A36&amp;"'!C14"),""))</f>
        <v/>
      </c>
      <c r="G36" s="14">
        <f>IF(A36="","",IF(F36="Annuelle","yearly","monthly"))</f>
        <v/>
      </c>
      <c r="H36" s="14">
        <f>IF(A36="","",IF(F36="Mensuelle",1,IF(F36="Trimestrielle",3,IF(F36="Semestrielle",6,1))))</f>
        <v/>
      </c>
      <c r="I36" s="14">
        <f>IF(A36="","",IF(F36="Mensuelle","mois",IF(F36="Trimestrielle","trimestre",IF(F36="Semestrielle","semestre","an"))))</f>
        <v/>
      </c>
      <c r="J36" s="16">
        <f>IF(A36="","",IFERROR(ROUND(Récapitulatif!$I36/IF(F36="Mensuelle",12,IF(F36="Trimestrielle",4,IF(F36="Semestrielle",2,1))),2),""))</f>
        <v/>
      </c>
      <c r="K36" s="16">
        <f>IF(A36="","",IFERROR(ROUND(IF(IFERROR(INDIRECT("'"&amp;A36&amp;"'!C12"),"")="",0,IFERROR(INDIRECT("'"&amp;A36&amp;"'!C12"),""))/IF(F36="Mensuelle",12,IF(F36="Trimestrielle",4,IF(F36="Semestrielle",2,1))),2),""))</f>
        <v/>
      </c>
      <c r="L36" s="14">
        <f>IF(A36="","",IFERROR(INDIRECT("'"&amp;A36&amp;"'!C13"),""))</f>
        <v/>
      </c>
      <c r="M36" s="14">
        <f>IF(A36="","",IF(L36=20,"FR_200",IF(L36=10,"FR_100",IF(L36=5.5,"FR_55",IF(L36=2.1,"FR_21","exempt")))))</f>
        <v/>
      </c>
      <c r="N36" s="14">
        <f>IF(A36="","",Société!$B$11)</f>
        <v/>
      </c>
      <c r="O36" s="14">
        <f>IF(A36="","",Société!$B$12)</f>
        <v/>
      </c>
      <c r="P36" s="14">
        <f>IF(A36="","",Société!$B$13)</f>
        <v/>
      </c>
      <c r="Q36" s="15">
        <f>IF(A36="","",DATE(YEAR(TODAY()),MONTH(TODAY())+1,1))</f>
        <v/>
      </c>
      <c r="R36" s="14">
        <f>IF(A36="","",IFERROR(INDIRECT("'"&amp;A36&amp;"'!C22"),"")&amp;"")</f>
        <v/>
      </c>
      <c r="S36" s="14">
        <f>IF(OR(A36="",J36=""),"","{""customer_id"": "&amp;C36&amp;", ""label"": """&amp;E36&amp;""", ""start"": """&amp;YEAR(Q36)&amp;"-"&amp;TEXT(MONTH(Q36),"00")&amp;"-"&amp;TEXT(DAY(Q36),"00")&amp;""", ""mode"": {""type"": """&amp;N36&amp;"""}, ""payment_conditions"": """&amp;O36&amp;""", ""payment_method"": """&amp;P36&amp;""", ""recurring_rule"": "&amp;"{""type"": """&amp;G36&amp;""", ""interval"": "&amp;H36&amp;IF(G36="monthly",", ""day_of_month"": 1","")&amp;"}"&amp;", ""customer_invoice_data"": {""currency"": ""EUR"", ""language"": ""fr_FR"", ""pdf_invoice_subject"": """&amp;E36&amp;""", ""invoice_lines"": ["&amp;"{""label"": ""Loyer "&amp;LOWER(F36)&amp;" – "&amp;IFERROR(INDIRECT("'"&amp;A36&amp;"'!C4"),"")&amp;""", ""quantity"": 1, ""unit"": """&amp;I36&amp;""", ""raw_currency_unit_price"": """&amp;SUBSTITUTE(TEXT(J36,"0.00"),",",".")&amp;""", ""vat_rate"": """&amp;M36&amp;""""&amp;IF(D36&lt;&gt;"",", ""product_id"": "&amp;D36,"")&amp;"}"&amp;IF(K36&gt;0,", {""label"": ""Provision sur charges"", ""quantity"": 1, ""unit"": """&amp;I36&amp;""", ""raw_currency_unit_price"": """&amp;SUBSTITUTE(TEXT(K36,"0.00"),",",".")&amp;""", ""vat_rate"": """&amp;M36&amp;"""}","")&amp;"]}}")</f>
        <v/>
      </c>
    </row>
    <row r="37">
      <c r="A37" s="14">
        <f>IF(Récapitulatif!$A37="","",Récapitulatif!$A37)</f>
        <v/>
      </c>
      <c r="B37" s="14">
        <f>IF(A37="","",IFERROR(INDIRECT("'"&amp;A37&amp;"'!C5"),""))</f>
        <v/>
      </c>
      <c r="C37" s="14">
        <f>IF(A37="","",IF(IFERROR(INDIRECT("'"&amp;A37&amp;"'!C20"),"")="","À RENSEIGNER",IFERROR(INDIRECT("'"&amp;A37&amp;"'!C20"),"")))</f>
        <v/>
      </c>
      <c r="D37" s="14">
        <f>IF(A37="","",IFERROR(INDIRECT("'"&amp;A37&amp;"'!C21"),"")&amp;"")</f>
        <v/>
      </c>
      <c r="E37" s="14">
        <f>IF(A37="","","Loyer "&amp;IFERROR(INDIRECT("'"&amp;A37&amp;"'!C4"),""))</f>
        <v/>
      </c>
      <c r="F37" s="14">
        <f>IF(A37="","",IFERROR(INDIRECT("'"&amp;A37&amp;"'!C14"),""))</f>
        <v/>
      </c>
      <c r="G37" s="14">
        <f>IF(A37="","",IF(F37="Annuelle","yearly","monthly"))</f>
        <v/>
      </c>
      <c r="H37" s="14">
        <f>IF(A37="","",IF(F37="Mensuelle",1,IF(F37="Trimestrielle",3,IF(F37="Semestrielle",6,1))))</f>
        <v/>
      </c>
      <c r="I37" s="14">
        <f>IF(A37="","",IF(F37="Mensuelle","mois",IF(F37="Trimestrielle","trimestre",IF(F37="Semestrielle","semestre","an"))))</f>
        <v/>
      </c>
      <c r="J37" s="16">
        <f>IF(A37="","",IFERROR(ROUND(Récapitulatif!$I37/IF(F37="Mensuelle",12,IF(F37="Trimestrielle",4,IF(F37="Semestrielle",2,1))),2),""))</f>
        <v/>
      </c>
      <c r="K37" s="16">
        <f>IF(A37="","",IFERROR(ROUND(IF(IFERROR(INDIRECT("'"&amp;A37&amp;"'!C12"),"")="",0,IFERROR(INDIRECT("'"&amp;A37&amp;"'!C12"),""))/IF(F37="Mensuelle",12,IF(F37="Trimestrielle",4,IF(F37="Semestrielle",2,1))),2),""))</f>
        <v/>
      </c>
      <c r="L37" s="14">
        <f>IF(A37="","",IFERROR(INDIRECT("'"&amp;A37&amp;"'!C13"),""))</f>
        <v/>
      </c>
      <c r="M37" s="14">
        <f>IF(A37="","",IF(L37=20,"FR_200",IF(L37=10,"FR_100",IF(L37=5.5,"FR_55",IF(L37=2.1,"FR_21","exempt")))))</f>
        <v/>
      </c>
      <c r="N37" s="14">
        <f>IF(A37="","",Société!$B$11)</f>
        <v/>
      </c>
      <c r="O37" s="14">
        <f>IF(A37="","",Société!$B$12)</f>
        <v/>
      </c>
      <c r="P37" s="14">
        <f>IF(A37="","",Société!$B$13)</f>
        <v/>
      </c>
      <c r="Q37" s="15">
        <f>IF(A37="","",DATE(YEAR(TODAY()),MONTH(TODAY())+1,1))</f>
        <v/>
      </c>
      <c r="R37" s="14">
        <f>IF(A37="","",IFERROR(INDIRECT("'"&amp;A37&amp;"'!C22"),"")&amp;"")</f>
        <v/>
      </c>
      <c r="S37" s="14">
        <f>IF(OR(A37="",J37=""),"","{""customer_id"": "&amp;C37&amp;", ""label"": """&amp;E37&amp;""", ""start"": """&amp;YEAR(Q37)&amp;"-"&amp;TEXT(MONTH(Q37),"00")&amp;"-"&amp;TEXT(DAY(Q37),"00")&amp;""", ""mode"": {""type"": """&amp;N37&amp;"""}, ""payment_conditions"": """&amp;O37&amp;""", ""payment_method"": """&amp;P37&amp;""", ""recurring_rule"": "&amp;"{""type"": """&amp;G37&amp;""", ""interval"": "&amp;H37&amp;IF(G37="monthly",", ""day_of_month"": 1","")&amp;"}"&amp;", ""customer_invoice_data"": {""currency"": ""EUR"", ""language"": ""fr_FR"", ""pdf_invoice_subject"": """&amp;E37&amp;""", ""invoice_lines"": ["&amp;"{""label"": ""Loyer "&amp;LOWER(F37)&amp;" – "&amp;IFERROR(INDIRECT("'"&amp;A37&amp;"'!C4"),"")&amp;""", ""quantity"": 1, ""unit"": """&amp;I37&amp;""", ""raw_currency_unit_price"": """&amp;SUBSTITUTE(TEXT(J37,"0.00"),",",".")&amp;""", ""vat_rate"": """&amp;M37&amp;""""&amp;IF(D37&lt;&gt;"",", ""product_id"": "&amp;D37,"")&amp;"}"&amp;IF(K37&gt;0,", {""label"": ""Provision sur charges"", ""quantity"": 1, ""unit"": """&amp;I37&amp;""", ""raw_currency_unit_price"": """&amp;SUBSTITUTE(TEXT(K37,"0.00"),",",".")&amp;""", ""vat_rate"": """&amp;M37&amp;"""}","")&amp;"]}}")</f>
        <v/>
      </c>
    </row>
    <row r="38">
      <c r="A38" s="14">
        <f>IF(Récapitulatif!$A38="","",Récapitulatif!$A38)</f>
        <v/>
      </c>
      <c r="B38" s="14">
        <f>IF(A38="","",IFERROR(INDIRECT("'"&amp;A38&amp;"'!C5"),""))</f>
        <v/>
      </c>
      <c r="C38" s="14">
        <f>IF(A38="","",IF(IFERROR(INDIRECT("'"&amp;A38&amp;"'!C20"),"")="","À RENSEIGNER",IFERROR(INDIRECT("'"&amp;A38&amp;"'!C20"),"")))</f>
        <v/>
      </c>
      <c r="D38" s="14">
        <f>IF(A38="","",IFERROR(INDIRECT("'"&amp;A38&amp;"'!C21"),"")&amp;"")</f>
        <v/>
      </c>
      <c r="E38" s="14">
        <f>IF(A38="","","Loyer "&amp;IFERROR(INDIRECT("'"&amp;A38&amp;"'!C4"),""))</f>
        <v/>
      </c>
      <c r="F38" s="14">
        <f>IF(A38="","",IFERROR(INDIRECT("'"&amp;A38&amp;"'!C14"),""))</f>
        <v/>
      </c>
      <c r="G38" s="14">
        <f>IF(A38="","",IF(F38="Annuelle","yearly","monthly"))</f>
        <v/>
      </c>
      <c r="H38" s="14">
        <f>IF(A38="","",IF(F38="Mensuelle",1,IF(F38="Trimestrielle",3,IF(F38="Semestrielle",6,1))))</f>
        <v/>
      </c>
      <c r="I38" s="14">
        <f>IF(A38="","",IF(F38="Mensuelle","mois",IF(F38="Trimestrielle","trimestre",IF(F38="Semestrielle","semestre","an"))))</f>
        <v/>
      </c>
      <c r="J38" s="16">
        <f>IF(A38="","",IFERROR(ROUND(Récapitulatif!$I38/IF(F38="Mensuelle",12,IF(F38="Trimestrielle",4,IF(F38="Semestrielle",2,1))),2),""))</f>
        <v/>
      </c>
      <c r="K38" s="16">
        <f>IF(A38="","",IFERROR(ROUND(IF(IFERROR(INDIRECT("'"&amp;A38&amp;"'!C12"),"")="",0,IFERROR(INDIRECT("'"&amp;A38&amp;"'!C12"),""))/IF(F38="Mensuelle",12,IF(F38="Trimestrielle",4,IF(F38="Semestrielle",2,1))),2),""))</f>
        <v/>
      </c>
      <c r="L38" s="14">
        <f>IF(A38="","",IFERROR(INDIRECT("'"&amp;A38&amp;"'!C13"),""))</f>
        <v/>
      </c>
      <c r="M38" s="14">
        <f>IF(A38="","",IF(L38=20,"FR_200",IF(L38=10,"FR_100",IF(L38=5.5,"FR_55",IF(L38=2.1,"FR_21","exempt")))))</f>
        <v/>
      </c>
      <c r="N38" s="14">
        <f>IF(A38="","",Société!$B$11)</f>
        <v/>
      </c>
      <c r="O38" s="14">
        <f>IF(A38="","",Société!$B$12)</f>
        <v/>
      </c>
      <c r="P38" s="14">
        <f>IF(A38="","",Société!$B$13)</f>
        <v/>
      </c>
      <c r="Q38" s="15">
        <f>IF(A38="","",DATE(YEAR(TODAY()),MONTH(TODAY())+1,1))</f>
        <v/>
      </c>
      <c r="R38" s="14">
        <f>IF(A38="","",IFERROR(INDIRECT("'"&amp;A38&amp;"'!C22"),"")&amp;"")</f>
        <v/>
      </c>
      <c r="S38" s="14">
        <f>IF(OR(A38="",J38=""),"","{""customer_id"": "&amp;C38&amp;", ""label"": """&amp;E38&amp;""", ""start"": """&amp;YEAR(Q38)&amp;"-"&amp;TEXT(MONTH(Q38),"00")&amp;"-"&amp;TEXT(DAY(Q38),"00")&amp;""", ""mode"": {""type"": """&amp;N38&amp;"""}, ""payment_conditions"": """&amp;O38&amp;""", ""payment_method"": """&amp;P38&amp;""", ""recurring_rule"": "&amp;"{""type"": """&amp;G38&amp;""", ""interval"": "&amp;H38&amp;IF(G38="monthly",", ""day_of_month"": 1","")&amp;"}"&amp;", ""customer_invoice_data"": {""currency"": ""EUR"", ""language"": ""fr_FR"", ""pdf_invoice_subject"": """&amp;E38&amp;""", ""invoice_lines"": ["&amp;"{""label"": ""Loyer "&amp;LOWER(F38)&amp;" – "&amp;IFERROR(INDIRECT("'"&amp;A38&amp;"'!C4"),"")&amp;""", ""quantity"": 1, ""unit"": """&amp;I38&amp;""", ""raw_currency_unit_price"": """&amp;SUBSTITUTE(TEXT(J38,"0.00"),",",".")&amp;""", ""vat_rate"": """&amp;M38&amp;""""&amp;IF(D38&lt;&gt;"",", ""product_id"": "&amp;D38,"")&amp;"}"&amp;IF(K38&gt;0,", {""label"": ""Provision sur charges"", ""quantity"": 1, ""unit"": """&amp;I38&amp;""", ""raw_currency_unit_price"": """&amp;SUBSTITUTE(TEXT(K38,"0.00"),",",".")&amp;""", ""vat_rate"": """&amp;M38&amp;"""}","")&amp;"]}}")</f>
        <v/>
      </c>
    </row>
    <row r="39">
      <c r="A39" s="14">
        <f>IF(Récapitulatif!$A39="","",Récapitulatif!$A39)</f>
        <v/>
      </c>
      <c r="B39" s="14">
        <f>IF(A39="","",IFERROR(INDIRECT("'"&amp;A39&amp;"'!C5"),""))</f>
        <v/>
      </c>
      <c r="C39" s="14">
        <f>IF(A39="","",IF(IFERROR(INDIRECT("'"&amp;A39&amp;"'!C20"),"")="","À RENSEIGNER",IFERROR(INDIRECT("'"&amp;A39&amp;"'!C20"),"")))</f>
        <v/>
      </c>
      <c r="D39" s="14">
        <f>IF(A39="","",IFERROR(INDIRECT("'"&amp;A39&amp;"'!C21"),"")&amp;"")</f>
        <v/>
      </c>
      <c r="E39" s="14">
        <f>IF(A39="","","Loyer "&amp;IFERROR(INDIRECT("'"&amp;A39&amp;"'!C4"),""))</f>
        <v/>
      </c>
      <c r="F39" s="14">
        <f>IF(A39="","",IFERROR(INDIRECT("'"&amp;A39&amp;"'!C14"),""))</f>
        <v/>
      </c>
      <c r="G39" s="14">
        <f>IF(A39="","",IF(F39="Annuelle","yearly","monthly"))</f>
        <v/>
      </c>
      <c r="H39" s="14">
        <f>IF(A39="","",IF(F39="Mensuelle",1,IF(F39="Trimestrielle",3,IF(F39="Semestrielle",6,1))))</f>
        <v/>
      </c>
      <c r="I39" s="14">
        <f>IF(A39="","",IF(F39="Mensuelle","mois",IF(F39="Trimestrielle","trimestre",IF(F39="Semestrielle","semestre","an"))))</f>
        <v/>
      </c>
      <c r="J39" s="16">
        <f>IF(A39="","",IFERROR(ROUND(Récapitulatif!$I39/IF(F39="Mensuelle",12,IF(F39="Trimestrielle",4,IF(F39="Semestrielle",2,1))),2),""))</f>
        <v/>
      </c>
      <c r="K39" s="16">
        <f>IF(A39="","",IFERROR(ROUND(IF(IFERROR(INDIRECT("'"&amp;A39&amp;"'!C12"),"")="",0,IFERROR(INDIRECT("'"&amp;A39&amp;"'!C12"),""))/IF(F39="Mensuelle",12,IF(F39="Trimestrielle",4,IF(F39="Semestrielle",2,1))),2),""))</f>
        <v/>
      </c>
      <c r="L39" s="14">
        <f>IF(A39="","",IFERROR(INDIRECT("'"&amp;A39&amp;"'!C13"),""))</f>
        <v/>
      </c>
      <c r="M39" s="14">
        <f>IF(A39="","",IF(L39=20,"FR_200",IF(L39=10,"FR_100",IF(L39=5.5,"FR_55",IF(L39=2.1,"FR_21","exempt")))))</f>
        <v/>
      </c>
      <c r="N39" s="14">
        <f>IF(A39="","",Société!$B$11)</f>
        <v/>
      </c>
      <c r="O39" s="14">
        <f>IF(A39="","",Société!$B$12)</f>
        <v/>
      </c>
      <c r="P39" s="14">
        <f>IF(A39="","",Société!$B$13)</f>
        <v/>
      </c>
      <c r="Q39" s="15">
        <f>IF(A39="","",DATE(YEAR(TODAY()),MONTH(TODAY())+1,1))</f>
        <v/>
      </c>
      <c r="R39" s="14">
        <f>IF(A39="","",IFERROR(INDIRECT("'"&amp;A39&amp;"'!C22"),"")&amp;"")</f>
        <v/>
      </c>
      <c r="S39" s="14">
        <f>IF(OR(A39="",J39=""),"","{""customer_id"": "&amp;C39&amp;", ""label"": """&amp;E39&amp;""", ""start"": """&amp;YEAR(Q39)&amp;"-"&amp;TEXT(MONTH(Q39),"00")&amp;"-"&amp;TEXT(DAY(Q39),"00")&amp;""", ""mode"": {""type"": """&amp;N39&amp;"""}, ""payment_conditions"": """&amp;O39&amp;""", ""payment_method"": """&amp;P39&amp;""", ""recurring_rule"": "&amp;"{""type"": """&amp;G39&amp;""", ""interval"": "&amp;H39&amp;IF(G39="monthly",", ""day_of_month"": 1","")&amp;"}"&amp;", ""customer_invoice_data"": {""currency"": ""EUR"", ""language"": ""fr_FR"", ""pdf_invoice_subject"": """&amp;E39&amp;""", ""invoice_lines"": ["&amp;"{""label"": ""Loyer "&amp;LOWER(F39)&amp;" – "&amp;IFERROR(INDIRECT("'"&amp;A39&amp;"'!C4"),"")&amp;""", ""quantity"": 1, ""unit"": """&amp;I39&amp;""", ""raw_currency_unit_price"": """&amp;SUBSTITUTE(TEXT(J39,"0.00"),",",".")&amp;""", ""vat_rate"": """&amp;M39&amp;""""&amp;IF(D39&lt;&gt;"",", ""product_id"": "&amp;D39,"")&amp;"}"&amp;IF(K39&gt;0,", {""label"": ""Provision sur charges"", ""quantity"": 1, ""unit"": """&amp;I39&amp;""", ""raw_currency_unit_price"": """&amp;SUBSTITUTE(TEXT(K39,"0.00"),",",".")&amp;""", ""vat_rate"": """&amp;M39&amp;"""}","")&amp;"]}}")</f>
        <v/>
      </c>
    </row>
    <row r="40">
      <c r="A40" s="14">
        <f>IF(Récapitulatif!$A40="","",Récapitulatif!$A40)</f>
        <v/>
      </c>
      <c r="B40" s="14">
        <f>IF(A40="","",IFERROR(INDIRECT("'"&amp;A40&amp;"'!C5"),""))</f>
        <v/>
      </c>
      <c r="C40" s="14">
        <f>IF(A40="","",IF(IFERROR(INDIRECT("'"&amp;A40&amp;"'!C20"),"")="","À RENSEIGNER",IFERROR(INDIRECT("'"&amp;A40&amp;"'!C20"),"")))</f>
        <v/>
      </c>
      <c r="D40" s="14">
        <f>IF(A40="","",IFERROR(INDIRECT("'"&amp;A40&amp;"'!C21"),"")&amp;"")</f>
        <v/>
      </c>
      <c r="E40" s="14">
        <f>IF(A40="","","Loyer "&amp;IFERROR(INDIRECT("'"&amp;A40&amp;"'!C4"),""))</f>
        <v/>
      </c>
      <c r="F40" s="14">
        <f>IF(A40="","",IFERROR(INDIRECT("'"&amp;A40&amp;"'!C14"),""))</f>
        <v/>
      </c>
      <c r="G40" s="14">
        <f>IF(A40="","",IF(F40="Annuelle","yearly","monthly"))</f>
        <v/>
      </c>
      <c r="H40" s="14">
        <f>IF(A40="","",IF(F40="Mensuelle",1,IF(F40="Trimestrielle",3,IF(F40="Semestrielle",6,1))))</f>
        <v/>
      </c>
      <c r="I40" s="14">
        <f>IF(A40="","",IF(F40="Mensuelle","mois",IF(F40="Trimestrielle","trimestre",IF(F40="Semestrielle","semestre","an"))))</f>
        <v/>
      </c>
      <c r="J40" s="16">
        <f>IF(A40="","",IFERROR(ROUND(Récapitulatif!$I40/IF(F40="Mensuelle",12,IF(F40="Trimestrielle",4,IF(F40="Semestrielle",2,1))),2),""))</f>
        <v/>
      </c>
      <c r="K40" s="16">
        <f>IF(A40="","",IFERROR(ROUND(IF(IFERROR(INDIRECT("'"&amp;A40&amp;"'!C12"),"")="",0,IFERROR(INDIRECT("'"&amp;A40&amp;"'!C12"),""))/IF(F40="Mensuelle",12,IF(F40="Trimestrielle",4,IF(F40="Semestrielle",2,1))),2),""))</f>
        <v/>
      </c>
      <c r="L40" s="14">
        <f>IF(A40="","",IFERROR(INDIRECT("'"&amp;A40&amp;"'!C13"),""))</f>
        <v/>
      </c>
      <c r="M40" s="14">
        <f>IF(A40="","",IF(L40=20,"FR_200",IF(L40=10,"FR_100",IF(L40=5.5,"FR_55",IF(L40=2.1,"FR_21","exempt")))))</f>
        <v/>
      </c>
      <c r="N40" s="14">
        <f>IF(A40="","",Société!$B$11)</f>
        <v/>
      </c>
      <c r="O40" s="14">
        <f>IF(A40="","",Société!$B$12)</f>
        <v/>
      </c>
      <c r="P40" s="14">
        <f>IF(A40="","",Société!$B$13)</f>
        <v/>
      </c>
      <c r="Q40" s="15">
        <f>IF(A40="","",DATE(YEAR(TODAY()),MONTH(TODAY())+1,1))</f>
        <v/>
      </c>
      <c r="R40" s="14">
        <f>IF(A40="","",IFERROR(INDIRECT("'"&amp;A40&amp;"'!C22"),"")&amp;"")</f>
        <v/>
      </c>
      <c r="S40" s="14">
        <f>IF(OR(A40="",J40=""),"","{""customer_id"": "&amp;C40&amp;", ""label"": """&amp;E40&amp;""", ""start"": """&amp;YEAR(Q40)&amp;"-"&amp;TEXT(MONTH(Q40),"00")&amp;"-"&amp;TEXT(DAY(Q40),"00")&amp;""", ""mode"": {""type"": """&amp;N40&amp;"""}, ""payment_conditions"": """&amp;O40&amp;""", ""payment_method"": """&amp;P40&amp;""", ""recurring_rule"": "&amp;"{""type"": """&amp;G40&amp;""", ""interval"": "&amp;H40&amp;IF(G40="monthly",", ""day_of_month"": 1","")&amp;"}"&amp;", ""customer_invoice_data"": {""currency"": ""EUR"", ""language"": ""fr_FR"", ""pdf_invoice_subject"": """&amp;E40&amp;""", ""invoice_lines"": ["&amp;"{""label"": ""Loyer "&amp;LOWER(F40)&amp;" – "&amp;IFERROR(INDIRECT("'"&amp;A40&amp;"'!C4"),"")&amp;""", ""quantity"": 1, ""unit"": """&amp;I40&amp;""", ""raw_currency_unit_price"": """&amp;SUBSTITUTE(TEXT(J40,"0.00"),",",".")&amp;""", ""vat_rate"": """&amp;M40&amp;""""&amp;IF(D40&lt;&gt;"",", ""product_id"": "&amp;D40,"")&amp;"}"&amp;IF(K40&gt;0,", {""label"": ""Provision sur charges"", ""quantity"": 1, ""unit"": """&amp;I40&amp;""", ""raw_currency_unit_price"": """&amp;SUBSTITUTE(TEXT(K40,"0.00"),",",".")&amp;""", ""vat_rate"": """&amp;M40&amp;"""}","")&amp;"]}}")</f>
        <v/>
      </c>
    </row>
    <row r="41">
      <c r="A41" s="14">
        <f>IF(Récapitulatif!$A41="","",Récapitulatif!$A41)</f>
        <v/>
      </c>
      <c r="B41" s="14">
        <f>IF(A41="","",IFERROR(INDIRECT("'"&amp;A41&amp;"'!C5"),""))</f>
        <v/>
      </c>
      <c r="C41" s="14">
        <f>IF(A41="","",IF(IFERROR(INDIRECT("'"&amp;A41&amp;"'!C20"),"")="","À RENSEIGNER",IFERROR(INDIRECT("'"&amp;A41&amp;"'!C20"),"")))</f>
        <v/>
      </c>
      <c r="D41" s="14">
        <f>IF(A41="","",IFERROR(INDIRECT("'"&amp;A41&amp;"'!C21"),"")&amp;"")</f>
        <v/>
      </c>
      <c r="E41" s="14">
        <f>IF(A41="","","Loyer "&amp;IFERROR(INDIRECT("'"&amp;A41&amp;"'!C4"),""))</f>
        <v/>
      </c>
      <c r="F41" s="14">
        <f>IF(A41="","",IFERROR(INDIRECT("'"&amp;A41&amp;"'!C14"),""))</f>
        <v/>
      </c>
      <c r="G41" s="14">
        <f>IF(A41="","",IF(F41="Annuelle","yearly","monthly"))</f>
        <v/>
      </c>
      <c r="H41" s="14">
        <f>IF(A41="","",IF(F41="Mensuelle",1,IF(F41="Trimestrielle",3,IF(F41="Semestrielle",6,1))))</f>
        <v/>
      </c>
      <c r="I41" s="14">
        <f>IF(A41="","",IF(F41="Mensuelle","mois",IF(F41="Trimestrielle","trimestre",IF(F41="Semestrielle","semestre","an"))))</f>
        <v/>
      </c>
      <c r="J41" s="16">
        <f>IF(A41="","",IFERROR(ROUND(Récapitulatif!$I41/IF(F41="Mensuelle",12,IF(F41="Trimestrielle",4,IF(F41="Semestrielle",2,1))),2),""))</f>
        <v/>
      </c>
      <c r="K41" s="16">
        <f>IF(A41="","",IFERROR(ROUND(IF(IFERROR(INDIRECT("'"&amp;A41&amp;"'!C12"),"")="",0,IFERROR(INDIRECT("'"&amp;A41&amp;"'!C12"),""))/IF(F41="Mensuelle",12,IF(F41="Trimestrielle",4,IF(F41="Semestrielle",2,1))),2),""))</f>
        <v/>
      </c>
      <c r="L41" s="14">
        <f>IF(A41="","",IFERROR(INDIRECT("'"&amp;A41&amp;"'!C13"),""))</f>
        <v/>
      </c>
      <c r="M41" s="14">
        <f>IF(A41="","",IF(L41=20,"FR_200",IF(L41=10,"FR_100",IF(L41=5.5,"FR_55",IF(L41=2.1,"FR_21","exempt")))))</f>
        <v/>
      </c>
      <c r="N41" s="14">
        <f>IF(A41="","",Société!$B$11)</f>
        <v/>
      </c>
      <c r="O41" s="14">
        <f>IF(A41="","",Société!$B$12)</f>
        <v/>
      </c>
      <c r="P41" s="14">
        <f>IF(A41="","",Société!$B$13)</f>
        <v/>
      </c>
      <c r="Q41" s="15">
        <f>IF(A41="","",DATE(YEAR(TODAY()),MONTH(TODAY())+1,1))</f>
        <v/>
      </c>
      <c r="R41" s="14">
        <f>IF(A41="","",IFERROR(INDIRECT("'"&amp;A41&amp;"'!C22"),"")&amp;"")</f>
        <v/>
      </c>
      <c r="S41" s="14">
        <f>IF(OR(A41="",J41=""),"","{""customer_id"": "&amp;C41&amp;", ""label"": """&amp;E41&amp;""", ""start"": """&amp;YEAR(Q41)&amp;"-"&amp;TEXT(MONTH(Q41),"00")&amp;"-"&amp;TEXT(DAY(Q41),"00")&amp;""", ""mode"": {""type"": """&amp;N41&amp;"""}, ""payment_conditions"": """&amp;O41&amp;""", ""payment_method"": """&amp;P41&amp;""", ""recurring_rule"": "&amp;"{""type"": """&amp;G41&amp;""", ""interval"": "&amp;H41&amp;IF(G41="monthly",", ""day_of_month"": 1","")&amp;"}"&amp;", ""customer_invoice_data"": {""currency"": ""EUR"", ""language"": ""fr_FR"", ""pdf_invoice_subject"": """&amp;E41&amp;""", ""invoice_lines"": ["&amp;"{""label"": ""Loyer "&amp;LOWER(F41)&amp;" – "&amp;IFERROR(INDIRECT("'"&amp;A41&amp;"'!C4"),"")&amp;""", ""quantity"": 1, ""unit"": """&amp;I41&amp;""", ""raw_currency_unit_price"": """&amp;SUBSTITUTE(TEXT(J41,"0.00"),",",".")&amp;""", ""vat_rate"": """&amp;M41&amp;""""&amp;IF(D41&lt;&gt;"",", ""product_id"": "&amp;D41,"")&amp;"}"&amp;IF(K41&gt;0,", {""label"": ""Provision sur charges"", ""quantity"": 1, ""unit"": """&amp;I41&amp;""", ""raw_currency_unit_price"": """&amp;SUBSTITUTE(TEXT(K41,"0.00"),",",".")&amp;""", ""vat_rate"": """&amp;M41&amp;"""}","")&amp;"]}}")</f>
        <v/>
      </c>
    </row>
    <row r="43">
      <c r="A43" s="2" t="inlineStr">
        <is>
          <t>Schéma : OpenAPI Pennylane Company V2 (POST /billing_subscriptions, 2026-05-27). Réglages dans la feuille Société. Automatisation de l'envoi : étape ultérieure.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2026-09-09T23:17:05Z</dcterms:created>
  <dcterms:modified xsi:type="dcterms:W3CDTF">2026-09-09T23:17:06Z</dcterms:modified>
</cp:coreProperties>
</file>